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Control" sheetId="2" state="visible" r:id="rId2"/>
    <sheet xmlns:r="http://schemas.openxmlformats.org/officeDocument/2006/relationships" name="Definitions" sheetId="3" state="visible" r:id="rId3"/>
    <sheet xmlns:r="http://schemas.openxmlformats.org/officeDocument/2006/relationships" name="Rates" sheetId="4" state="visible" r:id="rId4"/>
    <sheet xmlns:r="http://schemas.openxmlformats.org/officeDocument/2006/relationships" name="AU-Route" sheetId="5" state="visible" r:id="rId5"/>
    <sheet xmlns:r="http://schemas.openxmlformats.org/officeDocument/2006/relationships" name="NZ-Route" sheetId="6" state="visible" r:id="rId6"/>
    <sheet xmlns:r="http://schemas.openxmlformats.org/officeDocument/2006/relationships" name="Compute-Revenue" sheetId="7" state="visible" r:id="rId7"/>
    <sheet xmlns:r="http://schemas.openxmlformats.org/officeDocument/2006/relationships" name="Raise" sheetId="8" state="visible" r:id="rId8"/>
    <sheet xmlns:r="http://schemas.openxmlformats.org/officeDocument/2006/relationships" name="Sensitivity" sheetId="9" state="visible" r:id="rId9"/>
    <sheet xmlns:r="http://schemas.openxmlformats.org/officeDocument/2006/relationships" name="Traceability" sheetId="10" state="visible" r:id="rId10"/>
    <sheet xmlns:r="http://schemas.openxmlformats.org/officeDocument/2006/relationships" name="Deck-Check" sheetId="11" state="visible" r:id="rId11"/>
    <sheet xmlns:r="http://schemas.openxmlformats.org/officeDocument/2006/relationships" name="Flow-Basis" sheetId="12" state="visible" r:id="rId12"/>
    <sheet xmlns:r="http://schemas.openxmlformats.org/officeDocument/2006/relationships" name="Power-Economics" sheetId="13" state="visible" r:id="rId13"/>
    <sheet xmlns:r="http://schemas.openxmlformats.org/officeDocument/2006/relationships" name="DC-Economics" sheetId="14" state="visible" r:id="rId14"/>
    <sheet xmlns:r="http://schemas.openxmlformats.org/officeDocument/2006/relationships" name="Route-Compare" sheetId="15" state="visible" r:id="rId15"/>
    <sheet xmlns:r="http://schemas.openxmlformats.org/officeDocument/2006/relationships" name="Firm-Power" sheetId="16" state="visible" r:id="rId16"/>
    <sheet xmlns:r="http://schemas.openxmlformats.org/officeDocument/2006/relationships" name="Gated-Plan" sheetId="17" state="visible" r:id="rId17"/>
    <sheet xmlns:r="http://schemas.openxmlformats.org/officeDocument/2006/relationships" name="Funding-Tiers" sheetId="18" state="visible" r:id="rId18"/>
    <sheet xmlns:r="http://schemas.openxmlformats.org/officeDocument/2006/relationships" name="Proxies" sheetId="19" state="visible" r:id="rId19"/>
    <sheet xmlns:r="http://schemas.openxmlformats.org/officeDocument/2006/relationships" name="Sell-Compute" sheetId="20" state="visible" r:id="rId20"/>
    <sheet xmlns:r="http://schemas.openxmlformats.org/officeDocument/2006/relationships" name="Connectivity" sheetId="21" state="visible" r:id="rId21"/>
    <sheet xmlns:r="http://schemas.openxmlformats.org/officeDocument/2006/relationships" name="Water" sheetId="22" state="visible" r:id="rId22"/>
    <sheet xmlns:r="http://schemas.openxmlformats.org/officeDocument/2006/relationships" name="Seed" sheetId="23" state="visible" r:id="rId23"/>
    <sheet xmlns:r="http://schemas.openxmlformats.org/officeDocument/2006/relationships" name="Decline" sheetId="24" state="visible" r:id="rId24"/>
    <sheet xmlns:r="http://schemas.openxmlformats.org/officeDocument/2006/relationships" name="Headroom" sheetId="25" state="visible" r:id="rId25"/>
    <sheet xmlns:r="http://schemas.openxmlformats.org/officeDocument/2006/relationships" name="Metro-Grid" sheetId="26" state="visible" r:id="rId26"/>
  </sheets>
  <definedNames>
    <definedName name="_xlnm.Print_Titles" localSheetId="0">'Summary'!$1:$1</definedName>
    <definedName name="_xlnm.Print_Titles" localSheetId="1">'Control'!$1:$1</definedName>
    <definedName name="_xlnm.Print_Titles" localSheetId="3">'Rates'!$1:$1</definedName>
    <definedName name="_xlnm.Print_Titles" localSheetId="4">'AU-Route'!$1:$1</definedName>
    <definedName name="_xlnm.Print_Titles" localSheetId="5">'NZ-Route'!$1:$1</definedName>
    <definedName name="_xlnm.Print_Titles" localSheetId="6">'Compute-Revenue'!$1:$1</definedName>
    <definedName name="_xlnm.Print_Titles" localSheetId="7">'Raise'!$1:$1</definedName>
    <definedName name="_xlnm.Print_Titles" localSheetId="8">'Sensitivity'!$1:$1</definedName>
    <definedName name="_xlnm.Print_Titles" localSheetId="9">'Traceability'!$1:$1</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0"/>
    <numFmt numFmtId="166" formatCode="0.0000"/>
    <numFmt numFmtId="167" formatCode="0.000"/>
    <numFmt numFmtId="168" formatCode="#,##0.0"/>
  </numFmts>
  <fonts count="23">
    <font>
      <name val="Arial"/>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color rgb="FF6B7280"/>
      <sz val="10"/>
    </font>
    <font>
      <name val="Arial"/>
      <charset val="1"/>
      <family val="0"/>
      <b val="1"/>
      <color rgb="FF14171A"/>
      <sz val="12"/>
    </font>
    <font>
      <name val="Arial"/>
      <charset val="1"/>
      <family val="0"/>
      <color rgb="FF14171A"/>
      <sz val="11"/>
    </font>
    <font>
      <name val="Arial"/>
      <charset val="1"/>
      <family val="0"/>
      <b val="1"/>
      <color rgb="FFB91C1C"/>
      <sz val="10"/>
    </font>
    <font>
      <name val="Arial"/>
      <charset val="1"/>
      <family val="0"/>
      <b val="1"/>
      <color rgb="FF1D4ED8"/>
      <sz val="11"/>
    </font>
    <font>
      <name val="Arial"/>
      <charset val="1"/>
      <family val="2"/>
      <b val="1"/>
      <color rgb="FF1D4ED8"/>
      <sz val="11"/>
    </font>
    <font>
      <name val="Arial"/>
      <charset val="1"/>
      <family val="2"/>
      <color rgb="FF14171A"/>
      <sz val="11"/>
    </font>
    <font>
      <name val="Arial"/>
      <charset val="1"/>
      <family val="0"/>
      <color rgb="FF14171A"/>
      <sz val="10"/>
    </font>
    <font>
      <name val="Arial"/>
      <charset val="1"/>
      <family val="0"/>
      <b val="1"/>
      <color rgb="FF14171A"/>
      <sz val="11"/>
    </font>
    <font>
      <name val="Arial"/>
      <charset val="1"/>
      <family val="0"/>
      <b val="1"/>
      <color rgb="FF14171A"/>
      <sz val="10"/>
    </font>
    <font>
      <name val="Arial"/>
      <b val="1"/>
      <color rgb="FF14171A"/>
      <sz val="12"/>
    </font>
    <font>
      <name val="Arial"/>
      <color rgb="FF14171A"/>
      <sz val="10"/>
    </font>
    <font>
      <name val="Arial"/>
      <color rgb="FF1D4ED8"/>
      <sz val="10"/>
    </font>
    <font>
      <name val="Arial"/>
      <b val="1"/>
      <color rgb="FFFFFFFF"/>
      <sz val="16"/>
    </font>
    <font>
      <name val="Arial"/>
      <b val="1"/>
      <color rgb="FF14171A"/>
      <sz val="11"/>
    </font>
    <font>
      <name val="Arial"/>
      <color rgb="FF6B7280"/>
      <sz val="10"/>
    </font>
    <font>
      <name val="Arial"/>
      <b val="1"/>
      <color rgb="FF14171A"/>
      <sz val="9"/>
    </font>
    <font>
      <name val="Arial"/>
      <b val="1"/>
      <color rgb="FFB91C1C"/>
      <sz val="10"/>
    </font>
  </fonts>
  <fills count="11">
    <fill>
      <patternFill/>
    </fill>
    <fill>
      <patternFill patternType="gray125"/>
    </fill>
    <fill>
      <patternFill patternType="solid">
        <fgColor rgb="FF0D6B5F"/>
        <bgColor rgb="FF008080"/>
      </patternFill>
    </fill>
    <fill>
      <patternFill patternType="solid">
        <fgColor rgb="FFF6F7F8"/>
        <bgColor rgb="FFEFF6FF"/>
      </patternFill>
    </fill>
    <fill>
      <patternFill patternType="solid">
        <fgColor rgb="FFEFF6FF"/>
        <bgColor rgb="FFF6F7F8"/>
      </patternFill>
    </fill>
    <fill>
      <patternFill patternType="solid">
        <fgColor rgb="FFFFFFFF"/>
        <bgColor rgb="FFF6F7F8"/>
      </patternFill>
    </fill>
    <fill>
      <patternFill patternType="solid">
        <fgColor rgb="FFFEF2F2"/>
        <bgColor rgb="FFF6F7F8"/>
      </patternFill>
    </fill>
    <fill>
      <patternFill patternType="solid">
        <fgColor rgb="FFB45309"/>
        <bgColor rgb="FF993366"/>
      </patternFill>
    </fill>
    <fill>
      <patternFill patternType="solid">
        <fgColor rgb="FF1D4ED8"/>
        <bgColor rgb="FF3366FF"/>
      </patternFill>
    </fill>
    <fill>
      <patternFill patternType="solid">
        <fgColor rgb="FF0D6B5F"/>
      </patternFill>
    </fill>
    <fill>
      <patternFill patternType="solid">
        <fgColor rgb="FFF6F7F8"/>
      </patternFill>
    </fill>
  </fills>
  <borders count="5">
    <border>
      <left/>
      <right/>
      <top/>
      <bottom/>
      <diagonal/>
    </border>
    <border>
      <left style="thin">
        <color rgb="FFD5D8DC"/>
      </left>
      <right style="thin">
        <color rgb="FFD5D8DC"/>
      </right>
      <top style="thin">
        <color rgb="FFD5D8DC"/>
      </top>
      <bottom style="thin">
        <color rgb="FFD5D8DC"/>
      </bottom>
      <diagonal/>
    </border>
    <border>
      <left style="thin">
        <color rgb="FFD5D8DC"/>
      </left>
      <right style="thin">
        <color rgb="FFD5D8DC"/>
      </right>
      <top style="thin">
        <color rgb="FFD5D8DC"/>
      </top>
      <bottom/>
      <diagonal/>
    </border>
    <border>
      <left/>
      <right style="thin">
        <color rgb="FFD5D8DC"/>
      </right>
      <top/>
      <bottom/>
      <diagonal/>
    </border>
    <border>
      <left/>
      <right style="thin">
        <color rgb="FFD5D8DC"/>
      </right>
      <top style="thin">
        <color rgb="FFD5D8DC"/>
      </top>
      <bottom style="thin">
        <color rgb="FFD5D8D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5">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general" vertical="top" wrapText="1"/>
    </xf>
    <xf numFmtId="0" fontId="6" fillId="3" borderId="1" applyAlignment="1" pivotButton="0" quotePrefix="0" xfId="0">
      <alignment horizontal="general" vertical="bottom"/>
    </xf>
    <xf numFmtId="0" fontId="0" fillId="3" borderId="1" applyAlignment="1" pivotButton="0" quotePrefix="0" xfId="0">
      <alignment horizontal="general" vertical="bottom"/>
    </xf>
    <xf numFmtId="0" fontId="7" fillId="0" borderId="0" applyAlignment="1" pivotButton="0" quotePrefix="0" xfId="0">
      <alignment horizontal="general" vertical="bottom"/>
    </xf>
    <xf numFmtId="49" fontId="7" fillId="0" borderId="1" applyAlignment="1" pivotButton="0" quotePrefix="0" xfId="0">
      <alignment horizontal="general" vertical="bottom"/>
    </xf>
    <xf numFmtId="0" fontId="5" fillId="0" borderId="0" applyAlignment="1" pivotButton="0" quotePrefix="0" xfId="0">
      <alignment horizontal="general" vertical="top" wrapText="1"/>
    </xf>
    <xf numFmtId="2" fontId="7" fillId="0" borderId="1" applyAlignment="1" pivotButton="0" quotePrefix="0" xfId="0">
      <alignment horizontal="general" vertical="bottom"/>
    </xf>
    <xf numFmtId="0" fontId="6" fillId="0" borderId="0" applyAlignment="1" pivotButton="0" quotePrefix="0" xfId="0">
      <alignment horizontal="general" vertical="bottom"/>
    </xf>
    <xf numFmtId="3" fontId="6" fillId="0" borderId="1" applyAlignment="1" pivotButton="0" quotePrefix="0" xfId="0">
      <alignment horizontal="general" vertical="bottom"/>
    </xf>
    <xf numFmtId="3" fontId="7" fillId="0" borderId="1" applyAlignment="1" pivotButton="0" quotePrefix="0" xfId="0">
      <alignment horizontal="general" vertical="bottom"/>
    </xf>
    <xf numFmtId="4" fontId="7" fillId="0" borderId="1" applyAlignment="1" pivotButton="0" quotePrefix="0" xfId="0">
      <alignment horizontal="general" vertical="bottom"/>
    </xf>
    <xf numFmtId="3" fontId="7" fillId="0" borderId="2" applyAlignment="1" pivotButton="0" quotePrefix="0" xfId="0">
      <alignment horizontal="general" vertical="bottom"/>
    </xf>
    <xf numFmtId="0" fontId="7" fillId="0" borderId="3" applyAlignment="1" pivotButton="0" quotePrefix="0" xfId="0">
      <alignment horizontal="left" vertical="bottom"/>
    </xf>
    <xf numFmtId="164" fontId="7" fillId="0" borderId="4" applyAlignment="1" pivotButton="0" quotePrefix="0" xfId="0">
      <alignment horizontal="general" vertical="bottom"/>
    </xf>
    <xf numFmtId="165" fontId="7" fillId="0" borderId="4"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top" wrapText="1"/>
    </xf>
    <xf numFmtId="0" fontId="5" fillId="0" borderId="0" applyAlignment="1" pivotButton="0" quotePrefix="0" xfId="0">
      <alignment horizontal="general" vertical="bottom"/>
    </xf>
    <xf numFmtId="0" fontId="9" fillId="4" borderId="1" applyAlignment="1" pivotButton="0" quotePrefix="0" xfId="0">
      <alignment horizontal="center" vertical="bottom"/>
    </xf>
    <xf numFmtId="4" fontId="9" fillId="4" borderId="1" applyAlignment="1" pivotButton="0" quotePrefix="0" xfId="0">
      <alignment horizontal="general" vertical="bottom"/>
    </xf>
    <xf numFmtId="164" fontId="9" fillId="4" borderId="1" applyAlignment="1" pivotButton="0" quotePrefix="0" xfId="0">
      <alignment horizontal="general" vertical="bottom"/>
    </xf>
    <xf numFmtId="3" fontId="9" fillId="4" borderId="1" applyAlignment="1" pivotButton="0" quotePrefix="0" xfId="0">
      <alignment horizontal="general" vertical="bottom"/>
    </xf>
    <xf numFmtId="164" fontId="9" fillId="4" borderId="2" applyAlignment="1" pivotButton="0" quotePrefix="0" xfId="0">
      <alignment horizontal="general" vertical="bottom"/>
    </xf>
    <xf numFmtId="0" fontId="7" fillId="0" borderId="0" applyAlignment="1" pivotButton="0" quotePrefix="0" xfId="0">
      <alignment horizontal="left" vertical="bottom"/>
    </xf>
    <xf numFmtId="2" fontId="10" fillId="4" borderId="1" applyAlignment="1" pivotButton="0" quotePrefix="0" xfId="0">
      <alignment horizontal="general" vertical="bottom"/>
    </xf>
    <xf numFmtId="1" fontId="11" fillId="5" borderId="1"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center" vertical="bottom"/>
    </xf>
    <xf numFmtId="0" fontId="5" fillId="3" borderId="0" applyAlignment="1" pivotButton="0" quotePrefix="0" xfId="0">
      <alignment horizontal="general" vertical="bottom"/>
    </xf>
    <xf numFmtId="0" fontId="7" fillId="3" borderId="0" applyAlignment="1" pivotButton="0" quotePrefix="0" xfId="0">
      <alignment horizontal="general" vertical="top" wrapText="1"/>
    </xf>
    <xf numFmtId="0" fontId="5" fillId="3" borderId="0" applyAlignment="1" pivotButton="0" quotePrefix="0" xfId="0">
      <alignment horizontal="general" vertical="top" wrapText="1"/>
    </xf>
    <xf numFmtId="4" fontId="9" fillId="6" borderId="1" applyAlignment="1" pivotButton="0" quotePrefix="0" xfId="0">
      <alignment horizontal="general" vertical="bottom"/>
    </xf>
    <xf numFmtId="0" fontId="8" fillId="6" borderId="0" applyAlignment="1" pivotButton="0" quotePrefix="0" xfId="0">
      <alignment horizontal="center" vertical="bottom"/>
    </xf>
    <xf numFmtId="4" fontId="9" fillId="6" borderId="0" applyAlignment="1" pivotButton="0" quotePrefix="0" xfId="0">
      <alignment horizontal="general" vertical="bottom"/>
    </xf>
    <xf numFmtId="0" fontId="8" fillId="0" borderId="0" applyAlignment="1" pivotButton="0" quotePrefix="0" xfId="0">
      <alignment horizontal="general" vertical="bottom"/>
    </xf>
    <xf numFmtId="0" fontId="4" fillId="7" borderId="0" applyAlignment="1" pivotButton="0" quotePrefix="0" xfId="0">
      <alignment horizontal="general" vertical="center" indent="1"/>
    </xf>
    <xf numFmtId="0" fontId="5" fillId="3" borderId="1" applyAlignment="1" pivotButton="0" quotePrefix="0" xfId="0">
      <alignment horizontal="general" vertical="bottom"/>
    </xf>
    <xf numFmtId="2" fontId="6" fillId="0" borderId="1" applyAlignment="1" pivotButton="0" quotePrefix="0" xfId="0">
      <alignment horizontal="general" vertical="bottom"/>
    </xf>
    <xf numFmtId="0" fontId="8" fillId="0" borderId="0" applyAlignment="1" pivotButton="0" quotePrefix="0" xfId="0">
      <alignment horizontal="general" vertical="bottom"/>
    </xf>
    <xf numFmtId="0" fontId="4" fillId="8" borderId="0" applyAlignment="1" pivotButton="0" quotePrefix="0" xfId="0">
      <alignment horizontal="general" vertical="center" indent="1"/>
    </xf>
    <xf numFmtId="0" fontId="0" fillId="0" borderId="0" applyAlignment="1" pivotButton="0" quotePrefix="0" xfId="0">
      <alignment horizontal="general" vertical="bottom"/>
    </xf>
    <xf numFmtId="164" fontId="7" fillId="0" borderId="1" applyAlignment="1" pivotButton="0" quotePrefix="0" xfId="0">
      <alignment horizontal="general" vertical="bottom"/>
    </xf>
    <xf numFmtId="2" fontId="7" fillId="0" borderId="0" applyAlignment="1" pivotButton="0" quotePrefix="0" xfId="0">
      <alignment horizontal="general" vertical="bottom"/>
    </xf>
    <xf numFmtId="3" fontId="7" fillId="0" borderId="0" applyAlignment="1" pivotButton="0" quotePrefix="0" xfId="0">
      <alignment horizontal="general" vertical="bottom"/>
    </xf>
    <xf numFmtId="0" fontId="6" fillId="3" borderId="0" applyAlignment="1" pivotButton="0" quotePrefix="0" xfId="0">
      <alignment horizontal="general" vertical="bottom"/>
    </xf>
    <xf numFmtId="4" fontId="0" fillId="0" borderId="1" applyAlignment="1" pivotButton="0" quotePrefix="0" xfId="0">
      <alignment horizontal="general" vertical="bottom"/>
    </xf>
    <xf numFmtId="3" fontId="0" fillId="0" borderId="1" applyAlignment="1" pivotButton="0" quotePrefix="0" xfId="0">
      <alignment horizontal="general" vertical="bottom"/>
    </xf>
    <xf numFmtId="0" fontId="8" fillId="6" borderId="0" applyAlignment="1" pivotButton="0" quotePrefix="0" xfId="0">
      <alignment horizontal="general" vertical="bottom"/>
    </xf>
    <xf numFmtId="4"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12" fillId="0" borderId="0" applyAlignment="1" pivotButton="0" quotePrefix="0" xfId="0">
      <alignment horizontal="general" vertical="bottom"/>
    </xf>
    <xf numFmtId="166" fontId="12" fillId="0" borderId="0" applyAlignment="1" pivotButton="0" quotePrefix="0" xfId="0">
      <alignment horizontal="general" vertical="bottom"/>
    </xf>
    <xf numFmtId="165" fontId="12" fillId="0" borderId="0" applyAlignment="1" pivotButton="0" quotePrefix="0" xfId="0">
      <alignment horizontal="general" vertical="bottom"/>
    </xf>
    <xf numFmtId="3" fontId="12" fillId="0" borderId="0" applyAlignment="1" pivotButton="0" quotePrefix="0" xfId="0">
      <alignment horizontal="general" vertical="bottom"/>
    </xf>
    <xf numFmtId="2" fontId="12" fillId="0" borderId="0" applyAlignment="1" pivotButton="0" quotePrefix="0" xfId="0">
      <alignment horizontal="general" vertical="bottom"/>
    </xf>
    <xf numFmtId="9" fontId="12" fillId="0" borderId="0" applyAlignment="1" pivotButton="0" quotePrefix="0" xfId="0">
      <alignment horizontal="general" vertical="bottom"/>
    </xf>
    <xf numFmtId="1" fontId="12" fillId="0" borderId="0" applyAlignment="1" pivotButton="0" quotePrefix="0" xfId="0">
      <alignment horizontal="general" vertical="bottom"/>
    </xf>
    <xf numFmtId="167" fontId="12" fillId="0" borderId="0" applyAlignment="1" pivotButton="0" quotePrefix="0" xfId="0">
      <alignment horizontal="general" vertical="bottom"/>
    </xf>
    <xf numFmtId="0" fontId="13" fillId="0" borderId="0" applyAlignment="1" pivotButton="0" quotePrefix="0" xfId="0">
      <alignment horizontal="general" vertical="bottom"/>
    </xf>
    <xf numFmtId="3" fontId="13" fillId="0" borderId="0" applyAlignment="1" pivotButton="0" quotePrefix="0" xfId="0">
      <alignment horizontal="general" vertical="bottom"/>
    </xf>
    <xf numFmtId="0" fontId="14" fillId="3" borderId="0" applyAlignment="1" pivotButton="0" quotePrefix="0" xfId="0">
      <alignment horizontal="general" vertical="bottom" wrapText="1"/>
    </xf>
    <xf numFmtId="3" fontId="0" fillId="0" borderId="0" applyAlignment="1" pivotButton="0" quotePrefix="0" xfId="0">
      <alignment horizontal="general" vertical="bottom"/>
    </xf>
    <xf numFmtId="0" fontId="12" fillId="0" borderId="0" applyAlignment="1" pivotButton="0" quotePrefix="0" xfId="0">
      <alignment horizontal="general" vertical="bottom"/>
    </xf>
    <xf numFmtId="168"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general" vertical="top" wrapText="1"/>
    </xf>
    <xf numFmtId="0" fontId="6" fillId="3" borderId="1" applyAlignment="1" pivotButton="0" quotePrefix="0" xfId="0">
      <alignment horizontal="general" vertical="bottom"/>
    </xf>
    <xf numFmtId="0" fontId="0" fillId="3" borderId="1" applyAlignment="1" pivotButton="0" quotePrefix="0" xfId="0">
      <alignment horizontal="general" vertical="bottom"/>
    </xf>
    <xf numFmtId="0" fontId="7" fillId="0" borderId="0" applyAlignment="1" pivotButton="0" quotePrefix="0" xfId="0">
      <alignment horizontal="general" vertical="bottom"/>
    </xf>
    <xf numFmtId="49" fontId="7" fillId="0" borderId="1" applyAlignment="1" pivotButton="0" quotePrefix="0" xfId="0">
      <alignment horizontal="general" vertical="bottom"/>
    </xf>
    <xf numFmtId="2" fontId="7" fillId="0" borderId="1" applyAlignment="1" pivotButton="0" quotePrefix="0" xfId="0">
      <alignment horizontal="general" vertical="bottom"/>
    </xf>
    <xf numFmtId="0" fontId="6" fillId="0" borderId="0" applyAlignment="1" pivotButton="0" quotePrefix="0" xfId="0">
      <alignment horizontal="general" vertical="bottom"/>
    </xf>
    <xf numFmtId="3" fontId="6" fillId="0" borderId="1" applyAlignment="1" pivotButton="0" quotePrefix="0" xfId="0">
      <alignment horizontal="general" vertical="bottom"/>
    </xf>
    <xf numFmtId="3" fontId="7" fillId="0" borderId="1" applyAlignment="1" pivotButton="0" quotePrefix="0" xfId="0">
      <alignment horizontal="general" vertical="bottom"/>
    </xf>
    <xf numFmtId="4" fontId="7" fillId="0" borderId="1" applyAlignment="1" pivotButton="0" quotePrefix="0" xfId="0">
      <alignment horizontal="general" vertical="bottom"/>
    </xf>
    <xf numFmtId="3" fontId="7" fillId="0" borderId="2" applyAlignment="1" pivotButton="0" quotePrefix="0" xfId="0">
      <alignment horizontal="general" vertical="bottom"/>
    </xf>
    <xf numFmtId="0" fontId="7" fillId="0" borderId="3" applyAlignment="1" pivotButton="0" quotePrefix="0" xfId="0">
      <alignment horizontal="left" vertical="bottom"/>
    </xf>
    <xf numFmtId="164" fontId="7" fillId="0" borderId="4" applyAlignment="1" pivotButton="0" quotePrefix="0" xfId="0">
      <alignment horizontal="general" vertical="bottom"/>
    </xf>
    <xf numFmtId="165" fontId="7" fillId="0" borderId="4"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top" wrapText="1"/>
    </xf>
    <xf numFmtId="0" fontId="20" fillId="0" borderId="0" pivotButton="0" quotePrefix="0" xfId="0"/>
    <xf numFmtId="0" fontId="22" fillId="0" borderId="0" pivotButton="0" quotePrefix="0" xfId="0"/>
    <xf numFmtId="0" fontId="15" fillId="0" borderId="0" pivotButton="0" quotePrefix="0" xfId="0"/>
    <xf numFmtId="3" fontId="0" fillId="0" borderId="0" pivotButton="0" quotePrefix="0" xfId="0"/>
    <xf numFmtId="164" fontId="0" fillId="0" borderId="0" pivotButton="0" quotePrefix="0" xfId="0"/>
    <xf numFmtId="0" fontId="9" fillId="4" borderId="1" applyAlignment="1" pivotButton="0" quotePrefix="0" xfId="0">
      <alignment horizontal="center" vertical="bottom"/>
    </xf>
    <xf numFmtId="4" fontId="9" fillId="4" borderId="1" applyAlignment="1" pivotButton="0" quotePrefix="0" xfId="0">
      <alignment horizontal="general" vertical="bottom"/>
    </xf>
    <xf numFmtId="164" fontId="9" fillId="4" borderId="1" applyAlignment="1" pivotButton="0" quotePrefix="0" xfId="0">
      <alignment horizontal="general" vertical="bottom"/>
    </xf>
    <xf numFmtId="3" fontId="9" fillId="4" borderId="1" applyAlignment="1" pivotButton="0" quotePrefix="0" xfId="0">
      <alignment horizontal="general" vertical="bottom"/>
    </xf>
    <xf numFmtId="164" fontId="9" fillId="4" borderId="2" applyAlignment="1" pivotButton="0" quotePrefix="0" xfId="0">
      <alignment horizontal="general" vertical="bottom"/>
    </xf>
    <xf numFmtId="0" fontId="7" fillId="0" borderId="0" applyAlignment="1" pivotButton="0" quotePrefix="0" xfId="0">
      <alignment horizontal="left" vertical="bottom"/>
    </xf>
    <xf numFmtId="2" fontId="10" fillId="4" borderId="1" applyAlignment="1" pivotButton="0" quotePrefix="0" xfId="0">
      <alignment horizontal="general" vertical="bottom"/>
    </xf>
    <xf numFmtId="1" fontId="11" fillId="5" borderId="1" applyAlignment="1" pivotButton="0" quotePrefix="0" xfId="0">
      <alignment horizontal="general" vertical="bottom"/>
    </xf>
    <xf numFmtId="0" fontId="18" fillId="9" borderId="0" pivotButton="0" quotePrefix="0" xfId="0"/>
    <xf numFmtId="0" fontId="0" fillId="9" borderId="0" pivotButton="0" quotePrefix="0" xfId="0"/>
    <xf numFmtId="0" fontId="19" fillId="0" borderId="0" pivotButton="0" quotePrefix="0" xfId="0"/>
    <xf numFmtId="0" fontId="16" fillId="0" borderId="0" applyAlignment="1" pivotButton="0" quotePrefix="0" xfId="0">
      <alignment vertical="top" wrapText="1"/>
    </xf>
    <xf numFmtId="0" fontId="7" fillId="0" borderId="0" applyAlignment="1" pivotButton="0" quotePrefix="0" xfId="0">
      <alignment horizontal="general" vertical="top" wrapText="1"/>
    </xf>
    <xf numFmtId="0" fontId="5" fillId="0" borderId="0" applyAlignment="1" pivotButton="0" quotePrefix="0" xfId="0">
      <alignment horizontal="center" vertical="bottom"/>
    </xf>
    <xf numFmtId="0" fontId="5" fillId="3" borderId="0" applyAlignment="1" pivotButton="0" quotePrefix="0" xfId="0">
      <alignment horizontal="general" vertical="bottom"/>
    </xf>
    <xf numFmtId="0" fontId="7" fillId="3" borderId="0" applyAlignment="1" pivotButton="0" quotePrefix="0" xfId="0">
      <alignment horizontal="general" vertical="top" wrapText="1"/>
    </xf>
    <xf numFmtId="0" fontId="5" fillId="3" borderId="0" applyAlignment="1" pivotButton="0" quotePrefix="0" xfId="0">
      <alignment horizontal="general" vertical="top" wrapText="1"/>
    </xf>
    <xf numFmtId="4" fontId="9" fillId="6" borderId="1" applyAlignment="1" pivotButton="0" quotePrefix="0" xfId="0">
      <alignment horizontal="general" vertical="bottom"/>
    </xf>
    <xf numFmtId="0" fontId="8" fillId="6" borderId="0" applyAlignment="1" pivotButton="0" quotePrefix="0" xfId="0">
      <alignment horizontal="center" vertical="bottom"/>
    </xf>
    <xf numFmtId="4" fontId="9" fillId="6" borderId="0" applyAlignment="1" pivotButton="0" quotePrefix="0" xfId="0">
      <alignment horizontal="general" vertical="bottom"/>
    </xf>
    <xf numFmtId="0" fontId="8" fillId="0" borderId="0" applyAlignment="1" pivotButton="0" quotePrefix="0" xfId="0">
      <alignment horizontal="general" vertical="bottom"/>
    </xf>
    <xf numFmtId="0" fontId="16" fillId="0" borderId="0" pivotButton="0" quotePrefix="0" xfId="0"/>
    <xf numFmtId="0" fontId="17" fillId="0" borderId="0" pivotButton="0" quotePrefix="0" xfId="0"/>
    <xf numFmtId="0" fontId="4" fillId="7" borderId="0" applyAlignment="1" pivotButton="0" quotePrefix="0" xfId="0">
      <alignment horizontal="general" vertical="center" indent="1"/>
    </xf>
    <xf numFmtId="0" fontId="5" fillId="3" borderId="1" applyAlignment="1" pivotButton="0" quotePrefix="0" xfId="0">
      <alignment horizontal="general" vertical="bottom"/>
    </xf>
    <xf numFmtId="2" fontId="6" fillId="0" borderId="1" applyAlignment="1" pivotButton="0" quotePrefix="0" xfId="0">
      <alignment horizontal="general" vertical="bottom"/>
    </xf>
    <xf numFmtId="0" fontId="4" fillId="8" borderId="0" applyAlignment="1" pivotButton="0" quotePrefix="0" xfId="0">
      <alignment horizontal="general" vertical="center" indent="1"/>
    </xf>
    <xf numFmtId="164" fontId="7" fillId="0" borderId="1" applyAlignment="1" pivotButton="0" quotePrefix="0" xfId="0">
      <alignment horizontal="general" vertical="bottom"/>
    </xf>
    <xf numFmtId="2" fontId="7" fillId="0" borderId="0" applyAlignment="1" pivotButton="0" quotePrefix="0" xfId="0">
      <alignment horizontal="general" vertical="bottom"/>
    </xf>
    <xf numFmtId="3" fontId="7" fillId="0" borderId="0" applyAlignment="1" pivotButton="0" quotePrefix="0" xfId="0">
      <alignment horizontal="general" vertical="bottom"/>
    </xf>
    <xf numFmtId="0" fontId="6" fillId="3" borderId="0" applyAlignment="1" pivotButton="0" quotePrefix="0" xfId="0">
      <alignment horizontal="general" vertical="bottom"/>
    </xf>
    <xf numFmtId="2" fontId="0" fillId="0" borderId="0" pivotButton="0" quotePrefix="0" xfId="0"/>
    <xf numFmtId="4" fontId="0" fillId="0" borderId="1" applyAlignment="1" pivotButton="0" quotePrefix="0" xfId="0">
      <alignment horizontal="general" vertical="bottom"/>
    </xf>
    <xf numFmtId="3" fontId="0" fillId="0" borderId="1" applyAlignment="1" pivotButton="0" quotePrefix="0" xfId="0">
      <alignment horizontal="general" vertical="bottom"/>
    </xf>
    <xf numFmtId="0" fontId="8" fillId="6" borderId="0" applyAlignment="1" pivotButton="0" quotePrefix="0" xfId="0">
      <alignment horizontal="general" vertical="bottom"/>
    </xf>
    <xf numFmtId="4"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14" fillId="3" borderId="0" applyAlignment="1" pivotButton="0" quotePrefix="0" xfId="0">
      <alignment horizontal="general" vertical="bottom" wrapText="1"/>
    </xf>
    <xf numFmtId="0" fontId="12" fillId="0" borderId="0" applyAlignment="1" pivotButton="0" quotePrefix="0" xfId="0">
      <alignment horizontal="general" vertical="bottom"/>
    </xf>
    <xf numFmtId="2" fontId="12" fillId="0" borderId="0" applyAlignment="1" pivotButton="0" quotePrefix="0" xfId="0">
      <alignment horizontal="general" vertical="bottom"/>
    </xf>
    <xf numFmtId="1" fontId="12" fillId="0" borderId="0" applyAlignment="1" pivotButton="0" quotePrefix="0" xfId="0">
      <alignment horizontal="general" vertical="bottom"/>
    </xf>
    <xf numFmtId="168" fontId="12" fillId="0" borderId="0" applyAlignment="1" pivotButton="0" quotePrefix="0" xfId="0">
      <alignment horizontal="general" vertical="bottom"/>
    </xf>
    <xf numFmtId="0" fontId="20" fillId="0" borderId="0" applyAlignment="1" pivotButton="0" quotePrefix="0" xfId="0">
      <alignment vertical="top" wrapText="1"/>
    </xf>
    <xf numFmtId="0" fontId="15" fillId="10" borderId="0" pivotButton="0" quotePrefix="0" xfId="0"/>
    <xf numFmtId="0" fontId="0" fillId="10" borderId="0" pivotButton="0" quotePrefix="0" xfId="0"/>
    <xf numFmtId="165" fontId="16" fillId="0" borderId="0" pivotButton="0" quotePrefix="0" xfId="0"/>
    <xf numFmtId="1" fontId="16" fillId="0" borderId="0" pivotButton="0" quotePrefix="0" xfId="0"/>
    <xf numFmtId="9" fontId="16" fillId="0" borderId="0" pivotButton="0" quotePrefix="0" xfId="0"/>
    <xf numFmtId="164" fontId="16" fillId="0" borderId="0" pivotButton="0" quotePrefix="0" xfId="0"/>
    <xf numFmtId="0" fontId="19" fillId="0" borderId="0" applyAlignment="1" pivotButton="0" quotePrefix="0" xfId="0">
      <alignment vertical="top" wrapText="1"/>
    </xf>
    <xf numFmtId="165" fontId="0" fillId="0" borderId="0" pivotButton="0" quotePrefix="0" xfId="0"/>
    <xf numFmtId="1" fontId="0" fillId="0" borderId="0" pivotButton="0" quotePrefix="0" xfId="0"/>
    <xf numFmtId="9" fontId="0" fillId="0" borderId="0" pivotButton="0" quotePrefix="0" xfId="0"/>
    <xf numFmtId="3" fontId="16" fillId="0" borderId="0" pivotButton="0" quotePrefix="0" xfId="0"/>
    <xf numFmtId="2" fontId="16" fillId="0" borderId="0" pivotButton="0" quotePrefix="0" xfId="0"/>
    <xf numFmtId="166" fontId="0" fillId="0" borderId="0" pivotButton="0" quotePrefix="0" xfId="0"/>
    <xf numFmtId="3" fontId="16" fillId="0" borderId="0" applyAlignment="1" pivotButton="0" quotePrefix="0" xfId="0">
      <alignment vertical="top" wrapText="1"/>
    </xf>
    <xf numFmtId="167" fontId="0" fillId="0" borderId="0" pivotButton="0" quotePrefix="0" xfId="0"/>
    <xf numFmtId="0" fontId="21" fillId="0" borderId="0" applyAlignment="1" pivotButton="0" quotePrefix="0" xfId="0">
      <alignment vertical="bottom" wrapText="1"/>
    </xf>
    <xf numFmtId="4" fontId="0" fillId="0" borderId="0" pivotButton="0" quotePrefix="0" xfId="0"/>
    <xf numFmtId="10" fontId="0" fillId="0" borderId="0" pivotButton="0" quotePrefix="0" xfId="0"/>
    <xf numFmtId="168"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6B5F"/>
      <rgbColor rgb="FFC0C0C0"/>
      <rgbColor rgb="FF808080"/>
      <rgbColor rgb="FF9999FF"/>
      <rgbColor rgb="FFB45309"/>
      <rgbColor rgb="FFFEF2F2"/>
      <rgbColor rgb="FFEFF6FF"/>
      <rgbColor rgb="FF660066"/>
      <rgbColor rgb="FFFF8080"/>
      <rgbColor rgb="FF1D4ED8"/>
      <rgbColor rgb="FFD5D8DC"/>
      <rgbColor rgb="FF000080"/>
      <rgbColor rgb="FFFF00FF"/>
      <rgbColor rgb="FFFFFF00"/>
      <rgbColor rgb="FF00FFFF"/>
      <rgbColor rgb="FF800080"/>
      <rgbColor rgb="FF800000"/>
      <rgbColor rgb="FF008080"/>
      <rgbColor rgb="FF0000FF"/>
      <rgbColor rgb="FF00CCFF"/>
      <rgbColor rgb="FFF6F7F8"/>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14171A"/>
      <rgbColor rgb="FF333300"/>
      <rgbColor rgb="FFB91C1C"/>
      <rgbColor rgb="FF993366"/>
      <rgbColor rgb="FF6D28D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xmlns:r="http://schemas.openxmlformats.org/officeDocument/2006/relationships" name="Archegon">
  <a:themeElements>
    <a:clrScheme name="Archegon">
      <a:dk1>
        <a:srgbClr val="000000"/>
      </a:dk1>
      <a:lt1>
        <a:srgbClr val="ffffff"/>
      </a:lt1>
      <a:dk2>
        <a:srgbClr val="14171a"/>
      </a:dk2>
      <a:lt2>
        <a:srgbClr val="f4f5f6"/>
      </a:lt2>
      <a:accent1>
        <a:srgbClr val="0d6b5f"/>
      </a:accent1>
      <a:accent2>
        <a:srgbClr val="b45309"/>
      </a:accent2>
      <a:accent3>
        <a:srgbClr val="1d4ed8"/>
      </a:accent3>
      <a:accent4>
        <a:srgbClr val="6d28d9"/>
      </a:accent4>
      <a:accent5>
        <a:srgbClr val="b91c1c"/>
      </a:accent5>
      <a:accent6>
        <a:srgbClr val="ca8a04"/>
      </a:accent6>
      <a:hlink>
        <a:srgbClr val="0d6b5f"/>
      </a:hlink>
      <a:folHlink>
        <a:srgbClr val="6b7280"/>
      </a:folHlink>
    </a:clrScheme>
    <a:fontScheme name="Archegon">
      <a:majorFont>
        <a:latin typeface="Arial" pitchFamily="0" charset="1"/>
        <a:ea typeface=""/>
        <a:cs typeface=""/>
      </a:majorFont>
      <a:minorFont>
        <a:latin typeface="Arial"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D6B5F"/>
    <outlinePr summaryBelow="1" summaryRight="1"/>
    <pageSetUpPr fitToPage="1"/>
  </sheetPr>
  <dimension ref="A1:F54"/>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46" customWidth="1" style="68" min="1" max="1"/>
    <col width="22" customWidth="1" style="68" min="2" max="2"/>
    <col width="66" customWidth="1" style="68" min="3" max="3"/>
    <col width="14" customWidth="1" style="68" min="4" max="5"/>
    <col width="20" customWidth="1" style="68" min="6" max="6"/>
  </cols>
  <sheetData>
    <row r="1" ht="27.75" customHeight="1" s="69">
      <c r="A1" s="70" t="inlineStr">
        <is>
          <t>ARCHEGON CAPITAL — PoC financial model. One page, then the evidence behind it.</t>
        </is>
      </c>
    </row>
    <row r="2"/>
    <row r="3" ht="30" customHeight="1" s="69">
      <c r="A3" s="71" t="inlineStr">
        <is>
          <t>A pure venture opportunity starting from zero: buy the land, buy or contract the power, buy the compute, build the infrastructure, obtain the legals. Proof of concept in Australia and/or New Zealand.</t>
        </is>
      </c>
    </row>
    <row r="4"/>
    <row r="5" ht="15.75" customHeight="1" s="69">
      <c r="A5" s="72" t="inlineStr">
        <is>
          <t>AT THE CURRENT CONTROL SETTINGS</t>
        </is>
      </c>
      <c r="B5" s="73" t="n"/>
      <c r="C5" s="73" t="n"/>
      <c r="D5" s="73" t="n"/>
      <c r="E5" s="73" t="n"/>
      <c r="F5" s="73" t="n"/>
    </row>
    <row r="6" ht="13.5" customHeight="1" s="69">
      <c r="A6" s="74" t="inlineStr">
        <is>
          <t>Route</t>
        </is>
      </c>
      <c r="B6" s="75">
        <f>Control!$B$4</f>
        <v/>
      </c>
      <c r="C6" s="71" t="inlineStr">
        <is>
          <t>Control switch.</t>
        </is>
      </c>
    </row>
    <row r="7" ht="13.5" customHeight="1" s="69">
      <c r="A7" s="74" t="inlineStr">
        <is>
          <t>Compute model</t>
        </is>
      </c>
      <c r="B7" s="75">
        <f>Control!$B$5</f>
        <v/>
      </c>
      <c r="C7" s="71" t="inlineStr">
        <is>
          <t>Control switch.</t>
        </is>
      </c>
    </row>
    <row r="8" ht="13.5" customHeight="1" s="69">
      <c r="A8" s="74" t="inlineStr">
        <is>
          <t>PoC capacity (MW critical IT)</t>
        </is>
      </c>
      <c r="B8" s="76">
        <f>Raise!$B$22</f>
        <v/>
      </c>
      <c r="C8" s="71" t="inlineStr">
        <is>
          <t>Control input, multiplied by sites funded. BOTH delivers two PoC sites.</t>
        </is>
      </c>
    </row>
    <row r="9" ht="15.75" customHeight="1" s="69">
      <c r="A9" s="77" t="inlineStr">
        <is>
          <t>TOTAL RAISE (AUD)</t>
        </is>
      </c>
      <c r="B9" s="78">
        <f>Raise!$B$14</f>
        <v/>
      </c>
      <c r="C9" s="71" t="inlineStr">
        <is>
          <t>Derived on the Raise tab. A FLOOR — every RATE_MISSING line sits at zero.</t>
        </is>
      </c>
    </row>
    <row r="10" ht="13.5" customHeight="1" s="69">
      <c r="A10" s="74" t="inlineStr">
        <is>
          <t>Total raise (USD)</t>
        </is>
      </c>
      <c r="B10" s="79">
        <f>Raise!$B$15</f>
        <v/>
      </c>
      <c r="C10" s="71" t="inlineStr">
        <is>
          <t>At the Rates FX.</t>
        </is>
      </c>
    </row>
    <row r="11" ht="13.5" customHeight="1" s="69">
      <c r="A11" s="74" t="inlineStr">
        <is>
          <t>Raise per kW of critical IT (AUD)</t>
        </is>
      </c>
      <c r="B11" s="80">
        <f>Raise!$B$23</f>
        <v/>
      </c>
      <c r="C11" s="71" t="n"/>
    </row>
    <row r="12" ht="13.5" customHeight="1" s="69">
      <c r="A12" s="74" t="inlineStr">
        <is>
          <t>Annual contribution once built and full (AUD)</t>
        </is>
      </c>
      <c r="B12" s="81">
        <f>'Compute-Revenue'!$B$31</f>
        <v/>
      </c>
      <c r="C12" s="71" t="inlineStr">
        <is>
          <t>Revenue less opex. Not EBITDA, not a return.</t>
        </is>
      </c>
    </row>
    <row r="13" ht="27.75" customHeight="1" s="69">
      <c r="A13" s="82" t="inlineStr">
        <is>
          <t>Contribution as a share of the raise (3.3% at base: below any cost of capital)</t>
        </is>
      </c>
      <c r="B13" s="83">
        <f>IF('Compute-Revenue'!$B$31&lt;=0,"n/a — contribution is not positive",B12/B9)</f>
        <v/>
      </c>
      <c r="C13" s="71" t="inlineStr">
        <is>
          <t>The first ratio a VC computes. Against a raise that is itself a FLOOR — six RATE_MISSING lines sit at zero — and an opex line that is also a floor.</t>
        </is>
      </c>
    </row>
    <row r="14" ht="27.75" customHeight="1" s="69">
      <c r="A14" s="82" t="inlineStr">
        <is>
          <t>Years of contribution to return the ask</t>
        </is>
      </c>
      <c r="B14" s="84">
        <f>Raise!$B$24</f>
        <v/>
      </c>
      <c r="C14" s="71" t="inlineStr">
        <is>
          <t>Not a payback period and not an IRR — no discounting, no ramp, no terminal value. State this number yourself before it is computed for you.</t>
        </is>
      </c>
    </row>
    <row r="15"/>
    <row r="16" ht="15.75" customHeight="1" s="69">
      <c r="A16" s="72" t="inlineStr">
        <is>
          <t>THE TWO ROUTES, SIDE BY SIDE</t>
        </is>
      </c>
      <c r="B16" s="73" t="n"/>
      <c r="C16" s="73" t="n"/>
      <c r="D16" s="73" t="n"/>
      <c r="E16" s="73" t="n"/>
      <c r="F16" s="73" t="n"/>
    </row>
    <row r="17" ht="13.5" customHeight="1" s="69">
      <c r="A17" s="74" t="inlineStr">
        <is>
          <t>Australia — total capex (AUD)</t>
        </is>
      </c>
      <c r="B17" s="79">
        <f>'AU-Route'!$B$43</f>
        <v/>
      </c>
      <c r="C17" s="71" t="inlineStr">
        <is>
          <t>A DRILLING play. Cooper Basin EGS. Archegon owns the reservoir.</t>
        </is>
      </c>
    </row>
    <row r="18" ht="13.5" customHeight="1" s="69">
      <c r="A18" s="74" t="inlineStr">
        <is>
          <t>Australia — wells in the programme</t>
        </is>
      </c>
      <c r="B18" s="76">
        <f>'AU-Route'!$B$10</f>
        <v/>
      </c>
      <c r="C18" s="71" t="inlineStr">
        <is>
          <t>Producers plus injectors, at the selected productivity case.</t>
        </is>
      </c>
    </row>
    <row r="19" ht="13.5" customHeight="1" s="69">
      <c r="A19" s="74" t="inlineStr">
        <is>
          <t>New Zealand — total capex (NZD)</t>
        </is>
      </c>
      <c r="B19" s="79">
        <f>'NZ-Route'!$B$38</f>
        <v/>
      </c>
      <c r="C19" s="71" t="inlineStr">
        <is>
          <t>A CONTRACTING play. TVZ. Archegon owns a contract, not a reservoir.</t>
        </is>
      </c>
    </row>
    <row r="20" ht="13.5" customHeight="1" s="69">
      <c r="A20" s="74" t="inlineStr">
        <is>
          <t>AU drilling spread, cheapest corner to dearest</t>
        </is>
      </c>
      <c r="B20" s="76">
        <f>Sensitivity!$B$15</f>
        <v/>
      </c>
      <c r="C20" s="71" t="inlineStr">
        <is>
          <t>Drilling alone, before a single server. The number to show first.</t>
        </is>
      </c>
    </row>
    <row r="21"/>
    <row r="22" ht="15.75" customHeight="1" s="69">
      <c r="A22" s="72" t="inlineStr">
        <is>
          <t>HOW TO READ THIS WORKBOOK</t>
        </is>
      </c>
      <c r="B22" s="73" t="n"/>
      <c r="C22" s="73" t="n"/>
      <c r="D22" s="73" t="n"/>
      <c r="E22" s="73" t="n"/>
      <c r="F22" s="73" t="n"/>
    </row>
    <row r="23" ht="13.5" customHeight="1" s="69">
      <c r="A23" s="85" t="inlineStr">
        <is>
          <t>• Control is the only tab with switches. Change one and every number in the workbook moves.</t>
        </is>
      </c>
    </row>
    <row r="24" ht="13.5" customHeight="1" s="69">
      <c r="A24" s="85" t="inlineStr">
        <is>
          <t>• Rates holds every sourced constant. The only unsourced figures are the Control inputs — capacity, contingency, runway, burn, capacity factor and PUE — each labelled ASSUMPTION where no finding exists.</t>
        </is>
      </c>
    </row>
    <row r="25" ht="13.5" customHeight="1" s="69">
      <c r="A25" s="85" t="inlineStr">
        <is>
          <t>• Traceability maps each rate to the finding id in facts/ that produced it.</t>
        </is>
      </c>
    </row>
    <row r="26" ht="13.5" customHeight="1" s="69">
      <c r="A26" s="85" t="inlineStr">
        <is>
          <t>• AU-Route and NZ-Route each carry four blocks: land, infrastructure, compute, legals.</t>
        </is>
      </c>
    </row>
    <row r="27"/>
    <row r="28" ht="15.75" customHeight="1" s="69">
      <c r="A28" s="72" t="inlineStr">
        <is>
          <t>EVIDENCE QUALITY — stated up front, not buried</t>
        </is>
      </c>
      <c r="B28" s="73" t="n"/>
      <c r="C28" s="73" t="n"/>
      <c r="D28" s="73" t="n"/>
      <c r="E28" s="73" t="n"/>
      <c r="F28" s="73" t="n"/>
    </row>
    <row r="29" ht="15.75" customHeight="1" s="69">
      <c r="A29" s="77" t="inlineStr">
        <is>
          <t>Rates by status</t>
        </is>
      </c>
    </row>
    <row r="30" ht="13.5" customHeight="1" s="69">
      <c r="A30" s="74" t="inlineStr">
        <is>
          <t>DERIVED</t>
        </is>
      </c>
      <c r="B30" s="74">
        <f>COUNTIF(Rates!$E$4:$E$90,$A30)</f>
        <v/>
      </c>
      <c r="C30" s="71" t="inlineStr">
        <is>
          <t>Computed here from sourced inputs. The arithmetic is shown.</t>
        </is>
      </c>
    </row>
    <row r="31" ht="13.5" customHeight="1" s="69">
      <c r="A31" s="74" t="inlineStr">
        <is>
          <t>INDICATIVE</t>
        </is>
      </c>
      <c r="B31" s="74">
        <f>COUNTIF(Rates!$E$4:$E$90,$A31)</f>
        <v/>
      </c>
      <c r="C31" s="71" t="inlineStr">
        <is>
          <t>A single source, or a vendor figure, not independently confirmed.</t>
        </is>
      </c>
    </row>
    <row r="32" ht="13.5" customHeight="1" s="69">
      <c r="A32" s="74" t="inlineStr">
        <is>
          <t>RATE_MISSING</t>
        </is>
      </c>
      <c r="B32" s="74">
        <f>COUNTIF(Rates!$E$4:$E$90,$A32)</f>
        <v/>
      </c>
      <c r="C32" s="71" t="inlineStr">
        <is>
          <t>NO SOURCE EXISTS. Ships at zero. A gap in the evidence, not a zero-cost item.</t>
        </is>
      </c>
    </row>
    <row r="33" ht="13.5" customHeight="1" s="69">
      <c r="A33" s="74" t="inlineStr">
        <is>
          <t>VERIFIED</t>
        </is>
      </c>
      <c r="B33" s="74">
        <f>COUNTIF(Rates!$E$4:$E$90,$A33)</f>
        <v/>
      </c>
      <c r="C33" s="71" t="inlineStr">
        <is>
          <t>Traced to a primary source and checked by an independent verifier.</t>
        </is>
      </c>
    </row>
    <row r="34" ht="13.5" customHeight="1" s="69">
      <c r="A34" s="74" t="inlineStr">
        <is>
          <t>VERIFIED-ESTIMATE</t>
        </is>
      </c>
      <c r="B34" s="74">
        <f>COUNTIF(Rates!$E$4:$E$90,$A34)</f>
        <v/>
      </c>
      <c r="C34" s="71" t="inlineStr">
        <is>
          <t>Sourced, but the source is itself an estimate or a range.</t>
        </is>
      </c>
    </row>
    <row r="35"/>
    <row r="36" ht="25.5" customHeight="1" s="69">
      <c r="A36" s="86" t="inlineStr">
        <is>
          <t>• v3: RATE_MISSING is counted by LINE on the route tabs (AU: 7 capex + 2 opex; NZ: 10), plus the new firm-power lines (BESS, standby, black start, hot-day derate, stimulation/test facilities). The rate-key tally above counts keys, not lines.</t>
        </is>
      </c>
    </row>
    <row r="37" ht="25.5" customHeight="1" s="69">
      <c r="A37" s="86" t="inlineStr">
        <is>
          <t>• No rate in this workbook depends on a CONTESTED finding. That was checked at build time, not asserted.</t>
        </is>
      </c>
    </row>
    <row r="38" ht="25.5" customHeight="1" s="69">
      <c r="A38" s="86" t="inlineStr">
        <is>
          <t>• This model produces no IRR and no NPV. An IRR built on RATE_MISSING blocks would be fiction with a decimal point on it — so the honest headline is the contribution-to-raise ratio above, stated plainly rather than omitted.</t>
        </is>
      </c>
    </row>
    <row r="39"/>
    <row r="40" ht="13.5" customHeight="1" s="69">
      <c r="A40" s="85" t="inlineStr">
        <is>
          <t>• v2 (10 Oct 2026): added Funding-Tiers (A$50m-A$500m sizing from the same unit economics) and Deck-Check (deck figures vs live model). No input, rate or formula on the original nine tabs was changed.</t>
        </is>
      </c>
    </row>
    <row r="41">
      <c r="A41" s="87" t="inlineStr">
        <is>
          <t>• v3 (12 Oct 2026): every point in the v3 review is tracked in CRITIQUE-TRACKER.md. New tabs: Definitions, Flow-Basis, Power-Economics, DC-Economics, Route-Compare, Firm-Power, Gated-Plan; Funding-Tiers rebuilt (whole modules, value optimiser). Headline reference raise unchanged at Control settings (Control BOTH now carries two teams).</t>
        </is>
      </c>
    </row>
    <row r="42">
      <c r="A42" s="88" t="inlineStr">
        <is>
          <t>• Read first: contribution is 3.3% of the raise; the power system costs about what the hall earns; the first capital that retires the key risk is a ~A$52m reservoir test (Gated-Plan).</t>
        </is>
      </c>
    </row>
    <row r="43"/>
    <row r="44">
      <c r="A44" s="89" t="inlineStr">
        <is>
          <t>RENTAL (colo) vs SELL COMPUTE (GPU-as-a-service), AU 5 MW reference: see Sell-Compute tab. PUBLIC PROXY inputs.</t>
        </is>
      </c>
    </row>
    <row r="45">
      <c r="A45" s="68" t="inlineStr">
        <is>
          <t>Colo: total capital, A$</t>
        </is>
      </c>
      <c r="B45" s="90">
        <f>'Sell-Compute'!$I$36</f>
        <v/>
      </c>
    </row>
    <row r="46">
      <c r="A46" s="68" t="inlineStr">
        <is>
          <t>Colo: annual contribution, A$</t>
        </is>
      </c>
      <c r="B46" s="90">
        <f>'Sell-Compute'!$I$46</f>
        <v/>
      </c>
    </row>
    <row r="47">
      <c r="A47" s="68" t="inlineStr">
        <is>
          <t>Colo: 25-yr IRR</t>
        </is>
      </c>
      <c r="B47" s="91">
        <f>'Sell-Compute'!$I$51</f>
        <v/>
      </c>
    </row>
    <row r="48">
      <c r="A48" s="68" t="inlineStr">
        <is>
          <t>Compute: total capital incl. GPUs, A$</t>
        </is>
      </c>
      <c r="B48" s="90">
        <f>'Sell-Compute'!$B$36</f>
        <v/>
      </c>
    </row>
    <row r="49">
      <c r="A49" s="68" t="inlineStr">
        <is>
          <t>Compute: EBITDA yr 1, A$</t>
        </is>
      </c>
      <c r="B49" s="90">
        <f>'Sell-Compute'!$B$46</f>
        <v/>
      </c>
    </row>
    <row r="50">
      <c r="A50" s="68" t="inlineStr">
        <is>
          <t>Compute: 25-yr IRR, prices decay ~25%/yr</t>
        </is>
      </c>
      <c r="B50" s="91">
        <f>'Sell-Compute'!$B$51</f>
        <v/>
      </c>
    </row>
    <row r="51">
      <c r="A51" s="68" t="inlineStr">
        <is>
          <t>Compute: 25-yr IRR, flat prices</t>
        </is>
      </c>
      <c r="B51" s="91">
        <f>'Sell-Compute'!$C$51</f>
        <v/>
      </c>
    </row>
    <row r="52">
      <c r="A52" s="68" t="inlineStr">
        <is>
          <t>Compute downside (47% util, remote discount, decay): IRR</t>
        </is>
      </c>
      <c r="B52" s="91">
        <f>'Sell-Compute'!$F$51</f>
        <v/>
      </c>
    </row>
    <row r="53">
      <c r="A53" s="68" t="inlineStr">
        <is>
          <t>NZ compute: IRR decay / flat</t>
        </is>
      </c>
      <c r="B53" s="91">
        <f>'Sell-Compute'!$D$51</f>
        <v/>
      </c>
    </row>
    <row r="54">
      <c r="A54" s="68" t="inlineStr"/>
      <c r="B54" s="91">
        <f>'Sell-Compute'!$E$51</f>
        <v/>
      </c>
    </row>
  </sheetData>
  <mergeCells count="9">
    <mergeCell ref="A24:F24"/>
    <mergeCell ref="A38:F38"/>
    <mergeCell ref="A36:F36"/>
    <mergeCell ref="A3:F3"/>
    <mergeCell ref="A1:F1"/>
    <mergeCell ref="A23:F23"/>
    <mergeCell ref="A37:F37"/>
    <mergeCell ref="A26:F26"/>
    <mergeCell ref="A25:F25"/>
  </mergeCell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round&amp;RSummary</oddFooter>
    <evenHeader/>
    <evenFooter/>
    <firstHeader/>
    <firstFooter/>
  </headerFooter>
</worksheet>
</file>

<file path=xl/worksheets/sheet2.xml><?xml version="1.0" encoding="utf-8"?>
<worksheet xmlns="http://schemas.openxmlformats.org/spreadsheetml/2006/main">
  <sheetPr filterMode="0">
    <tabColor rgb="FF0D6B5F"/>
    <outlinePr summaryBelow="1" summaryRight="1"/>
    <pageSetUpPr fitToPage="1"/>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34" customWidth="1" style="68" min="1" max="1"/>
    <col width="20" customWidth="1" style="68" min="2" max="2"/>
    <col width="46" customWidth="1" style="68" min="3" max="3"/>
    <col width="30" customWidth="1" style="68" min="4" max="4"/>
    <col width="14" customWidth="1" style="68" min="5" max="6"/>
  </cols>
  <sheetData>
    <row r="1" ht="27.75" customHeight="1" s="69">
      <c r="A1" s="70" t="inlineStr">
        <is>
          <t>ARCHEGON CAPITAL  ·  CONTROL — every switch that drives the model lives here</t>
        </is>
      </c>
    </row>
    <row r="2"/>
    <row r="3" ht="15.75" customHeight="1" s="69">
      <c r="A3" s="77" t="inlineStr">
        <is>
          <t>Switch</t>
        </is>
      </c>
      <c r="B3" s="77" t="inlineStr">
        <is>
          <t>Setting</t>
        </is>
      </c>
      <c r="C3" s="77" t="inlineStr">
        <is>
          <t>What it does</t>
        </is>
      </c>
      <c r="D3" s="77" t="inlineStr">
        <is>
          <t>Allowed values</t>
        </is>
      </c>
    </row>
    <row r="4" ht="30" customHeight="1" s="69">
      <c r="A4" s="74" t="inlineStr">
        <is>
          <t>Route</t>
        </is>
      </c>
      <c r="B4" s="92" t="inlineStr">
        <is>
          <t>AU</t>
        </is>
      </c>
      <c r="C4" s="71" t="inlineStr">
        <is>
          <t>Which route the Summary and Raise tabs report. Both route tabs always compute; this picks what rolls up.</t>
        </is>
      </c>
      <c r="D4" s="85" t="inlineStr">
        <is>
          <t>AU / NZ / BOTH</t>
        </is>
      </c>
    </row>
    <row r="5" ht="30" customHeight="1" s="69">
      <c r="A5" s="74" t="inlineStr">
        <is>
          <t>Compute model</t>
        </is>
      </c>
      <c r="B5" s="92" t="inlineStr">
        <is>
          <t>COLO</t>
        </is>
      </c>
      <c r="C5" s="71" t="inlineStr">
        <is>
          <t>Revenue basis. COLO = sell space+power per kW. ANCHOR = long take-or-pay lease. BAREMETAL = own the GPUs, sell compute.</t>
        </is>
      </c>
      <c r="D5" s="85" t="inlineStr">
        <is>
          <t>COLO / ANCHOR / BAREMETAL</t>
        </is>
      </c>
    </row>
    <row r="6" ht="30" customHeight="1" s="69">
      <c r="A6" s="74" t="inlineStr">
        <is>
          <t>Well productivity</t>
        </is>
      </c>
      <c r="B6" s="92" t="inlineStr">
        <is>
          <t>BASE</t>
        </is>
      </c>
      <c r="C6" s="71" t="inlineStr">
        <is>
          <t>MWe per production well. LOW = GeoExpro bear case (2 MWe). BASE = 4-6 MWe midpoint. HIGH = Fervo claim (10-16), unproven at scale. v3: all cases are NET MWe per producer at the plant fence (see Definitions); HIGH is a gross source figure used as an upper bound.</t>
        </is>
      </c>
      <c r="D6" s="85" t="inlineStr">
        <is>
          <t>LOW / BASE / HIGH</t>
        </is>
      </c>
    </row>
    <row r="7" ht="30" customHeight="1" s="69">
      <c r="A7" s="74" t="inlineStr">
        <is>
          <t>Well cost case</t>
        </is>
      </c>
      <c r="B7" s="92" t="inlineStr">
        <is>
          <t>BASE</t>
        </is>
      </c>
      <c r="C7" s="71" t="inlineStr">
        <is>
          <t>AU drilling cost. LOW = best-case learning. BASE = engineered 5-well campaign. HIGH = single well, no campaign learning. ACTUAL = Habanero 4 as drilled.</t>
        </is>
      </c>
      <c r="D7" s="85" t="inlineStr">
        <is>
          <t>LOW / BASE / HIGH / ACTUAL</t>
        </is>
      </c>
    </row>
    <row r="8" ht="30" customHeight="1" s="69">
      <c r="A8" s="74" t="inlineStr">
        <is>
          <t>Cooling</t>
        </is>
      </c>
      <c r="B8" s="92" t="inlineStr">
        <is>
          <t>LIQUID</t>
        </is>
      </c>
      <c r="C8" s="71" t="inlineStr">
        <is>
          <t>LIQUID applies the liquid-cooling premium. AIR does not. GB200-class density requires LIQUID.</t>
        </is>
      </c>
      <c r="D8" s="85" t="inlineStr">
        <is>
          <t>AIR / LIQUID</t>
        </is>
      </c>
    </row>
    <row r="9" ht="30" customHeight="1" s="69">
      <c r="A9" s="74" t="inlineStr">
        <is>
          <t>Remote loading</t>
        </is>
      </c>
      <c r="B9" s="92" t="inlineStr">
        <is>
          <t>ON</t>
        </is>
      </c>
      <c r="C9" s="71" t="inlineStr">
        <is>
          <t>Applies the remote-site construction loading to the AU facility build. NZ sites are near existing infrastructure.</t>
        </is>
      </c>
      <c r="D9" s="85" t="inlineStr">
        <is>
          <t>ON / OFF</t>
        </is>
      </c>
    </row>
    <row r="10"/>
    <row r="11" ht="15.75" customHeight="1" s="69">
      <c r="A11" s="77" t="inlineStr">
        <is>
          <t>Sizing and scenario inputs</t>
        </is>
      </c>
    </row>
    <row r="12" ht="13.5" customHeight="1" s="69">
      <c r="A12" s="74" t="inlineStr">
        <is>
          <t>PoC capacity (MW critical IT)</t>
        </is>
      </c>
      <c r="B12" s="93" t="n">
        <v>5</v>
      </c>
      <c r="C12" s="85" t="inlineStr">
        <is>
          <t>Target compute load for the proof of concept.</t>
        </is>
      </c>
    </row>
    <row r="13" ht="13.5" customHeight="1" s="69">
      <c r="A13" s="74" t="inlineStr">
        <is>
          <t>Contingency %</t>
        </is>
      </c>
      <c r="B13" s="94" t="n">
        <v>0.25</v>
      </c>
      <c r="C13" s="85" t="inlineStr">
        <is>
          <t>Applied to every capex block. A first-of-a-kind project.</t>
        </is>
      </c>
    </row>
    <row r="14" ht="13.5" customHeight="1" s="69">
      <c r="A14" s="74" t="inlineStr">
        <is>
          <t>Operating runway (months)</t>
        </is>
      </c>
      <c r="B14" s="93" t="n">
        <v>24</v>
      </c>
      <c r="C14" s="85" t="inlineStr">
        <is>
          <t>Pre-revenue months the raise must fund.</t>
        </is>
      </c>
    </row>
    <row r="15" ht="13.5" customHeight="1" s="69">
      <c r="A15" s="74" t="inlineStr">
        <is>
          <t>Team + overhead (AUD/month)</t>
        </is>
      </c>
      <c r="B15" s="95" t="n">
        <v>250000</v>
      </c>
      <c r="C15" s="85" t="inlineStr">
        <is>
          <t>Burn rate during the PoC. ASSUMPTION.</t>
        </is>
      </c>
    </row>
    <row r="16" ht="13.5" customHeight="1" s="69">
      <c r="A16" s="74" t="inlineStr">
        <is>
          <t>Capacity factor</t>
        </is>
      </c>
      <c r="B16" s="96" t="n">
        <v>0.9</v>
      </c>
      <c r="C16" s="85" t="inlineStr">
        <is>
          <t>Average availability. Used to size NAMEPLATE (net) so ANNUAL energy matches the load. It is NOT a firm-power guarantee: see Firm-Power.</t>
        </is>
      </c>
    </row>
    <row r="17" ht="13.5" customHeight="1" s="69">
      <c r="A17" s="97" t="inlineStr">
        <is>
          <t>Facility PUE (total facility power ÷ critical IT)</t>
        </is>
      </c>
      <c r="B17" s="98" t="n">
        <v>1.25</v>
      </c>
      <c r="C17" s="85" t="inlineStr">
        <is>
          <t>ASSUMPTION — no sourced finding exists for this in the evidence base. Liquid-cooled AI halls typically run 1.15-1.35. Critical IT is what is SOLD; PUE grosses it up to what the site must generate or buy. Set to 1.00 to reproduce the pre-review model.</t>
        </is>
      </c>
      <c r="D17" s="68" t="inlineStr">
        <is>
          <t>typically 1.15 - 1.35</t>
        </is>
      </c>
    </row>
    <row r="18" ht="13.5" customHeight="1" s="69">
      <c r="A18" s="97" t="inlineStr">
        <is>
          <t>Sites funded (derived from Route)</t>
        </is>
      </c>
      <c r="B18" s="99">
        <f>IF($B$4="BOTH",2,1)</f>
        <v/>
      </c>
      <c r="C18" s="85" t="inlineStr">
        <is>
          <t>Derived, not an input. BOTH builds a PoC on each route, so capacity, capex, revenue and opex all count twice. This cell is what keeps them consistent.</t>
        </is>
      </c>
    </row>
    <row r="19"/>
    <row r="20"/>
    <row r="21" ht="15.75" customHeight="1" s="69">
      <c r="A21" s="77" t="inlineStr">
        <is>
          <t>Reading this model</t>
        </is>
      </c>
    </row>
    <row r="22" ht="13.5" customHeight="1" s="69">
      <c r="A22" s="85" t="inlineStr">
        <is>
          <t>• Blue cells are inputs. Everything else is a formula — change an input and the whole model moves.</t>
        </is>
      </c>
    </row>
    <row r="23" ht="13.5" customHeight="1" s="69">
      <c r="A23" s="85" t="inlineStr">
        <is>
          <t>• Every rate on the Rates tab names the finding it comes from and carries a status label.</t>
        </is>
      </c>
    </row>
    <row r="24" ht="13.5" customHeight="1" s="69">
      <c r="A24" s="85" t="inlineStr">
        <is>
          <t>• RATE_MISSING rows ship at zero. They are gaps in the evidence base, not zero-cost items.</t>
        </is>
      </c>
    </row>
    <row r="25" ht="13.5" customHeight="1" s="69">
      <c r="A25" s="85" t="inlineStr">
        <is>
          <t>• No figure in this workbook was typed from memory. Traceability maps every rate to a finding id.</t>
        </is>
      </c>
    </row>
    <row r="26" ht="13.5" customHeight="1" s="69">
      <c r="A26" s="85" t="inlineStr">
        <is>
          <t>• Google Sheets: upload this .xlsx to Drive and Open with Google Sheets. Dropdowns and formulas transfer. Do not convert to a Google-native sheet that rewrites formulas. Blue cells stay the only inputs.</t>
        </is>
      </c>
    </row>
  </sheetData>
  <mergeCells count="6">
    <mergeCell ref="A24:F24"/>
    <mergeCell ref="A1:F1"/>
    <mergeCell ref="A23:F23"/>
    <mergeCell ref="A22:F22"/>
    <mergeCell ref="A26:F26"/>
    <mergeCell ref="A25:F25"/>
  </mergeCells>
  <dataValidations count="6">
    <dataValidation sqref="B4" showDropDown="0" showInputMessage="0" showErrorMessage="0" allowBlank="0" type="list" errorStyle="stop" operator="between">
      <formula1>"AU,NZ,BOTH"</formula1>
      <formula2>0</formula2>
    </dataValidation>
    <dataValidation sqref="B5" showDropDown="0" showInputMessage="0" showErrorMessage="0" allowBlank="0" type="list" errorStyle="stop" operator="between">
      <formula1>"COLO,ANCHOR,BAREMETAL"</formula1>
      <formula2>0</formula2>
    </dataValidation>
    <dataValidation sqref="B6" showDropDown="0" showInputMessage="0" showErrorMessage="0" allowBlank="0" type="list" errorStyle="stop" operator="between">
      <formula1>"LOW,BASE,HIGH"</formula1>
      <formula2>0</formula2>
    </dataValidation>
    <dataValidation sqref="B7" showDropDown="0" showInputMessage="0" showErrorMessage="0" allowBlank="0" type="list" errorStyle="stop" operator="between">
      <formula1>"LOW,BASE,HIGH,ACTUAL"</formula1>
      <formula2>0</formula2>
    </dataValidation>
    <dataValidation sqref="B8" showDropDown="0" showInputMessage="0" showErrorMessage="0" allowBlank="0" type="list" errorStyle="stop" operator="between">
      <formula1>"AIR,LIQUID"</formula1>
      <formula2>0</formula2>
    </dataValidation>
    <dataValidation sqref="B9" showDropDown="0" showInputMessage="0" showErrorMessage="0" allowBlank="0" type="list" errorStyle="stop" operator="between">
      <formula1>"ON,OFF"</formula1>
      <formula2>0</formula2>
    </dataValidation>
  </dataValidation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round&amp;RControl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8" customWidth="1" style="69" min="1" max="1"/>
    <col width="120" customWidth="1" style="69" min="2" max="2"/>
  </cols>
  <sheetData>
    <row r="1">
      <c r="A1" s="100" t="inlineStr">
        <is>
          <t>ARCHEGON  ·  DEFINITIONS (v3): one meaning per word, used on every tab, slide, diagram and web page</t>
        </is>
      </c>
      <c r="B1" s="101" t="n"/>
      <c r="C1" s="101" t="n"/>
      <c r="D1" s="101" t="n"/>
      <c r="E1" s="101" t="n"/>
      <c r="F1" s="101" t="n"/>
    </row>
    <row r="2"/>
    <row r="3" ht="44" customHeight="1" s="69">
      <c r="A3" s="102" t="inlineStr">
        <is>
          <t>Gross (MW)</t>
        </is>
      </c>
      <c r="B3" s="103" t="inlineStr">
        <is>
          <t>Electrical output at the generator terminals, before the plant's own load.</t>
        </is>
      </c>
    </row>
    <row r="4" ht="44" customHeight="1" s="69">
      <c r="A4" s="102" t="inlineStr">
        <is>
          <t>Parasitic load (MW)</t>
        </is>
      </c>
      <c r="B4" s="103" t="inlineStr">
        <is>
          <t>Power the plant uses itself: injection/reinjection pumps, ORC feed pumps, air-cooled condenser fans, plant services. For EGS, injection pumping dominates.</t>
        </is>
      </c>
    </row>
    <row r="5" ht="44" customHeight="1" s="69">
      <c r="A5" s="102" t="inlineStr">
        <is>
          <t>Net (MW)</t>
        </is>
      </c>
      <c r="B5" s="103" t="inlineStr">
        <is>
          <t>Gross minus parasitic load = what the plant delivers to the site switchboard ("at the fence"). EVERY MWe-per-producer figure in this model is NET.</t>
        </is>
      </c>
    </row>
    <row r="6" ht="44" customHeight="1" s="69">
      <c r="A6" s="102" t="inlineStr">
        <is>
          <t>Nameplate (MW, net)</t>
        </is>
      </c>
      <c r="B6" s="103" t="inlineStr">
        <is>
          <t>The net capacity the plant is built to deliver when running. AU-Route!B7 = IT x PUE / capacity factor = 6.94 MW.</t>
        </is>
      </c>
    </row>
    <row r="7" ht="44" customHeight="1" s="69">
      <c r="A7" s="102" t="inlineStr">
        <is>
          <t>Average (MW)</t>
        </is>
      </c>
      <c r="B7" s="103" t="inlineStr">
        <is>
          <t>Nameplate x capacity factor (0.90) = 6.25 MW. This is an ANNUAL-ENERGY figure. It is what v2 wrongly called "firm".</t>
        </is>
      </c>
    </row>
    <row r="8" ht="44" customHeight="1" s="69">
      <c r="A8" s="102" t="inlineStr">
        <is>
          <t>Firm (MW)</t>
        </is>
      </c>
      <c r="B8" s="103" t="inlineStr">
        <is>
          <t>Power guaranteed in every hour, including with the largest single element out (N-1: one producer, one ORC unit or one transformer). Today the design has NO firm figure above 5.0 MW (one producer out) and no backup: see Firm-Power.</t>
        </is>
      </c>
    </row>
    <row r="9" ht="44" customHeight="1" s="69">
      <c r="A9" s="102" t="inlineStr">
        <is>
          <t>Facility load (MW)</t>
        </is>
      </c>
      <c r="B9" s="103" t="inlineStr">
        <is>
          <t>Critical IT x PUE. 5.0 MW IT x 1.25 = 6.25 MW.</t>
        </is>
      </c>
    </row>
    <row r="10" ht="44" customHeight="1" s="69">
      <c r="A10" s="102" t="inlineStr">
        <is>
          <t>Critical IT (MW)</t>
        </is>
      </c>
      <c r="B10" s="103" t="inlineStr">
        <is>
          <t>Power to the racks. Sold in whole 1.25 MW modules (Rates module_mw_it).</t>
        </is>
      </c>
    </row>
    <row r="11" ht="44" customHeight="1" s="69">
      <c r="A11" s="102" t="inlineStr">
        <is>
          <t>Contribution</t>
        </is>
      </c>
      <c r="B11" s="103" t="inlineStr">
        <is>
          <t>Revenue minus the opex lines in this model. NOT EBITDA, not a return, not a cash yield; excludes RATE_MISSING opex, financing, tax, ramp.</t>
        </is>
      </c>
    </row>
    <row r="12" ht="44" customHeight="1" s="69">
      <c r="A12" s="102" t="inlineStr">
        <is>
          <t>Operating break-even hall</t>
        </is>
      </c>
      <c r="B12" s="103" t="inlineStr">
        <is>
          <t>The smallest build whose contribution is zero. v2 called this "minimum viable PoC"; it is NOT viable, it never returns capital.</t>
        </is>
      </c>
    </row>
    <row r="13" ht="44" customHeight="1" s="69">
      <c r="A13" s="102" t="inlineStr">
        <is>
          <t>Reservoir-test tranche</t>
        </is>
      </c>
      <c r="B13" s="103" t="inlineStr">
        <is>
          <t>One doublet + rig mobilisation + contingency + runway, with no plant and no hall. Buys a 90-180 day circulation test (Gated-Plan).</t>
        </is>
      </c>
    </row>
    <row r="14" ht="44" customHeight="1" s="69">
      <c r="A14" s="102" t="inlineStr">
        <is>
          <t>Transfer price</t>
        </is>
      </c>
      <c r="B14" s="103" t="inlineStr">
        <is>
          <t>The price at which PowerCo (wells + ORC) sells energy to DCCo (the hall). Set equal to PowerCo's levelised cost (Power-Economics) so each business stands on its own.</t>
        </is>
      </c>
    </row>
    <row r="15" ht="44" customHeight="1" s="69">
      <c r="A15" s="102" t="inlineStr">
        <is>
          <t>ASSUMPTION</t>
        </is>
      </c>
      <c r="B15" s="103" t="inlineStr">
        <is>
          <t>A value chosen for illustration, not sourced. Every ASSUMPTION is labelled where used.</t>
        </is>
      </c>
    </row>
    <row r="16" ht="44" customHeight="1" s="69">
      <c r="A16" s="102" t="inlineStr">
        <is>
          <t>RATE_MISSING</t>
        </is>
      </c>
      <c r="B16" s="103" t="inlineStr">
        <is>
          <t>No source exists yet. Ships at A$0. The total is understated by that line.</t>
        </is>
      </c>
    </row>
  </sheetData>
  <pageMargins left="0.75" right="0.75" top="1" bottom="1" header="0.5" footer="0.5"/>
</worksheet>
</file>

<file path=xl/worksheets/sheet4.xml><?xml version="1.0" encoding="utf-8"?>
<worksheet xmlns="http://schemas.openxmlformats.org/spreadsheetml/2006/main">
  <sheetPr filterMode="0">
    <tabColor rgb="FF6B7280"/>
    <outlinePr summaryBelow="1" summaryRight="1"/>
    <pageSetUpPr fitToPage="1"/>
  </sheetPr>
  <dimension ref="A1:G10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26" customWidth="1" style="68" min="1" max="1"/>
    <col width="50" customWidth="1" style="68" min="2" max="2"/>
    <col width="18" customWidth="1" style="68" min="3" max="3"/>
    <col width="16" customWidth="1" style="68" min="4" max="4"/>
    <col width="18" customWidth="1" style="68" min="5" max="5"/>
    <col width="20" customWidth="1" style="68" min="6" max="6"/>
    <col width="72" customWidth="1" style="68" min="7" max="7"/>
  </cols>
  <sheetData>
    <row r="1" ht="27.75" customHeight="1" s="69">
      <c r="A1" s="70" t="inlineStr">
        <is>
          <t>ARCHEGON CAPITAL  ·  RATES — every constant, with its source finding and status label</t>
        </is>
      </c>
    </row>
    <row r="2"/>
    <row r="3" ht="15.75" customHeight="1" s="69">
      <c r="A3" s="72" t="inlineStr">
        <is>
          <t>Key</t>
        </is>
      </c>
      <c r="B3" s="72" t="inlineStr">
        <is>
          <t>Rate</t>
        </is>
      </c>
      <c r="C3" s="72" t="inlineStr">
        <is>
          <t>Unit</t>
        </is>
      </c>
      <c r="D3" s="72" t="inlineStr">
        <is>
          <t>Value</t>
        </is>
      </c>
      <c r="E3" s="72" t="inlineStr">
        <is>
          <t>Status</t>
        </is>
      </c>
      <c r="F3" s="72" t="inlineStr">
        <is>
          <t>Finding id</t>
        </is>
      </c>
      <c r="G3" s="72" t="inlineStr">
        <is>
          <t>Note / what the status means</t>
        </is>
      </c>
    </row>
    <row r="4" ht="27.75" customHeight="1" s="69">
      <c r="A4" s="85" t="inlineStr">
        <is>
          <t>fx_aud_usd</t>
        </is>
      </c>
      <c r="B4" s="104" t="inlineStr">
        <is>
          <t>AUD -&gt; USD</t>
        </is>
      </c>
      <c r="C4" s="85" t="inlineStr">
        <is>
          <t>USD per AUD</t>
        </is>
      </c>
      <c r="D4" s="93" t="n">
        <v>0.7122000000000001</v>
      </c>
      <c r="E4" s="105" t="inlineStr">
        <is>
          <t>VERIFIED</t>
        </is>
      </c>
      <c r="F4" s="85" t="inlineStr">
        <is>
          <t>geothermal-capex-71</t>
        </is>
      </c>
      <c r="G4" s="71" t="inlineStr">
        <is>
          <t>Restates USD benchmarks into AUD. Point-in-time rate.</t>
        </is>
      </c>
    </row>
    <row r="5" ht="27.75" customHeight="1" s="69">
      <c r="A5" s="106" t="inlineStr">
        <is>
          <t>fx_aud_nzd</t>
        </is>
      </c>
      <c r="B5" s="107" t="inlineStr">
        <is>
          <t>AUD -&gt; NZD</t>
        </is>
      </c>
      <c r="C5" s="106" t="inlineStr">
        <is>
          <t>NZD per AUD</t>
        </is>
      </c>
      <c r="D5" s="93" t="n">
        <v>1.2365</v>
      </c>
      <c r="E5" s="105" t="inlineStr">
        <is>
          <t>VERIFIED</t>
        </is>
      </c>
      <c r="F5" s="106" t="inlineStr">
        <is>
          <t>geothermal-capex-71</t>
        </is>
      </c>
      <c r="G5" s="108" t="inlineStr">
        <is>
          <t>Implies 1 USD = 1.404 AUD and 1 USD = 1.736 NZD.</t>
        </is>
      </c>
    </row>
    <row r="6" ht="27.75" customHeight="1" s="69">
      <c r="A6" s="85" t="inlineStr">
        <is>
          <t>au_well_cost_base</t>
        </is>
      </c>
      <c r="B6" s="104" t="inlineStr">
        <is>
          <t>Cooper Basin EGS well, engineered forward cost</t>
        </is>
      </c>
      <c r="C6" s="85" t="inlineStr">
        <is>
          <t>AUD/well</t>
        </is>
      </c>
      <c r="D6" s="95" t="n">
        <v>16500000</v>
      </c>
      <c r="E6" s="105" t="inlineStr">
        <is>
          <t>VERIFIED-ESTIMATE</t>
        </is>
      </c>
      <c r="F6" s="85" t="inlineStr">
        <is>
          <t>geothermal-capex-30</t>
        </is>
      </c>
      <c r="G6" s="71" t="inlineStr">
        <is>
          <t>Geodynamics optimised slim-bore 5-well campaign average.</t>
        </is>
      </c>
    </row>
    <row r="7" ht="27.75" customHeight="1" s="69">
      <c r="A7" s="106" t="inlineStr">
        <is>
          <t>au_well_cost_low</t>
        </is>
      </c>
      <c r="B7" s="107" t="inlineStr">
        <is>
          <t>Cooper Basin well, best case with high learning</t>
        </is>
      </c>
      <c r="C7" s="106" t="inlineStr">
        <is>
          <t>AUD/well</t>
        </is>
      </c>
      <c r="D7" s="95" t="n">
        <v>14000000</v>
      </c>
      <c r="E7" s="105" t="inlineStr">
        <is>
          <t>VERIFIED-ESTIMATE</t>
        </is>
      </c>
      <c r="F7" s="106" t="inlineStr">
        <is>
          <t>geothermal-capex-30</t>
        </is>
      </c>
      <c r="G7" s="108" t="inlineStr">
        <is>
          <t>Best case in the same engineered estimate.</t>
        </is>
      </c>
    </row>
    <row r="8" ht="27.75" customHeight="1" s="69">
      <c r="A8" s="85" t="inlineStr">
        <is>
          <t>au_well_cost_high</t>
        </is>
      </c>
      <c r="B8" s="104" t="inlineStr">
        <is>
          <t>Cooper Basin well, single-well (no campaign learning)</t>
        </is>
      </c>
      <c r="C8" s="85" t="inlineStr">
        <is>
          <t>AUD/well</t>
        </is>
      </c>
      <c r="D8" s="95" t="n">
        <v>22700000</v>
      </c>
      <c r="E8" s="105" t="inlineStr">
        <is>
          <t>VERIFIED-ESTIMATE</t>
        </is>
      </c>
      <c r="F8" s="85" t="inlineStr">
        <is>
          <t>geothermal-capex-30</t>
        </is>
      </c>
      <c r="G8" s="71" t="inlineStr">
        <is>
          <t>One-off well; the cost if no campaign is assembled.</t>
        </is>
      </c>
    </row>
    <row r="9" ht="27.75" customHeight="1" s="69">
      <c r="A9" s="106" t="inlineStr">
        <is>
          <t>au_well_actual_h4</t>
        </is>
      </c>
      <c r="B9" s="107" t="inlineStr">
        <is>
          <t>Habanero 4 actual drilled cost</t>
        </is>
      </c>
      <c r="C9" s="106" t="inlineStr">
        <is>
          <t>AUD/well</t>
        </is>
      </c>
      <c r="D9" s="95" t="n">
        <v>50850000</v>
      </c>
      <c r="E9" s="105" t="inlineStr">
        <is>
          <t>VERIFIED</t>
        </is>
      </c>
      <c r="F9" s="106" t="inlineStr">
        <is>
          <t>geothermal-capex-29</t>
        </is>
      </c>
      <c r="G9" s="108" t="inlineStr">
        <is>
          <t>The ANTI-learning curve: last well cost 4.5x the first.</t>
        </is>
      </c>
    </row>
    <row r="10" ht="27.75" customHeight="1" s="69">
      <c r="A10" s="85" t="inlineStr">
        <is>
          <t>au_rig_day_rate</t>
        </is>
      </c>
      <c r="B10" s="104" t="inlineStr">
        <is>
          <t>Australian onshore rig day rate</t>
        </is>
      </c>
      <c r="C10" s="85" t="inlineStr">
        <is>
          <t>AUD/day</t>
        </is>
      </c>
      <c r="D10" s="95" t="n">
        <v>50000</v>
      </c>
      <c r="E10" s="105" t="inlineStr">
        <is>
          <t>VERIFIED</t>
        </is>
      </c>
      <c r="F10" s="85" t="inlineStr">
        <is>
          <t>geothermal-capex-31</t>
        </is>
      </c>
      <c r="G10" s="71" t="inlineStr">
        <is>
          <t>Habanero field development plan assumption.</t>
        </is>
      </c>
    </row>
    <row r="11" ht="27.75" customHeight="1" s="69">
      <c r="A11" s="106" t="inlineStr">
        <is>
          <t>au_rig_mob</t>
        </is>
      </c>
      <c r="B11" s="107" t="inlineStr">
        <is>
          <t>Rig mobilisation / demobilisation</t>
        </is>
      </c>
      <c r="C11" s="106" t="inlineStr">
        <is>
          <t>AUD</t>
        </is>
      </c>
      <c r="D11" s="95" t="n">
        <v>4000000</v>
      </c>
      <c r="E11" s="105" t="inlineStr">
        <is>
          <t>VERIFIED</t>
        </is>
      </c>
      <c r="F11" s="106" t="inlineStr">
        <is>
          <t>geothermal-capex-31</t>
        </is>
      </c>
      <c r="G11" s="108" t="inlineStr">
        <is>
          <t>Single mob/demob for a Cooper Basin campaign.</t>
        </is>
      </c>
    </row>
    <row r="12" ht="27.75" customHeight="1" s="69">
      <c r="A12" s="85" t="inlineStr">
        <is>
          <t>mwe_per_well_base</t>
        </is>
      </c>
      <c r="B12" s="104" t="inlineStr">
        <is>
          <t>MWe per producer - BASE (NET: at the plant fence, after plant parasitics; see Definitions)</t>
        </is>
      </c>
      <c r="C12" s="85" t="inlineStr">
        <is>
          <t>MWe</t>
        </is>
      </c>
      <c r="D12" s="93" t="n">
        <v>5</v>
      </c>
      <c r="E12" s="105" t="inlineStr">
        <is>
          <t>DERIVED</t>
        </is>
      </c>
      <c r="F12" s="85" t="inlineStr">
        <is>
          <t>geothermal-capex-15</t>
        </is>
      </c>
      <c r="G12" s="71" t="inlineStr">
        <is>
          <t>DERIVED base case 4-6 MWe; midpoint used.</t>
        </is>
      </c>
    </row>
    <row r="13" ht="27.75" customHeight="1" s="69">
      <c r="A13" s="106" t="inlineStr">
        <is>
          <t>mwe_per_well_low</t>
        </is>
      </c>
      <c r="B13" s="107" t="inlineStr">
        <is>
          <t>MWe per producer - LOW (NET: at the plant fence, after plant parasitics)</t>
        </is>
      </c>
      <c r="C13" s="106" t="inlineStr">
        <is>
          <t>MWe</t>
        </is>
      </c>
      <c r="D13" s="93" t="n">
        <v>2</v>
      </c>
      <c r="E13" s="105" t="inlineStr">
        <is>
          <t>DERIVED</t>
        </is>
      </c>
      <c r="F13" s="106" t="inlineStr">
        <is>
          <t>geothermal-capex-15</t>
        </is>
      </c>
      <c r="G13" s="108" t="inlineStr">
        <is>
          <t>GeoExpro triplet-implied bear case.</t>
        </is>
      </c>
    </row>
    <row r="14" ht="27.75" customHeight="1" s="69">
      <c r="A14" s="85" t="inlineStr">
        <is>
          <t>mwe_per_well_high</t>
        </is>
      </c>
      <c r="B14" s="104" t="inlineStr">
        <is>
          <t>MWe per producer - HIGH (source figure is GROSS; treated as NET here = optimistic upper bound)</t>
        </is>
      </c>
      <c r="C14" s="85" t="inlineStr">
        <is>
          <t>MWe</t>
        </is>
      </c>
      <c r="D14" s="93" t="n">
        <v>13</v>
      </c>
      <c r="E14" s="105" t="inlineStr">
        <is>
          <t>DERIVED</t>
        </is>
      </c>
      <c r="F14" s="85" t="inlineStr">
        <is>
          <t>geothermal-capex-15</t>
        </is>
      </c>
      <c r="G14" s="71" t="inlineStr">
        <is>
          <t>Fervo claim 10-16 MWe per producer, quoted GROSS by the source. v3: the model has ONE convention (net at the fence). Using a gross figure as net overstates HIGH by the parasitic fraction (13.8%-29%, see rows 62-63). Kept only as an upper-bound sensitivity.</t>
        </is>
      </c>
    </row>
    <row r="15" ht="27.75" customHeight="1" s="69">
      <c r="A15" s="106" t="inlineStr">
        <is>
          <t>plant_usd_per_kw</t>
        </is>
      </c>
      <c r="B15" s="107" t="inlineStr">
        <is>
          <t>50 MW binary ORC plant, brownfield (wells already drilled)</t>
        </is>
      </c>
      <c r="C15" s="106" t="inlineStr">
        <is>
          <t>USD/kW</t>
        </is>
      </c>
      <c r="D15" s="95" t="n">
        <v>3963</v>
      </c>
      <c r="E15" s="105" t="inlineStr">
        <is>
          <t>VERIFIED</t>
        </is>
      </c>
      <c r="F15" s="106" t="inlineStr">
        <is>
          <t>geothermal-capex-16</t>
        </is>
      </c>
      <c r="G15" s="108" t="inlineStr">
        <is>
          <t>EIA 2023 USD, USD 198.1m for 50 MW net.</t>
        </is>
      </c>
    </row>
    <row r="16" ht="27.75" customHeight="1" s="69">
      <c r="A16" s="85" t="inlineStr">
        <is>
          <t>plant_fom_usd_kw_yr</t>
        </is>
      </c>
      <c r="B16" s="104" t="inlineStr">
        <is>
          <t>Binary plant fixed O&amp;M, excl. well replacement</t>
        </is>
      </c>
      <c r="C16" s="85" t="inlineStr">
        <is>
          <t>USD/kW/yr</t>
        </is>
      </c>
      <c r="D16" s="93" t="n">
        <v>150.6</v>
      </c>
      <c r="E16" s="105" t="inlineStr">
        <is>
          <t>VERIFIED</t>
        </is>
      </c>
      <c r="F16" s="85" t="inlineStr">
        <is>
          <t>geothermal-capex-18</t>
        </is>
      </c>
      <c r="G16" s="71" t="inlineStr">
        <is>
          <t>EIA; variable O&amp;M USD 0.00/MWh.</t>
        </is>
      </c>
    </row>
    <row r="17" ht="27.75" customHeight="1" s="69">
      <c r="A17" s="106" t="inlineStr">
        <is>
          <t>nz_greenfield_nzd_kw</t>
        </is>
      </c>
      <c r="B17" s="107" t="inlineStr">
        <is>
          <t>NZ greenfield geothermal reference capital cost</t>
        </is>
      </c>
      <c r="C17" s="106" t="inlineStr">
        <is>
          <t>NZD/kW</t>
        </is>
      </c>
      <c r="D17" s="95" t="n">
        <v>5500</v>
      </c>
      <c r="E17" s="105" t="inlineStr">
        <is>
          <t>VERIFIED</t>
        </is>
      </c>
      <c r="F17" s="106" t="inlineStr">
        <is>
          <t>geothermal-capex-21</t>
        </is>
      </c>
      <c r="G17" s="108" t="inlineStr">
        <is>
          <t>MBIE-commissioned stack; 55 MW single-unit medium enthalpy.</t>
        </is>
      </c>
    </row>
    <row r="18" ht="27.75" customHeight="1" s="69">
      <c r="A18" s="85" t="inlineStr">
        <is>
          <t>nz_actual_nzd_kw</t>
        </is>
      </c>
      <c r="B18" s="104" t="inlineStr">
        <is>
          <t>NZ recent project actuals (Te Ahi O Maui)</t>
        </is>
      </c>
      <c r="C18" s="85" t="inlineStr">
        <is>
          <t>NZD/kW</t>
        </is>
      </c>
      <c r="D18" s="95" t="n">
        <v>5730</v>
      </c>
      <c r="E18" s="105" t="inlineStr">
        <is>
          <t>VERIFIED</t>
        </is>
      </c>
      <c r="F18" s="85" t="inlineStr">
        <is>
          <t>geothermal-capex-22</t>
        </is>
      </c>
      <c r="G18" s="71" t="inlineStr">
        <is>
          <t>Eastland 26 MW net, NZD 149m, 2019 annual report.</t>
        </is>
      </c>
    </row>
    <row r="19" ht="27.75" customHeight="1" s="69">
      <c r="A19" s="106" t="inlineStr">
        <is>
          <t>nz_makeup_well_nzd</t>
        </is>
      </c>
      <c r="B19" s="107" t="inlineStr">
        <is>
          <t>NZ geothermal make-up well</t>
        </is>
      </c>
      <c r="C19" s="106" t="inlineStr">
        <is>
          <t>NZD/well</t>
        </is>
      </c>
      <c r="D19" s="95" t="n">
        <v>10000000</v>
      </c>
      <c r="E19" s="105" t="inlineStr">
        <is>
          <t>VERIFIED</t>
        </is>
      </c>
      <c r="F19" s="106" t="inlineStr">
        <is>
          <t>geothermal-capex-23</t>
        </is>
      </c>
      <c r="G19" s="108" t="inlineStr">
        <is>
          <t>MBIE stack; 3% pa resource run-down assumed.</t>
        </is>
      </c>
    </row>
    <row r="20" ht="27.75" customHeight="1" s="69">
      <c r="A20" s="85" t="inlineStr">
        <is>
          <t>nz_fixed_opex_nzd_mw_yr</t>
        </is>
      </c>
      <c r="B20" s="104" t="inlineStr">
        <is>
          <t>NZ geothermal fixed OPEX, all-in incl. make-up drilling</t>
        </is>
      </c>
      <c r="C20" s="85" t="inlineStr">
        <is>
          <t>NZD/MW/yr</t>
        </is>
      </c>
      <c r="D20" s="95" t="n">
        <v>190000</v>
      </c>
      <c r="E20" s="105" t="inlineStr">
        <is>
          <t>VERIFIED</t>
        </is>
      </c>
      <c r="F20" s="85" t="inlineStr">
        <is>
          <t>geothermal-capex-24</t>
        </is>
      </c>
      <c r="G20" s="71" t="inlineStr">
        <is>
          <t>Contact Tauhara NZD 20/MWh ex-carbon at 90% CF + make-up.</t>
        </is>
      </c>
    </row>
    <row r="21" ht="27.75" customHeight="1" s="69">
      <c r="A21" s="106" t="inlineStr">
        <is>
          <t>dc_shell_usd_mw</t>
        </is>
      </c>
      <c r="B21" s="107" t="inlineStr">
        <is>
          <t>Data centre shell-and-core construction</t>
        </is>
      </c>
      <c r="C21" s="106" t="inlineStr">
        <is>
          <t>USD/MW</t>
        </is>
      </c>
      <c r="D21" s="95" t="n">
        <v>11300000</v>
      </c>
      <c r="E21" s="105" t="inlineStr">
        <is>
          <t>VERIFIED-ESTIMATE</t>
        </is>
      </c>
      <c r="F21" s="106" t="inlineStr">
        <is>
          <t>compute-economics-06</t>
        </is>
      </c>
      <c r="G21" s="108" t="inlineStr">
        <is>
          <t>2026 figure; USD 10.7m/MW 2025, ~7% CAGR since 2020.</t>
        </is>
      </c>
    </row>
    <row r="22" ht="27.75" customHeight="1" s="69">
      <c r="A22" s="85" t="inlineStr">
        <is>
          <t>dc_liquid_premium_usd_mw</t>
        </is>
      </c>
      <c r="B22" s="104" t="inlineStr">
        <is>
          <t>Liquid-cooling premium over air-cooled</t>
        </is>
      </c>
      <c r="C22" s="85" t="inlineStr">
        <is>
          <t>USD/MW</t>
        </is>
      </c>
      <c r="D22" s="95" t="n">
        <v>3200000</v>
      </c>
      <c r="E22" s="105" t="inlineStr">
        <is>
          <t>INDICATIVE</t>
        </is>
      </c>
      <c r="F22" s="85" t="inlineStr">
        <is>
          <t>compute-economics-07</t>
        </is>
      </c>
      <c r="G22" s="71" t="inlineStr">
        <is>
          <t>USD 2.7-3.7m/MW; midpoint. Mechanical share 22% -&gt; 33%.</t>
        </is>
      </c>
    </row>
    <row r="23" ht="27.75" customHeight="1" s="69">
      <c r="A23" s="106" t="inlineStr">
        <is>
          <t>dc_tier3_usd_mw</t>
        </is>
      </c>
      <c r="B23" s="107" t="inlineStr">
        <is>
          <t>Standard Tier III (non-AI) build, for contrast</t>
        </is>
      </c>
      <c r="C23" s="106" t="inlineStr">
        <is>
          <t>USD/MW</t>
        </is>
      </c>
      <c r="D23" s="95" t="n">
        <v>11000000</v>
      </c>
      <c r="E23" s="105" t="inlineStr">
        <is>
          <t>INDICATIVE</t>
        </is>
      </c>
      <c r="F23" s="106" t="inlineStr">
        <is>
          <t>compute-economics-08</t>
        </is>
      </c>
      <c r="G23" s="108" t="inlineStr">
        <is>
          <t>USD 8-14m/MW range; midpoint.</t>
        </is>
      </c>
    </row>
    <row r="24" ht="27.75" customHeight="1" s="69">
      <c r="A24" s="85" t="inlineStr">
        <is>
          <t>dc_remote_loading</t>
        </is>
      </c>
      <c r="B24" s="104" t="inlineStr">
        <is>
          <t>Remote-site cost loading, heavily-prefab design</t>
        </is>
      </c>
      <c r="C24" s="85" t="inlineStr">
        <is>
          <t>x</t>
        </is>
      </c>
      <c r="D24" s="93" t="n">
        <v>1.3</v>
      </c>
      <c r="E24" s="105" t="inlineStr">
        <is>
          <t>DERIVED</t>
        </is>
      </c>
      <c r="F24" s="85" t="inlineStr">
        <is>
          <t>datacentre-capex-27</t>
        </is>
      </c>
      <c r="G24" s="71" t="inlineStr">
        <is>
          <t>1.2-1.4x prefab (up to 2.0x stick-built); midpoint.</t>
        </is>
      </c>
    </row>
    <row r="25" ht="27.75" customHeight="1" s="69">
      <c r="A25" s="106" t="inlineStr">
        <is>
          <t>dc_schedule_value_usd_mw_month</t>
        </is>
      </c>
      <c r="B25" s="107" t="inlineStr">
        <is>
          <t>Value of one month earlier delivery</t>
        </is>
      </c>
      <c r="C25" s="106" t="inlineStr">
        <is>
          <t>USD/MW/month</t>
        </is>
      </c>
      <c r="D25" s="95" t="n">
        <v>500000</v>
      </c>
      <c r="E25" s="105" t="inlineStr">
        <is>
          <t>INDICATIVE</t>
        </is>
      </c>
      <c r="F25" s="106" t="inlineStr">
        <is>
          <t>datacentre-capex-28</t>
        </is>
      </c>
      <c r="G25" s="108" t="inlineStr">
        <is>
          <t>Industry estimate; drives the modular-vs-stick-built case.</t>
        </is>
      </c>
    </row>
    <row r="26" ht="27.75" customHeight="1" s="69">
      <c r="A26" s="85" t="inlineStr">
        <is>
          <t>gpu_rack_usd</t>
        </is>
      </c>
      <c r="B26" s="104" t="inlineStr">
        <is>
          <t>NVIDIA GB200 NVL72 rack purchase price</t>
        </is>
      </c>
      <c r="C26" s="85" t="inlineStr">
        <is>
          <t>USD/rack</t>
        </is>
      </c>
      <c r="D26" s="95" t="n">
        <v>3000000</v>
      </c>
      <c r="E26" s="105" t="inlineStr">
        <is>
          <t>INDICATIVE</t>
        </is>
      </c>
      <c r="F26" s="85" t="inlineStr">
        <is>
          <t>compute-economics-04</t>
        </is>
      </c>
      <c r="G26" s="71" t="inlineStr">
        <is>
          <t>Consensus point estimate; range USD 2.8-3.4m.</t>
        </is>
      </c>
    </row>
    <row r="27" ht="27.75" customHeight="1" s="69">
      <c r="A27" s="106" t="inlineStr">
        <is>
          <t>gpu_rack_kw</t>
        </is>
      </c>
      <c r="B27" s="107" t="inlineStr">
        <is>
          <t>GB200 NVL72 rack power draw</t>
        </is>
      </c>
      <c r="C27" s="106" t="inlineStr">
        <is>
          <t>kW/rack</t>
        </is>
      </c>
      <c r="D27" s="93" t="n">
        <v>130</v>
      </c>
      <c r="E27" s="105" t="inlineStr">
        <is>
          <t>VERIFIED</t>
        </is>
      </c>
      <c r="F27" s="106" t="inlineStr">
        <is>
          <t>datacentre-capex-10</t>
        </is>
      </c>
      <c r="G27" s="108" t="inlineStr">
        <is>
          <t>120 kW nominal, 130-132 kW observed, ~192 kW peak design.</t>
        </is>
      </c>
    </row>
    <row r="28" ht="27.75" customHeight="1" s="69">
      <c r="A28" s="85" t="inlineStr">
        <is>
          <t>it_fitout_usd_mw</t>
        </is>
      </c>
      <c r="B28" s="104" t="inlineStr">
        <is>
          <t>AI tenant technology fit-out</t>
        </is>
      </c>
      <c r="C28" s="85" t="inlineStr">
        <is>
          <t>USD/MW</t>
        </is>
      </c>
      <c r="D28" s="95" t="n">
        <v>25000000</v>
      </c>
      <c r="E28" s="105" t="inlineStr">
        <is>
          <t>VERIFIED</t>
        </is>
      </c>
      <c r="F28" s="85" t="inlineStr">
        <is>
          <t>datacentre-capex-22</t>
        </is>
      </c>
      <c r="G28" s="71" t="inlineStr">
        <is>
          <t>JLL 'up to' figure - a ceiling, not a mid. Tenant-paid in colo.</t>
        </is>
      </c>
    </row>
    <row r="29" ht="27.75" customHeight="1" s="69">
      <c r="A29" s="106" t="inlineStr">
        <is>
          <t>rev_colo_usd_kw_month</t>
        </is>
      </c>
      <c r="B29" s="107" t="inlineStr">
        <is>
          <t>Colocation asking rate, 10MW+ requirement</t>
        </is>
      </c>
      <c r="C29" s="106" t="inlineStr">
        <is>
          <t>USD/kW/month</t>
        </is>
      </c>
      <c r="D29" s="93" t="n">
        <v>172.5</v>
      </c>
      <c r="E29" s="105" t="inlineStr">
        <is>
          <t>VERIFIED-ESTIMATE</t>
        </is>
      </c>
      <c r="F29" s="106" t="inlineStr">
        <is>
          <t>compute-economics-10</t>
        </is>
      </c>
      <c r="G29" s="108" t="inlineStr">
        <is>
          <t>USD 160-185/kW/month US primary markets; midpoint.</t>
        </is>
      </c>
    </row>
    <row r="30" ht="27.75" customHeight="1" s="69">
      <c r="A30" s="85" t="inlineStr">
        <is>
          <t>rev_colo_sydney_usd_kw_month</t>
        </is>
      </c>
      <c r="B30" s="104" t="inlineStr">
        <is>
          <t>Sydney colocation asking rate</t>
        </is>
      </c>
      <c r="C30" s="85" t="inlineStr">
        <is>
          <t>USD/kW/month</t>
        </is>
      </c>
      <c r="D30" s="93" t="n">
        <v>188</v>
      </c>
      <c r="E30" s="105" t="inlineStr">
        <is>
          <t>VERIFIED-ESTIMATE</t>
        </is>
      </c>
      <c r="F30" s="85" t="inlineStr">
        <is>
          <t>compute-economics-12</t>
        </is>
      </c>
      <c r="G30" s="71" t="inlineStr">
        <is>
          <t>250-500 kW requirement; nearest comparable market to AU.</t>
        </is>
      </c>
    </row>
    <row r="31" ht="27.75" customHeight="1" s="69">
      <c r="A31" s="106" t="inlineStr">
        <is>
          <t>rev_anchor_lease_usd_mw_yr</t>
        </is>
      </c>
      <c r="B31" s="107" t="inlineStr">
        <is>
          <t>Anchor lease revenue (TeraWulf hosting lease, 20yr)</t>
        </is>
      </c>
      <c r="C31" s="106" t="inlineStr">
        <is>
          <t>USD/MW/yr</t>
        </is>
      </c>
      <c r="D31" s="95" t="n">
        <v>2370000</v>
      </c>
      <c r="E31" s="105" t="inlineStr">
        <is>
          <t>DERIVED</t>
        </is>
      </c>
      <c r="F31" s="106" t="inlineStr">
        <is>
          <t>compute-economics-14</t>
        </is>
      </c>
      <c r="G31" s="108" t="inlineStr">
        <is>
          <t>USD 19bn / 401 MW / 20 years.</t>
        </is>
      </c>
    </row>
    <row r="32" ht="27.75" customHeight="1" s="69">
      <c r="A32" s="85" t="inlineStr">
        <is>
          <t>rev_anchor_lease_alt_usd_mw_yr</t>
        </is>
      </c>
      <c r="B32" s="104" t="inlineStr">
        <is>
          <t>Anchor lease revenue (Applied Digital/CoreWeave, 15yr)</t>
        </is>
      </c>
      <c r="C32" s="85" t="inlineStr">
        <is>
          <t>USD/MW/yr</t>
        </is>
      </c>
      <c r="D32" s="95" t="n">
        <v>1830000</v>
      </c>
      <c r="E32" s="105" t="inlineStr">
        <is>
          <t>VERIFIED-ESTIMATE</t>
        </is>
      </c>
      <c r="F32" s="85" t="inlineStr">
        <is>
          <t>compute-economics-15</t>
        </is>
      </c>
      <c r="G32" s="71" t="inlineStr">
        <is>
          <t>USD 11bn / 400 MW / 15 years. Second independent point.</t>
        </is>
      </c>
    </row>
    <row r="33" ht="27.75" customHeight="1" s="69">
      <c r="A33" s="106" t="inlineStr">
        <is>
          <t>rev_power_only_usd_mw_yr</t>
        </is>
      </c>
      <c r="B33" s="107" t="inlineStr">
        <is>
          <t>SUPERSEDED in v3: equals the colo rate (D29 x 12), so it is NOT a power price. No formula uses it.</t>
        </is>
      </c>
      <c r="C33" s="106" t="inlineStr">
        <is>
          <t>USD/MW/yr</t>
        </is>
      </c>
      <c r="D33" s="95" t="n">
        <v>2070000</v>
      </c>
      <c r="E33" s="105" t="inlineStr">
        <is>
          <t>DERIVED</t>
        </is>
      </c>
      <c r="F33" s="106" t="inlineStr">
        <is>
          <t>compute-economics-11</t>
        </is>
      </c>
      <c r="G33" s="108" t="inlineStr">
        <is>
          <t>v3: Compute-Revenue!B17 no longer links here. A real power-only fallback needs a buyer and a grid connection (see Power-Economics).</t>
        </is>
      </c>
    </row>
    <row r="34" ht="27.75" customHeight="1" s="69">
      <c r="A34" s="85" t="inlineStr">
        <is>
          <t>px_nem_aud_mwh</t>
        </is>
      </c>
      <c r="B34" s="104" t="inlineStr">
        <is>
          <t>NEM average wholesale spot price</t>
        </is>
      </c>
      <c r="C34" s="85" t="inlineStr">
        <is>
          <t>AUD/MWh</t>
        </is>
      </c>
      <c r="D34" s="93" t="n">
        <v>73</v>
      </c>
      <c r="E34" s="105" t="inlineStr">
        <is>
          <t>VERIFIED</t>
        </is>
      </c>
      <c r="F34" s="85" t="inlineStr">
        <is>
          <t>compute-economics-18</t>
        </is>
      </c>
      <c r="G34" s="71" t="inlineStr">
        <is>
          <t>Q1 2026. SA specifically AUD 88/MWh.</t>
        </is>
      </c>
    </row>
    <row r="35" ht="27.75" customHeight="1" s="69">
      <c r="A35" s="106" t="inlineStr">
        <is>
          <t>px_nz_nzd_mwh</t>
        </is>
      </c>
      <c r="B35" s="107" t="inlineStr">
        <is>
          <t>NZ wholesale spot, weekly average</t>
        </is>
      </c>
      <c r="C35" s="106" t="inlineStr">
        <is>
          <t>NZD/MWh</t>
        </is>
      </c>
      <c r="D35" s="93" t="n">
        <v>105</v>
      </c>
      <c r="E35" s="105" t="inlineStr">
        <is>
          <t>VERIFIED-ESTIMATE</t>
        </is>
      </c>
      <c r="F35" s="106" t="inlineStr">
        <is>
          <t>compute-economics-20</t>
        </is>
      </c>
      <c r="G35" s="108" t="inlineStr">
        <is>
          <t>17-23 May 2026; 95% of prices in NZD 19-182/MWh.</t>
        </is>
      </c>
    </row>
    <row r="36" ht="27.75" customHeight="1" s="69">
      <c r="A36" s="85" t="inlineStr">
        <is>
          <t>energy_share_tco</t>
        </is>
      </c>
      <c r="B36" s="104" t="inlineStr">
        <is>
          <t>Energy as a share of AI data centre TCO</t>
        </is>
      </c>
      <c r="C36" s="85" t="inlineStr">
        <is>
          <t>%</t>
        </is>
      </c>
      <c r="D36" s="93" t="n">
        <v>0.07000000000000001</v>
      </c>
      <c r="E36" s="105" t="inlineStr">
        <is>
          <t>DERIVED</t>
        </is>
      </c>
      <c r="F36" s="85" t="inlineStr">
        <is>
          <t>compute-economics-03</t>
        </is>
      </c>
      <c r="G36" s="71" t="inlineStr">
        <is>
          <t>USD 594m of USD 8,514m annualised. Caps the value of cheap power.</t>
        </is>
      </c>
    </row>
    <row r="37" ht="27.75" customHeight="1" s="69">
      <c r="A37" s="106" t="inlineStr">
        <is>
          <t>au_rtn_min_months</t>
        </is>
      </c>
      <c r="B37" s="107" t="inlineStr">
        <is>
          <t>Federal right-to-negotiate statutory minimum</t>
        </is>
      </c>
      <c r="C37" s="106" t="inlineStr">
        <is>
          <t>months</t>
        </is>
      </c>
      <c r="D37" s="93" t="n">
        <v>6</v>
      </c>
      <c r="E37" s="105" t="inlineStr">
        <is>
          <t>VERIFIED</t>
        </is>
      </c>
      <c r="F37" s="106" t="inlineStr">
        <is>
          <t>legals-02</t>
        </is>
      </c>
      <c r="G37" s="108" t="inlineStr">
        <is>
          <t>NTA s35(1)(a). A floor on when arbitration may start, NOT a forecast of agreement. The 4-month figure in circulation is SA Mining Act and does not apply.</t>
        </is>
      </c>
    </row>
    <row r="38" ht="27.75" customHeight="1" s="69">
      <c r="A38" s="85" t="inlineStr">
        <is>
          <t>au_native_title_cost</t>
        </is>
      </c>
      <c r="B38" s="104" t="inlineStr">
        <is>
          <t>Native title agreement - negotiation and instrument</t>
        </is>
      </c>
      <c r="C38" s="85" t="inlineStr">
        <is>
          <t>AUD</t>
        </is>
      </c>
      <c r="D38" s="109" t="n">
        <v>0</v>
      </c>
      <c r="E38" s="110" t="inlineStr">
        <is>
          <t>RATE_MISSING</t>
        </is>
      </c>
      <c r="F38" s="85" t="inlineStr">
        <is>
          <t>legals-08</t>
        </is>
      </c>
      <c r="G38" s="71" t="inlineStr">
        <is>
          <t>RATE_MISSING. No published cost exists for an SA petroleum/geothermal native title agreement. Requires a quote from SA native title counsel.</t>
        </is>
      </c>
    </row>
    <row r="39" ht="27.75" customHeight="1" s="69">
      <c r="A39" s="106" t="inlineStr">
        <is>
          <t>au_heritage_survey_cost</t>
        </is>
      </c>
      <c r="B39" s="107" t="inlineStr">
        <is>
          <t>Aboriginal heritage clearance survey</t>
        </is>
      </c>
      <c r="C39" s="106" t="inlineStr">
        <is>
          <t>AUD</t>
        </is>
      </c>
      <c r="D39" s="109" t="n">
        <v>0</v>
      </c>
      <c r="E39" s="110" t="inlineStr">
        <is>
          <t>RATE_MISSING</t>
        </is>
      </c>
      <c r="F39" s="106" t="inlineStr">
        <is>
          <t>legals-11</t>
        </is>
      </c>
      <c r="G39" s="108" t="inlineStr">
        <is>
          <t>RATE_MISSING. Aboriginal Heritage Act 1988 (SA) - a SEPARATE statute and cost from native title. Scales with disturbed area, not negotiation.</t>
        </is>
      </c>
    </row>
    <row r="40" ht="27.75" customHeight="1" s="69">
      <c r="A40" s="85" t="inlineStr">
        <is>
          <t>au_tenement_legal_cost</t>
        </is>
      </c>
      <c r="B40" s="104" t="inlineStr">
        <is>
          <t>Tenement application and grant, Energy Resources Act 2000 (SA)</t>
        </is>
      </c>
      <c r="C40" s="85" t="inlineStr">
        <is>
          <t>AUD</t>
        </is>
      </c>
      <c r="D40" s="109" t="n">
        <v>0</v>
      </c>
      <c r="E40" s="110" t="inlineStr">
        <is>
          <t>RATE_MISSING</t>
        </is>
      </c>
      <c r="F40" s="85" t="inlineStr">
        <is>
          <t>legals-11</t>
        </is>
      </c>
      <c r="G40" s="71" t="inlineStr">
        <is>
          <t>RATE_MISSING. Licence application, environmental approval and any EPBC referral. Not yet quoted.</t>
        </is>
      </c>
    </row>
    <row r="41" ht="27.75" customHeight="1" s="69">
      <c r="A41" s="106" t="inlineStr">
        <is>
          <t>nz_consenting_cost</t>
        </is>
      </c>
      <c r="B41" s="107" t="inlineStr">
        <is>
          <t>NZ resource consenting package</t>
        </is>
      </c>
      <c r="C41" s="106" t="inlineStr">
        <is>
          <t>NZD</t>
        </is>
      </c>
      <c r="D41" s="109" t="n">
        <v>0</v>
      </c>
      <c r="E41" s="110" t="inlineStr">
        <is>
          <t>RATE_MISSING</t>
        </is>
      </c>
      <c r="F41" s="106" t="inlineStr">
        <is>
          <t>legals-11</t>
        </is>
      </c>
      <c r="G41" s="108" t="inlineStr">
        <is>
          <t>RATE_MISSING. RMA consents plus iwi/hapu engagement. The NZ counterpart block; quantum not established in the evidence base.</t>
        </is>
      </c>
    </row>
    <row r="42" ht="27.75" customHeight="1" s="69">
      <c r="A42" s="106" t="inlineStr">
        <is>
          <t>au_well_replacement_provision</t>
        </is>
      </c>
      <c r="B42" s="107" t="inlineStr">
        <is>
          <t>AU make-up / well replacement provision</t>
        </is>
      </c>
      <c r="C42" s="106" t="inlineStr">
        <is>
          <t>AUD/yr</t>
        </is>
      </c>
      <c r="D42" s="111" t="n">
        <v>0</v>
      </c>
      <c r="E42" s="110" t="inlineStr">
        <is>
          <t>RATE_MISSING</t>
        </is>
      </c>
      <c r="F42" s="106" t="inlineStr">
        <is>
          <t>NO FINDING — gap raised in model review</t>
        </is>
      </c>
      <c r="G42" s="108" t="inlineStr">
        <is>
          <t>RATE_MISSING. The plant O&amp;M rate (geothermal-capex-18) EXCLUDES well replacement, so the AU route currently carries no make-up drilling cost at all. NZ's opex rate includes make-up; AU's does not. Asymmetric until this is quoted.</t>
        </is>
      </c>
    </row>
    <row r="43" ht="27.75" customHeight="1" s="69">
      <c r="A43" s="106" t="inlineStr">
        <is>
          <t>dc_opex_usd_mw_yr</t>
        </is>
      </c>
      <c r="B43" s="107" t="inlineStr">
        <is>
          <t>Data centre non-energy opex (maintenance, insurance, security, connectivity, rates)</t>
        </is>
      </c>
      <c r="C43" s="106" t="inlineStr">
        <is>
          <t>USD/MW/yr</t>
        </is>
      </c>
      <c r="D43" s="111" t="n">
        <v>0</v>
      </c>
      <c r="E43" s="110" t="inlineStr">
        <is>
          <t>RATE_MISSING</t>
        </is>
      </c>
      <c r="F43" s="106" t="inlineStr">
        <is>
          <t>NO FINDING — gap raised in model review</t>
        </is>
      </c>
      <c r="G43" s="108" t="inlineStr">
        <is>
          <t>RATE_MISSING. Applies to BOTH routes. The evidence base covers data centre CAPEX benchmarks but carries no operating cost benchmark. Ships at zero, so the contribution line is an overstatement by exactly this amount.</t>
        </is>
      </c>
    </row>
    <row r="44"/>
    <row r="45" ht="15.75" customHeight="1" s="69">
      <c r="A45" s="77" t="inlineStr">
        <is>
          <t>Status labels</t>
        </is>
      </c>
    </row>
    <row r="46" ht="13.5" customHeight="1" s="69">
      <c r="A46" s="85" t="inlineStr">
        <is>
          <t>VERIFIED</t>
        </is>
      </c>
      <c r="B46" s="85" t="inlineStr">
        <is>
          <t>The figure appears in the cited source and an independent verifier confirmed it.</t>
        </is>
      </c>
    </row>
    <row r="47" ht="13.5" customHeight="1" s="69">
      <c r="A47" s="85" t="inlineStr">
        <is>
          <t>VERIFIED-ESTIMATE</t>
        </is>
      </c>
      <c r="B47" s="85" t="inlineStr">
        <is>
          <t>Sourced, but the source itself presents it as an estimate or a range.</t>
        </is>
      </c>
    </row>
    <row r="48" ht="13.5" customHeight="1" s="69">
      <c r="A48" s="85" t="inlineStr">
        <is>
          <t>DERIVED</t>
        </is>
      </c>
      <c r="B48" s="85" t="inlineStr">
        <is>
          <t>Arithmetic on sourced figures. The inputs are sourced; this number is not published.</t>
        </is>
      </c>
    </row>
    <row r="49" ht="13.5" customHeight="1" s="69">
      <c r="A49" s="85" t="inlineStr">
        <is>
          <t>INDICATIVE</t>
        </is>
      </c>
      <c r="B49" s="85" t="inlineStr">
        <is>
          <t>A trade or market figure without a primary source behind it. Directionally useful only.</t>
        </is>
      </c>
    </row>
    <row r="50" ht="13.5" customHeight="1" s="69">
      <c r="A50" s="112" t="inlineStr">
        <is>
          <t>CONTESTED</t>
        </is>
      </c>
      <c r="B50" s="85" t="inlineStr">
        <is>
          <t>An independent verifier raised a MAJOR against this figure. Do NOT present it as sourced.</t>
        </is>
      </c>
    </row>
    <row r="51" ht="13.5" customHeight="1" s="69">
      <c r="A51" s="112" t="inlineStr">
        <is>
          <t>RATE_MISSING</t>
        </is>
      </c>
      <c r="B51" s="85" t="inlineStr">
        <is>
          <t>No published figure exists. Ships at zero. A gap in the evidence, not a zero cost.</t>
        </is>
      </c>
    </row>
    <row r="52">
      <c r="A52" s="89" t="inlineStr">
        <is>
          <t>V3 ADDITIONS (12 Oct 2026): rates added to answer the v3 review</t>
        </is>
      </c>
    </row>
    <row r="53">
      <c r="A53" s="113" t="inlineStr">
        <is>
          <t>hab_closed_loop_kg_s</t>
        </is>
      </c>
      <c r="B53" s="113" t="inlineStr">
        <is>
          <t>Habanero best sustained closed-loop circulation (2013, 160-day pilot)</t>
        </is>
      </c>
      <c r="C53" s="113" t="inlineStr">
        <is>
          <t>kg/s</t>
        </is>
      </c>
      <c r="D53" s="114" t="n">
        <v>19</v>
      </c>
      <c r="E53" s="113" t="inlineStr">
        <is>
          <t>INDICATIVE</t>
        </is>
      </c>
      <c r="F53" s="113" t="inlineStr">
        <is>
          <t>ThinkGeoEnergy 8 Oct 2013</t>
        </is>
      </c>
      <c r="G53" s="113" t="inlineStr">
        <is>
          <t>Verify against the Geodynamics final reports before external use.</t>
        </is>
      </c>
    </row>
    <row r="54">
      <c r="A54" s="113" t="inlineStr">
        <is>
          <t>hab_open_flow_kg_s</t>
        </is>
      </c>
      <c r="B54" s="113" t="inlineStr">
        <is>
          <t>Habanero 4 stabilised open-flow rate</t>
        </is>
      </c>
      <c r="C54" s="113" t="inlineStr">
        <is>
          <t>kg/s</t>
        </is>
      </c>
      <c r="D54" s="114" t="n">
        <v>39</v>
      </c>
      <c r="E54" s="113" t="inlineStr">
        <is>
          <t>INDICATIVE</t>
        </is>
      </c>
      <c r="F54" s="113" t="inlineStr">
        <is>
          <t>ThinkGeoEnergy</t>
        </is>
      </c>
      <c r="G54" s="113" t="inlineStr">
        <is>
          <t>40-50 kg/s claimed at full drawdown.</t>
        </is>
      </c>
    </row>
    <row r="55">
      <c r="A55" s="113" t="inlineStr">
        <is>
          <t>hab_wellhead_c</t>
        </is>
      </c>
      <c r="B55" s="113" t="inlineStr">
        <is>
          <t>Habanero 4 wellhead temperature, maximum</t>
        </is>
      </c>
      <c r="C55" s="113" t="inlineStr">
        <is>
          <t>degC</t>
        </is>
      </c>
      <c r="D55" s="114" t="n">
        <v>215</v>
      </c>
      <c r="E55" s="113" t="inlineStr">
        <is>
          <t>INDICATIVE</t>
        </is>
      </c>
      <c r="F55" s="113" t="inlineStr">
        <is>
          <t>ThinkGeoEnergy 2013</t>
        </is>
      </c>
      <c r="G55" s="113" t="inlineStr"/>
    </row>
    <row r="56">
      <c r="A56" s="113" t="inlineStr">
        <is>
          <t>red_flow_kg_s</t>
        </is>
      </c>
      <c r="B56" s="113" t="inlineStr">
        <is>
          <t>Fervo Project Red peak flow (63 L/s ~ 63 kg/s)</t>
        </is>
      </c>
      <c r="C56" s="113" t="inlineStr">
        <is>
          <t>kg/s</t>
        </is>
      </c>
      <c r="D56" s="114" t="n">
        <v>63</v>
      </c>
      <c r="E56" s="113" t="inlineStr">
        <is>
          <t>VERIFIED</t>
        </is>
      </c>
      <c r="F56" s="113" t="inlineStr">
        <is>
          <t>Norbeck &amp; Latimer 2023 (EarthArXiv)</t>
        </is>
      </c>
      <c r="G56" s="113" t="inlineStr">
        <is>
          <t>Peak test, not sustained.</t>
        </is>
      </c>
    </row>
    <row r="57">
      <c r="A57" s="113" t="inlineStr">
        <is>
          <t>red_peak_mwe</t>
        </is>
      </c>
      <c r="B57" s="113" t="inlineStr">
        <is>
          <t>Fervo Project Red peak electric equivalent</t>
        </is>
      </c>
      <c r="C57" s="113" t="inlineStr">
        <is>
          <t>MWe</t>
        </is>
      </c>
      <c r="D57" s="114" t="n">
        <v>3.5</v>
      </c>
      <c r="E57" s="113" t="inlineStr">
        <is>
          <t>VERIFIED</t>
        </is>
      </c>
      <c r="F57" s="113" t="inlineStr">
        <is>
          <t>Norbeck &amp; Latimer 2023</t>
        </is>
      </c>
      <c r="G57" s="113" t="inlineStr">
        <is>
          <t>Calculated electric equivalent, assumes supercritical ORC; not metered.</t>
        </is>
      </c>
    </row>
    <row r="58">
      <c r="A58" s="113" t="inlineStr">
        <is>
          <t>red_temp_c</t>
        </is>
      </c>
      <c r="B58" s="113" t="inlineStr">
        <is>
          <t>Fervo Project Red production temperature (336 F)</t>
        </is>
      </c>
      <c r="C58" s="113" t="inlineStr">
        <is>
          <t>degC</t>
        </is>
      </c>
      <c r="D58" s="114" t="n">
        <v>169</v>
      </c>
      <c r="E58" s="113" t="inlineStr">
        <is>
          <t>VERIFIED</t>
        </is>
      </c>
      <c r="F58" s="113" t="inlineStr">
        <is>
          <t>Norbeck &amp; Latimer 2023</t>
        </is>
      </c>
      <c r="G58" s="113" t="inlineStr"/>
    </row>
    <row r="59">
      <c r="A59" s="113" t="inlineStr">
        <is>
          <t>fervo_sust_flow_kg_s</t>
        </is>
      </c>
      <c r="B59" s="113" t="inlineStr">
        <is>
          <t>Fervo Project Red sustained average circulation (614+ days)</t>
        </is>
      </c>
      <c r="C59" s="113" t="inlineStr">
        <is>
          <t>kg/s</t>
        </is>
      </c>
      <c r="D59" s="114" t="n">
        <v>36</v>
      </c>
      <c r="E59" s="113" t="inlineStr">
        <is>
          <t>INDICATIVE</t>
        </is>
      </c>
      <c r="F59" s="113" t="inlineStr">
        <is>
          <t>Fervo operating update Apr 2026</t>
        </is>
      </c>
      <c r="G59" s="113" t="inlineStr">
        <is>
          <t>Verify page reference.</t>
        </is>
      </c>
    </row>
    <row r="60">
      <c r="A60" s="113" t="inlineStr">
        <is>
          <t>fervo_sust_gross_mw</t>
        </is>
      </c>
      <c r="B60" s="113" t="inlineStr">
        <is>
          <t>Fervo Project Red sustained average gross output</t>
        </is>
      </c>
      <c r="C60" s="113" t="inlineStr">
        <is>
          <t>MW</t>
        </is>
      </c>
      <c r="D60" s="114" t="n">
        <v>2.1</v>
      </c>
      <c r="E60" s="113" t="inlineStr">
        <is>
          <t>INDICATIVE</t>
        </is>
      </c>
      <c r="F60" s="113" t="inlineStr">
        <is>
          <t>Fervo operating update Apr 2026</t>
        </is>
      </c>
      <c r="G60" s="113" t="inlineStr"/>
    </row>
    <row r="61">
      <c r="A61" s="113" t="inlineStr">
        <is>
          <t>fervo_sust_net_mw</t>
        </is>
      </c>
      <c r="B61" s="113" t="inlineStr">
        <is>
          <t>Fervo Project Red sustained average net output</t>
        </is>
      </c>
      <c r="C61" s="113" t="inlineStr">
        <is>
          <t>MW</t>
        </is>
      </c>
      <c r="D61" s="114" t="n">
        <v>1.4</v>
      </c>
      <c r="E61" s="113" t="inlineStr">
        <is>
          <t>INDICATIVE</t>
        </is>
      </c>
      <c r="F61" s="113" t="inlineStr">
        <is>
          <t>Fervo operating update Apr 2026; deck slide 5</t>
        </is>
      </c>
      <c r="G61" s="113" t="inlineStr"/>
    </row>
    <row r="62">
      <c r="A62" s="113" t="inlineStr">
        <is>
          <t>parasitic_eia</t>
        </is>
      </c>
      <c r="B62" s="113" t="inlineStr">
        <is>
          <t>Parasitic load, conventional binary plant (EIA Case 11: ~58 MW gross for 50 MW net)</t>
        </is>
      </c>
      <c r="C62" s="113" t="inlineStr">
        <is>
          <t>share of gross</t>
        </is>
      </c>
      <c r="D62" s="114" t="n">
        <v>0.138</v>
      </c>
      <c r="E62" s="113" t="inlineStr">
        <is>
          <t>VERIFIED</t>
        </is>
      </c>
      <c r="F62" s="113" t="inlineStr">
        <is>
          <t>EIA capital cost study (geothermal-capex-16)</t>
        </is>
      </c>
      <c r="G62" s="113" t="inlineStr"/>
    </row>
    <row r="63">
      <c r="A63" s="113" t="inlineStr">
        <is>
          <t>geoexpro_pump_mw</t>
        </is>
      </c>
      <c r="B63" s="113" t="inlineStr">
        <is>
          <t>Cape Station test: injection pumping estimate</t>
        </is>
      </c>
      <c r="C63" s="113" t="inlineStr">
        <is>
          <t>MW</t>
        </is>
      </c>
      <c r="D63" s="114" t="n">
        <v>2.5</v>
      </c>
      <c r="E63" s="113" t="inlineStr">
        <is>
          <t>INDICATIVE</t>
        </is>
      </c>
      <c r="F63" s="113" t="inlineStr">
        <is>
          <t>GeoExpro, Yearsley &amp; Kombrink, 1 Oct 2025</t>
        </is>
      </c>
      <c r="G63" s="113" t="inlineStr">
        <is>
          <t>Critic estimate, not company data.</t>
        </is>
      </c>
    </row>
    <row r="64">
      <c r="A64" s="113" t="inlineStr">
        <is>
          <t>geoexpro_gross_mw</t>
        </is>
      </c>
      <c r="B64" s="113" t="inlineStr">
        <is>
          <t>Cape Station test: gross output estimate</t>
        </is>
      </c>
      <c r="C64" s="113" t="inlineStr">
        <is>
          <t>MW</t>
        </is>
      </c>
      <c r="D64" s="114" t="n">
        <v>8.699999999999999</v>
      </c>
      <c r="E64" s="113" t="inlineStr">
        <is>
          <t>INDICATIVE</t>
        </is>
      </c>
      <c r="F64" s="113" t="inlineStr">
        <is>
          <t>GeoExpro, 1 Oct 2025</t>
        </is>
      </c>
      <c r="G64" s="113" t="inlineStr"/>
    </row>
    <row r="65">
      <c r="A65" s="113" t="inlineStr">
        <is>
          <t>parasitic_egs_stress</t>
        </is>
      </c>
      <c r="B65" s="113" t="inlineStr">
        <is>
          <t>EGS parasitic stress case = pumping / gross</t>
        </is>
      </c>
      <c r="C65" s="113" t="inlineStr">
        <is>
          <t>share of gross</t>
        </is>
      </c>
      <c r="D65" s="114">
        <f>D63/D64</f>
        <v/>
      </c>
      <c r="E65" s="113" t="inlineStr">
        <is>
          <t>DERIVED</t>
        </is>
      </c>
      <c r="F65" s="113" t="inlineStr">
        <is>
          <t>Arithmetic on rows 63-64</t>
        </is>
      </c>
      <c r="G65" s="113" t="inlineStr">
        <is>
          <t>Replaces the unsourced "Fervo ~33%" used in v2. Use as stress, not as a Cooper Basin prediction.</t>
        </is>
      </c>
    </row>
    <row r="66">
      <c r="A66" s="113" t="inlineStr">
        <is>
          <t>cp_water</t>
        </is>
      </c>
      <c r="B66" s="113" t="inlineStr">
        <is>
          <t>Specific heat of hot water (constant-cp approximation)</t>
        </is>
      </c>
      <c r="C66" s="113" t="inlineStr">
        <is>
          <t>kJ/kg.K</t>
        </is>
      </c>
      <c r="D66" s="114" t="n">
        <v>4.2</v>
      </c>
      <c r="E66" s="113" t="inlineStr">
        <is>
          <t>ASSUMPTION</t>
        </is>
      </c>
      <c r="F66" s="113" t="inlineStr">
        <is>
          <t>Physics approximation</t>
        </is>
      </c>
      <c r="G66" s="113" t="inlineStr">
        <is>
          <t>Used only on Flow-Basis.</t>
        </is>
      </c>
    </row>
    <row r="67">
      <c r="A67" s="113" t="inlineStr">
        <is>
          <t>dead_state_c</t>
        </is>
      </c>
      <c r="B67" s="113" t="inlineStr">
        <is>
          <t>Dead-state (ambient) temperature for exergy</t>
        </is>
      </c>
      <c r="C67" s="113" t="inlineStr">
        <is>
          <t>degC</t>
        </is>
      </c>
      <c r="D67" s="114" t="n">
        <v>25</v>
      </c>
      <c r="E67" s="113" t="inlineStr">
        <is>
          <t>ASSUMPTION</t>
        </is>
      </c>
      <c r="F67" s="113" t="inlineStr">
        <is>
          <t>Archegon screening method</t>
        </is>
      </c>
      <c r="G67" s="113" t="inlineStr"/>
    </row>
    <row r="68">
      <c r="A68" s="113" t="inlineStr">
        <is>
          <t>exergy_util_low</t>
        </is>
      </c>
      <c r="B68" s="113" t="inlineStr">
        <is>
          <t>Share of brine exergy converted to gross power - low</t>
        </is>
      </c>
      <c r="C68" s="113" t="inlineStr">
        <is>
          <t>share</t>
        </is>
      </c>
      <c r="D68" s="114" t="n">
        <v>0.4</v>
      </c>
      <c r="E68" s="113" t="inlineStr">
        <is>
          <t>ASSUMPTION</t>
        </is>
      </c>
      <c r="F68" s="113" t="inlineStr">
        <is>
          <t>Archegon screening method</t>
        </is>
      </c>
      <c r="G68" s="113" t="inlineStr">
        <is>
          <t>Project Red back-calculates to ~50% (Flow-Basis).</t>
        </is>
      </c>
    </row>
    <row r="69">
      <c r="A69" s="113" t="inlineStr">
        <is>
          <t>exergy_util_high</t>
        </is>
      </c>
      <c r="B69" s="113" t="inlineStr">
        <is>
          <t>Share of brine exergy converted to gross power - high</t>
        </is>
      </c>
      <c r="C69" s="113" t="inlineStr">
        <is>
          <t>share</t>
        </is>
      </c>
      <c r="D69" s="114" t="n">
        <v>0.5</v>
      </c>
      <c r="E69" s="113" t="inlineStr">
        <is>
          <t>ASSUMPTION</t>
        </is>
      </c>
      <c r="F69" s="113" t="inlineStr">
        <is>
          <t>Archegon screening method</t>
        </is>
      </c>
      <c r="G69" s="113" t="inlineStr"/>
    </row>
    <row r="70">
      <c r="A70" s="113" t="inlineStr">
        <is>
          <t>wacc_base</t>
        </is>
      </c>
      <c r="B70" s="113" t="inlineStr">
        <is>
          <t>Discount rate for levelised cost (base)</t>
        </is>
      </c>
      <c r="C70" s="113" t="inlineStr">
        <is>
          <t>%</t>
        </is>
      </c>
      <c r="D70" s="114" t="n">
        <v>0.08</v>
      </c>
      <c r="E70" s="113" t="inlineStr">
        <is>
          <t>ASSUMPTION</t>
        </is>
      </c>
      <c r="F70" s="113" t="inlineStr">
        <is>
          <t>Sensitivity range 6/8/10%</t>
        </is>
      </c>
      <c r="G70" s="113" t="inlineStr">
        <is>
          <t>Not a sourced cost of capital. Sensitivity on Power-Economics.</t>
        </is>
      </c>
    </row>
    <row r="71">
      <c r="A71" s="113" t="inlineStr">
        <is>
          <t>asset_life_yrs</t>
        </is>
      </c>
      <c r="B71" s="113" t="inlineStr">
        <is>
          <t>Asset life for levelised cost</t>
        </is>
      </c>
      <c r="C71" s="113" t="inlineStr">
        <is>
          <t>years</t>
        </is>
      </c>
      <c r="D71" s="114" t="n">
        <v>25</v>
      </c>
      <c r="E71" s="113" t="inlineStr">
        <is>
          <t>ASSUMPTION</t>
        </is>
      </c>
      <c r="F71" s="113" t="inlineStr">
        <is>
          <t>Archegon assumption</t>
        </is>
      </c>
      <c r="G71" s="113" t="inlineStr"/>
    </row>
    <row r="72">
      <c r="A72" s="113" t="inlineStr">
        <is>
          <t>px_sa_aud_mwh</t>
        </is>
      </c>
      <c r="B72" s="113" t="inlineStr">
        <is>
          <t>SA wholesale average price</t>
        </is>
      </c>
      <c r="C72" s="113" t="inlineStr">
        <is>
          <t>AUD/MWh</t>
        </is>
      </c>
      <c r="D72" s="114" t="n">
        <v>88</v>
      </c>
      <c r="E72" s="113" t="inlineStr">
        <is>
          <t>VERIFIED</t>
        </is>
      </c>
      <c r="F72" s="113" t="inlineStr">
        <is>
          <t>Same source as D34 (note G34)</t>
        </is>
      </c>
      <c r="G72" s="113" t="inlineStr">
        <is>
          <t>Wholesale only; a grid-connected load also pays network and retail charges.</t>
        </is>
      </c>
    </row>
    <row r="73">
      <c r="A73" s="113" t="inlineStr">
        <is>
          <t>diesel_l_per_kwh</t>
        </is>
      </c>
      <c r="B73" s="113" t="inlineStr">
        <is>
          <t>Diesel genset fuel rate</t>
        </is>
      </c>
      <c r="C73" s="113" t="inlineStr">
        <is>
          <t>L/kWh</t>
        </is>
      </c>
      <c r="D73" s="114" t="n">
        <v>0.26</v>
      </c>
      <c r="E73" s="113" t="inlineStr">
        <is>
          <t>ASSUMPTION</t>
        </is>
      </c>
      <c r="F73" s="113" t="inlineStr">
        <is>
          <t>Range 0.25-0.27</t>
        </is>
      </c>
      <c r="G73" s="113" t="inlineStr">
        <is>
          <t>Illustrative only; diesel price RATE_MISSING.</t>
        </is>
      </c>
    </row>
    <row r="74">
      <c r="A74" s="113" t="inlineStr">
        <is>
          <t>bess_cost</t>
        </is>
      </c>
      <c r="B74" s="113" t="inlineStr">
        <is>
          <t>Grid-forming BESS for islanded frequency control</t>
        </is>
      </c>
      <c r="C74" s="113" t="inlineStr">
        <is>
          <t>AUD</t>
        </is>
      </c>
      <c r="D74" s="114" t="n">
        <v>0</v>
      </c>
      <c r="E74" s="113" t="inlineStr">
        <is>
          <t>PUBLIC PROXY (see Proxies tab)</t>
        </is>
      </c>
      <c r="F74" s="113" t="inlineStr">
        <is>
          <t>No finding</t>
        </is>
      </c>
      <c r="G74" s="113" t="inlineStr">
        <is>
          <t>Needs a power-systems study and vendor quote.</t>
        </is>
      </c>
    </row>
    <row r="75">
      <c r="A75" s="113" t="inlineStr">
        <is>
          <t>standby_gen_cost</t>
        </is>
      </c>
      <c r="B75" s="113" t="inlineStr">
        <is>
          <t>Standby generation (gensets or local gas) for N-1 cover</t>
        </is>
      </c>
      <c r="C75" s="113" t="inlineStr">
        <is>
          <t>AUD</t>
        </is>
      </c>
      <c r="D75" s="114" t="n">
        <v>0</v>
      </c>
      <c r="E75" s="113" t="inlineStr">
        <is>
          <t>PUBLIC PROXY (see Proxies tab)</t>
        </is>
      </c>
      <c r="F75" s="113" t="inlineStr">
        <is>
          <t>No finding</t>
        </is>
      </c>
      <c r="G75" s="113" t="inlineStr">
        <is>
          <t>Cooper Basin is a gas province: local gas is an option to price.</t>
        </is>
      </c>
    </row>
    <row r="76">
      <c r="A76" s="113" t="inlineStr">
        <is>
          <t>black_start_cost</t>
        </is>
      </c>
      <c r="B76" s="113" t="inlineStr">
        <is>
          <t>Black-start source for ORC auxiliaries</t>
        </is>
      </c>
      <c r="C76" s="113" t="inlineStr">
        <is>
          <t>AUD</t>
        </is>
      </c>
      <c r="D76" s="114" t="n">
        <v>0</v>
      </c>
      <c r="E76" s="113" t="inlineStr">
        <is>
          <t>PUBLIC PROXY (see Proxies tab)</t>
        </is>
      </c>
      <c r="F76" s="113" t="inlineStr">
        <is>
          <t>No finding</t>
        </is>
      </c>
      <c r="G76" s="113" t="inlineStr">
        <is>
          <t>Mandatory for an islanded ORC.</t>
        </is>
      </c>
    </row>
    <row r="77">
      <c r="A77" s="113" t="inlineStr">
        <is>
          <t>orc_hot_day_derate</t>
        </is>
      </c>
      <c r="B77" s="113" t="inlineStr">
        <is>
          <t>Air-cooled ORC output loss on a 40+ degC day</t>
        </is>
      </c>
      <c r="C77" s="113" t="inlineStr">
        <is>
          <t>share</t>
        </is>
      </c>
      <c r="D77" s="114" t="n">
        <v>0</v>
      </c>
      <c r="E77" s="113" t="inlineStr">
        <is>
          <t>RATE_MISSING</t>
        </is>
      </c>
      <c r="F77" s="113" t="inlineStr">
        <is>
          <t>Vendor derate curve needed</t>
        </is>
      </c>
      <c r="G77" s="113" t="inlineStr">
        <is>
          <t>Sensitivities on Firm-Power are illustrative, not vendor data.</t>
        </is>
      </c>
    </row>
    <row r="78">
      <c r="A78" s="113" t="inlineStr">
        <is>
          <t>stim_test_facility_cost</t>
        </is>
      </c>
      <c r="B78" s="113" t="inlineStr">
        <is>
          <t>Stimulation, completion and well-test facilities (if not inside the well cost)</t>
        </is>
      </c>
      <c r="C78" s="113" t="inlineStr">
        <is>
          <t>AUD</t>
        </is>
      </c>
      <c r="D78" s="114">
        <f>Rates!$D$89*'AU-Route'!$B$10</f>
        <v/>
      </c>
      <c r="E78" s="113" t="inlineStr">
        <is>
          <t>DERIVED</t>
        </is>
      </c>
      <c r="F78" s="113" t="inlineStr">
        <is>
          <t>v4: stimulation per well (D89) x all wells; in AU capex</t>
        </is>
      </c>
      <c r="G78" s="113" t="inlineStr"/>
    </row>
    <row r="79">
      <c r="A79" s="113" t="inlineStr">
        <is>
          <t>makeup_interval_yrs</t>
        </is>
      </c>
      <c r="B79" s="113" t="inlineStr">
        <is>
          <t>One make-up well every N years (decline provision)</t>
        </is>
      </c>
      <c r="C79" s="113" t="inlineStr">
        <is>
          <t>years</t>
        </is>
      </c>
      <c r="D79" s="114" t="n">
        <v>5</v>
      </c>
      <c r="E79" s="113" t="inlineStr">
        <is>
          <t>ASSUMPTION</t>
        </is>
      </c>
      <c r="F79" s="113" t="inlineStr">
        <is>
          <t>Illustration</t>
        </is>
      </c>
      <c r="G79" s="113" t="inlineStr">
        <is>
          <t>Sensitivity only; D42 stays RATE_MISSING until a decline case exists.</t>
        </is>
      </c>
    </row>
    <row r="80">
      <c r="A80" s="113" t="inlineStr">
        <is>
          <t>km_innamincka_adelaide</t>
        </is>
      </c>
      <c r="B80" s="113" t="inlineStr">
        <is>
          <t>Innamincka to Adelaide, straight line</t>
        </is>
      </c>
      <c r="C80" s="113" t="inlineStr">
        <is>
          <t>km</t>
        </is>
      </c>
      <c r="D80" s="114" t="n">
        <v>820</v>
      </c>
      <c r="E80" s="113" t="inlineStr">
        <is>
          <t>DERIVED</t>
        </is>
      </c>
      <c r="F80" s="113" t="inlineStr">
        <is>
          <t>Great-circle from coordinates (box calc 823 km; 820 km)</t>
        </is>
      </c>
      <c r="G80" s="113" t="inlineStr">
        <is>
          <t>Road distance is longer. Replaces "~1,000 km" (AU-Route C28) and "750 km" (NZ-Route C21).</t>
        </is>
      </c>
    </row>
    <row r="81">
      <c r="A81" s="113" t="inlineStr">
        <is>
          <t>orc_scale_exponent</t>
        </is>
      </c>
      <c r="B81" s="113" t="inlineStr">
        <is>
          <t>Generic plant cost scale exponent (scale penalty sensitivity)</t>
        </is>
      </c>
      <c r="C81" s="113" t="inlineStr">
        <is>
          <t>x</t>
        </is>
      </c>
      <c r="D81" s="114" t="n">
        <v>0.6</v>
      </c>
      <c r="E81" s="113" t="inlineStr">
        <is>
          <t>ASSUMPTION</t>
        </is>
      </c>
      <c r="F81" s="113" t="inlineStr">
        <is>
          <t>Archegon assumption</t>
        </is>
      </c>
      <c r="G81" s="113" t="inlineStr">
        <is>
          <t>Sensitivity only. Replace with two ORC supplier quotes.</t>
        </is>
      </c>
    </row>
    <row r="82">
      <c r="A82" s="113" t="inlineStr">
        <is>
          <t>module_mw_it</t>
        </is>
      </c>
      <c r="B82" s="113" t="inlineStr">
        <is>
          <t>Data-centre module step</t>
        </is>
      </c>
      <c r="C82" s="113" t="inlineStr">
        <is>
          <t>MW IT</t>
        </is>
      </c>
      <c r="D82" s="114" t="n">
        <v>1.25</v>
      </c>
      <c r="E82" s="113" t="inlineStr">
        <is>
          <t>ASSUMPTION</t>
        </is>
      </c>
      <c r="F82" s="113" t="inlineStr">
        <is>
          <t>Design choice shown in Diagram E</t>
        </is>
      </c>
      <c r="G82" s="113" t="inlineStr">
        <is>
          <t>v3 enforces whole modules in Funding-Tiers.</t>
        </is>
      </c>
    </row>
    <row r="83">
      <c r="A83" s="113" t="inlineStr">
        <is>
          <t>colo_remote_discount</t>
        </is>
      </c>
      <c r="B83" s="113" t="inlineStr">
        <is>
          <t>Remote / islanded colo price discount (illustrative)</t>
        </is>
      </c>
      <c r="C83" s="113" t="inlineStr">
        <is>
          <t>share</t>
        </is>
      </c>
      <c r="D83" s="114" t="n">
        <v>0.2</v>
      </c>
      <c r="E83" s="113" t="inlineStr">
        <is>
          <t>ASSUMPTION</t>
        </is>
      </c>
      <c r="F83" s="113" t="inlineStr">
        <is>
          <t>Illustration</t>
        </is>
      </c>
      <c r="G83" s="113" t="inlineStr">
        <is>
          <t>Sensitivity only. Replace with broker view and tenant LOIs.</t>
        </is>
      </c>
    </row>
    <row r="84">
      <c r="A84" s="113" t="inlineStr">
        <is>
          <t>fervo_kw_s1a</t>
        </is>
      </c>
      <c r="B84" s="113" t="inlineStr">
        <is>
          <t>Fervo first Cape Station project, overnight capital cost</t>
        </is>
      </c>
      <c r="C84" s="113" t="inlineStr">
        <is>
          <t>USD/kW</t>
        </is>
      </c>
      <c r="D84" s="114" t="n">
        <v>7000</v>
      </c>
      <c r="E84" s="113" t="inlineStr">
        <is>
          <t>VERIFIED-ESTIMATE</t>
        </is>
      </c>
      <c r="F84" s="113" t="inlineStr">
        <is>
          <t>Fervo S-1/A filed 4 May 2026</t>
        </is>
      </c>
      <c r="G84" s="113" t="inlineStr">
        <is>
          <t>Basis: OVERNIGHT, first project. Deck v2 mis-dated this as 31 Dec 2025.</t>
        </is>
      </c>
    </row>
    <row r="85">
      <c r="A85" s="113" t="inlineStr">
        <is>
          <t>fervo_kw_phase2</t>
        </is>
      </c>
      <c r="B85" s="113" t="inlineStr">
        <is>
          <t>Fervo Phase II expected cost</t>
        </is>
      </c>
      <c r="C85" s="113" t="inlineStr">
        <is>
          <t>USD/kW</t>
        </is>
      </c>
      <c r="D85" s="114" t="n">
        <v>5500</v>
      </c>
      <c r="E85" s="113" t="inlineStr">
        <is>
          <t>VERIFIED-ESTIMATE</t>
        </is>
      </c>
      <c r="F85" s="113" t="inlineStr">
        <is>
          <t>Fervo Q2 2026 results, 12 Aug 2026</t>
        </is>
      </c>
      <c r="G85" s="113" t="inlineStr">
        <is>
          <t>Basis: ALL-IN expected. Not as-built.</t>
        </is>
      </c>
    </row>
    <row r="86">
      <c r="A86" s="113" t="inlineStr">
        <is>
          <t>fervo_kw_target</t>
        </is>
      </c>
      <c r="B86" s="113" t="inlineStr">
        <is>
          <t>Fervo long-term target cost</t>
        </is>
      </c>
      <c r="C86" s="113" t="inlineStr">
        <is>
          <t>USD/kW</t>
        </is>
      </c>
      <c r="D86" s="114" t="n">
        <v>3000</v>
      </c>
      <c r="E86" s="113" t="inlineStr">
        <is>
          <t>VERIFIED-ESTIMATE</t>
        </is>
      </c>
      <c r="F86" s="113" t="inlineStr">
        <is>
          <t>Fervo S-1/A, 4 May 2026</t>
        </is>
      </c>
      <c r="G86" s="113" t="inlineStr">
        <is>
          <t>Basis: Nth-of-a-kind target.</t>
        </is>
      </c>
    </row>
    <row r="87">
      <c r="A87" s="89" t="inlineStr">
        <is>
          <t>v4 INPUTS (14 Oct 2026): stimulation, bores, grid comparator, N-1, monitoring</t>
        </is>
      </c>
    </row>
    <row r="88">
      <c r="A88" s="68" t="inlineStr">
        <is>
          <t>stim_share</t>
        </is>
      </c>
      <c r="B88" s="68" t="inlineStr">
        <is>
          <t>Stimulation + completion per well, share of drilled well cost</t>
        </is>
      </c>
      <c r="C88" s="68" t="inlineStr">
        <is>
          <t>share</t>
        </is>
      </c>
      <c r="D88" s="68" t="n">
        <v>0.5</v>
      </c>
      <c r="E88" s="68" t="inlineStr">
        <is>
          <t>ASSUMPTION</t>
        </is>
      </c>
      <c r="F88" s="68" t="inlineStr">
        <is>
          <t>EIA Trends in U.S. Oil and Natural Gas Upstream Costs (2016): completion 55-70% of onshore well cost; frac pumps, proppant and fluids ~50%. https://www.eia.gov/analysis/studies/drilling/pdf/upstream.pdf</t>
        </is>
      </c>
      <c r="G88" s="68" t="inlineStr">
        <is>
          <t>Shale analogue; a granite EGS stimulation may cost more. Replace with an AFE.</t>
        </is>
      </c>
    </row>
    <row r="89">
      <c r="A89" s="68" t="inlineStr">
        <is>
          <t>stim_well</t>
        </is>
      </c>
      <c r="B89" s="68" t="inlineStr">
        <is>
          <t>Stimulation + completion per well, A$</t>
        </is>
      </c>
      <c r="C89" s="68" t="inlineStr">
        <is>
          <t>AUD/well</t>
        </is>
      </c>
      <c r="D89" s="68">
        <f>D88*'AU-Route'!$B$18</f>
        <v/>
      </c>
      <c r="E89" s="68" t="inlineStr">
        <is>
          <t>DERIVED</t>
        </is>
      </c>
      <c r="F89" s="68" t="inlineStr">
        <is>
          <t>Share above x scenario well cost</t>
        </is>
      </c>
    </row>
    <row r="90">
      <c r="A90" s="68" t="inlineStr">
        <is>
          <t>bore_low</t>
        </is>
      </c>
      <c r="B90" s="68" t="inlineStr">
        <is>
          <t>GAB replacement bore (redrill and plug), average</t>
        </is>
      </c>
      <c r="C90" s="68" t="inlineStr">
        <is>
          <t>AUD/bore</t>
        </is>
      </c>
      <c r="D90" s="68" t="n">
        <v>72420</v>
      </c>
      <c r="E90" s="68" t="inlineStr">
        <is>
          <t>PUBLIC PROXY</t>
        </is>
      </c>
      <c r="F90" s="68" t="inlineStr">
        <is>
          <t>Queensland GABSI implementation plan 2013-14. https://federalfinancialrelations.gov.au/sites/federalfinancialrelations.gov.au/files/2021-07/GAB_QLD_13-14_Impl_Plan.pdf</t>
        </is>
      </c>
      <c r="G90" s="68" t="inlineStr">
        <is>
          <t>Mostly shallow stock bores; deep Cooper-area GAB bores cost more.</t>
        </is>
      </c>
    </row>
    <row r="91">
      <c r="A91" s="68" t="inlineStr">
        <is>
          <t>bore_high</t>
        </is>
      </c>
      <c r="B91" s="68" t="inlineStr">
        <is>
          <t>GAB bore, capped and piped, upper report</t>
        </is>
      </c>
      <c r="C91" s="68" t="inlineStr">
        <is>
          <t>AUD/bore</t>
        </is>
      </c>
      <c r="D91" s="68" t="n">
        <v>300000</v>
      </c>
      <c r="E91" s="68" t="inlineStr">
        <is>
          <t>PUBLIC PROXY</t>
        </is>
      </c>
      <c r="F91" s="68" t="inlineStr">
        <is>
          <t>Queensland Country Life (grazier quote, 2015). https://www.queenslandcountrylife.com.au/story/3573472/plug-pulled-on-basin-funding/</t>
        </is>
      </c>
      <c r="G91" s="68" t="inlineStr">
        <is>
          <t>Used as the base for a deep bore at site; quote needed.</t>
        </is>
      </c>
    </row>
    <row r="92">
      <c r="A92" s="68" t="inlineStr">
        <is>
          <t>stim_water_ml</t>
        </is>
      </c>
      <c r="B92" s="68" t="inlineStr">
        <is>
          <t>Water for one multistage stimulation</t>
        </is>
      </c>
      <c r="C92" s="68" t="inlineStr">
        <is>
          <t>ML</t>
        </is>
      </c>
      <c r="D92" s="68" t="n">
        <v>18.76</v>
      </c>
      <c r="E92" s="68" t="inlineStr">
        <is>
          <t>PUBLIC PROXY</t>
        </is>
      </c>
      <c r="F92" s="68" t="inlineStr">
        <is>
          <t>Utah FORGE 2024: 118,000 bbl across 12 stages (AAPG Explorer). https://www.aapg.org/news-and-media/explorer/utah-forge-completes-stimulation-circulation-tests/</t>
        </is>
      </c>
      <c r="G92" s="68" t="inlineStr">
        <is>
          <t>Habanero 2003 injected ~20,000 m3 (Asanuma et al. 2006).</t>
        </is>
      </c>
    </row>
    <row r="93">
      <c r="A93" s="68" t="inlineStr">
        <is>
          <t>seis_station_usd</t>
        </is>
      </c>
      <c r="B93" s="68" t="inlineStr">
        <is>
          <t>Permanent seismic station, installed</t>
        </is>
      </c>
      <c r="C93" s="68" t="inlineStr">
        <is>
          <t>USD/station</t>
        </is>
      </c>
      <c r="D93" s="68" t="n">
        <v>37075</v>
      </c>
      <c r="E93" s="68" t="inlineStr">
        <is>
          <t>PUBLIC PROXY</t>
        </is>
      </c>
      <c r="F93" s="68" t="inlineStr">
        <is>
          <t>USArray Transportable Array adopt-a-station cost. http://www.usarray.org/files/docs/pubs/TA_AdoptStn_L48.pdf</t>
        </is>
      </c>
      <c r="G93" s="68" t="inlineStr">
        <is>
          <t>Surface station; borehole sensors cost more.</t>
        </is>
      </c>
    </row>
    <row r="94">
      <c r="A94" s="68" t="inlineStr">
        <is>
          <t>seis_stations</t>
        </is>
      </c>
      <c r="B94" s="68" t="inlineStr">
        <is>
          <t>Stations for a baseline network</t>
        </is>
      </c>
      <c r="C94" s="68" t="inlineStr">
        <is>
          <t>stations</t>
        </is>
      </c>
      <c r="D94" s="68" t="n">
        <v>8</v>
      </c>
      <c r="E94" s="68" t="inlineStr">
        <is>
          <t>PUBLIC PROXY</t>
        </is>
      </c>
      <c r="F94" s="68" t="inlineStr">
        <is>
          <t>DOE induced-seismicity protocol for EGS (min. 8 three-component stations, 1-6 months baseline). https://geocom.geonardo.com/assets/elearning/8.33.geothermal_seismicity_protocol_012012.pdf</t>
        </is>
      </c>
    </row>
    <row r="95">
      <c r="A95" s="68" t="inlineStr">
        <is>
          <t>seis_om_usd</t>
        </is>
      </c>
      <c r="B95" s="68" t="inlineStr">
        <is>
          <t>Seismic station support</t>
        </is>
      </c>
      <c r="C95" s="68" t="inlineStr">
        <is>
          <t>USD/station/yr</t>
        </is>
      </c>
      <c r="D95" s="68" t="n">
        <v>5000</v>
      </c>
      <c r="E95" s="68" t="inlineStr">
        <is>
          <t>PUBLIC PROXY</t>
        </is>
      </c>
      <c r="F95" s="68" t="inlineStr">
        <is>
          <t>USArray (as above)</t>
        </is>
      </c>
    </row>
    <row r="96">
      <c r="A96" s="68" t="inlineStr">
        <is>
          <t>grid_fee_mw</t>
        </is>
      </c>
      <c r="B96" s="68" t="inlineStr">
        <is>
          <t>Grid connection fee, metro (proposed NSW framework)</t>
        </is>
      </c>
      <c r="C96" s="68" t="inlineStr">
        <is>
          <t>AUD/MW</t>
        </is>
      </c>
      <c r="D96" s="68" t="n">
        <v>200000</v>
      </c>
      <c r="E96" s="68" t="inlineStr">
        <is>
          <t>PUBLIC PROXY</t>
        </is>
      </c>
      <c r="F96" s="68" t="inlineStr">
        <is>
          <t>King &amp; Wood Mallesons on the NSW data-centre connection framework. https://www.mallesons.com/au/en/insights/latest-thinking/another-big-day-for-data-centres-in-nsw-a-new-framework-for-connection.html</t>
        </is>
      </c>
      <c r="G96" s="68" t="inlineStr">
        <is>
          <t>Before project-specific augmentation; SA has no published equivalent.</t>
        </is>
      </c>
    </row>
    <row r="97">
      <c r="A97" s="68" t="inlineStr">
        <is>
          <t>grid_lead_mo</t>
        </is>
      </c>
      <c r="B97" s="68" t="inlineStr">
        <is>
          <t>Metro grid connection lead time</t>
        </is>
      </c>
      <c r="C97" s="68" t="inlineStr">
        <is>
          <t>months</t>
        </is>
      </c>
      <c r="D97" s="68" t="n">
        <v>15</v>
      </c>
      <c r="E97" s="68" t="inlineStr">
        <is>
          <t>PUBLIC PROXY</t>
        </is>
      </c>
      <c r="F97" s="68" t="inlineStr">
        <is>
          <t>Developers guide to SAPN connections: typically 12-18 months. https://www.adelaidepds.com.au/_files/ugd/b145bb_873f7589396b4d529f71288f06a6b354.pdf</t>
        </is>
      </c>
      <c r="G97" s="68" t="inlineStr">
        <is>
          <t>Midpoint.</t>
        </is>
      </c>
    </row>
    <row r="98">
      <c r="A98" s="68" t="inlineStr">
        <is>
          <t>sapn_hv_peak</t>
        </is>
      </c>
      <c r="B98" s="68" t="inlineStr">
        <is>
          <t>SAPN HV business energy, peak</t>
        </is>
      </c>
      <c r="C98" s="68" t="inlineStr">
        <is>
          <t>AUD/kWh</t>
        </is>
      </c>
      <c r="D98" s="68" t="n">
        <v>0.073</v>
      </c>
      <c r="E98" s="68" t="inlineStr">
        <is>
          <t>PUBLIC PROXY</t>
        </is>
      </c>
      <c r="F98" s="68" t="inlineStr">
        <is>
          <t>SA Power Networks 2026-27 tariff (HVAD). https://www.aer.gov.au/system/files/2026-04/SA%20Power%20Networks%20%E2%80%93%202026%E2%80%9327%20%E2%80%93%20Customer%20Overview%20Document%20%E2%80%93%2010%20April%202026.pdf</t>
        </is>
      </c>
      <c r="G98" s="68" t="inlineStr">
        <is>
          <t>Peak 7am-9pm workdays.</t>
        </is>
      </c>
    </row>
    <row r="99">
      <c r="A99" s="68" t="inlineStr">
        <is>
          <t>sapn_hv_off</t>
        </is>
      </c>
      <c r="B99" s="68" t="inlineStr">
        <is>
          <t>SAPN HV business energy, off-peak</t>
        </is>
      </c>
      <c r="C99" s="68" t="inlineStr">
        <is>
          <t>AUD/kWh</t>
        </is>
      </c>
      <c r="D99" s="68" t="n">
        <v>0.0456</v>
      </c>
      <c r="E99" s="68" t="inlineStr">
        <is>
          <t>PUBLIC PROXY</t>
        </is>
      </c>
      <c r="F99" s="68" t="inlineStr">
        <is>
          <t>Same</t>
        </is>
      </c>
    </row>
    <row r="100">
      <c r="A100" s="68" t="inlineStr">
        <is>
          <t>sapn_hv_dem</t>
        </is>
      </c>
      <c r="B100" s="68" t="inlineStr">
        <is>
          <t>SAPN HV annual demand charge</t>
        </is>
      </c>
      <c r="C100" s="68" t="inlineStr">
        <is>
          <t>AUD/kVA/day</t>
        </is>
      </c>
      <c r="D100" s="68" t="n">
        <v>0.2696</v>
      </c>
      <c r="E100" s="68" t="inlineStr">
        <is>
          <t>PUBLIC PROXY</t>
        </is>
      </c>
      <c r="F100" s="68" t="inlineStr">
        <is>
          <t>Same (column read as annual demand; confirm with SAPN)</t>
        </is>
      </c>
    </row>
    <row r="101">
      <c r="A101" s="68" t="inlineStr">
        <is>
          <t>peak_share</t>
        </is>
      </c>
      <c r="B101" s="68" t="inlineStr">
        <is>
          <t>Share of hours in the SAPN peak window (14 h x 5 days / 168 h)</t>
        </is>
      </c>
      <c r="C101" s="68" t="inlineStr">
        <is>
          <t>share</t>
        </is>
      </c>
      <c r="D101" s="68">
        <f>14*5/168</f>
        <v/>
      </c>
      <c r="E101" s="68" t="inlineStr">
        <is>
          <t>DERIVED</t>
        </is>
      </c>
      <c r="F101" s="68" t="inlineStr">
        <is>
          <t>Tariff definition</t>
        </is>
      </c>
    </row>
    <row r="102">
      <c r="A102" s="68" t="inlineStr">
        <is>
          <t>retail_margin</t>
        </is>
      </c>
      <c r="B102" s="68" t="inlineStr">
        <is>
          <t>Retail, metering and green-scheme margin on wholesale + network</t>
        </is>
      </c>
      <c r="C102" s="68" t="inlineStr">
        <is>
          <t>share</t>
        </is>
      </c>
      <c r="D102" s="68" t="n">
        <v>0.1</v>
      </c>
      <c r="E102" s="68" t="inlineStr">
        <is>
          <t>ASSUMPTION</t>
        </is>
      </c>
      <c r="F102" s="68" t="inlineStr">
        <is>
          <t>Archegon assumption</t>
        </is>
      </c>
      <c r="G102" s="68" t="inlineStr">
        <is>
          <t>Replace with a retail quote.</t>
        </is>
      </c>
    </row>
    <row r="103">
      <c r="A103" s="68" t="inlineStr">
        <is>
          <t>orc_trains</t>
        </is>
      </c>
      <c r="B103" s="68" t="inlineStr">
        <is>
          <t>ORC N-1: two 50% trains instead of one (cost multiple)</t>
        </is>
      </c>
      <c r="C103" s="68" t="inlineStr">
        <is>
          <t>x</t>
        </is>
      </c>
      <c r="D103" s="68">
        <f>2*0.5^D81</f>
        <v/>
      </c>
      <c r="E103" s="68" t="inlineStr">
        <is>
          <t>DERIVED</t>
        </is>
      </c>
      <c r="F103" s="68" t="inlineStr">
        <is>
          <t>Rates D81 scale exponent</t>
        </is>
      </c>
    </row>
    <row r="104">
      <c r="A104" s="68" t="inlineStr">
        <is>
          <t>hurdle</t>
        </is>
      </c>
      <c r="B104" s="68" t="inlineStr">
        <is>
          <t>Investor hurdle IRR for the G4 commercial kill test</t>
        </is>
      </c>
      <c r="C104" s="68" t="inlineStr">
        <is>
          <t>share</t>
        </is>
      </c>
      <c r="D104" s="68" t="n">
        <v>0.1</v>
      </c>
      <c r="E104" s="68" t="inlineStr">
        <is>
          <t>ASSUMPTION</t>
        </is>
      </c>
      <c r="F104" s="68" t="inlineStr">
        <is>
          <t>Round-3 reviewers tested 10%</t>
        </is>
      </c>
      <c r="G104" s="68" t="inlineStr">
        <is>
          <t>Set by the lead investor.</t>
        </is>
      </c>
    </row>
  </sheetData>
  <mergeCells count="7">
    <mergeCell ref="B47:G47"/>
    <mergeCell ref="B51:G51"/>
    <mergeCell ref="A1:G1"/>
    <mergeCell ref="B46:G46"/>
    <mergeCell ref="B49:G49"/>
    <mergeCell ref="B50:G50"/>
    <mergeCell ref="B48:G48"/>
  </mergeCell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round&amp;RRates</oddFooter>
    <evenHeader/>
    <evenFooter/>
    <firstHeader/>
    <firstFooter/>
  </headerFooter>
</worksheet>
</file>

<file path=xl/worksheets/sheet5.xml><?xml version="1.0" encoding="utf-8"?>
<worksheet xmlns="http://schemas.openxmlformats.org/spreadsheetml/2006/main">
  <sheetPr filterMode="0">
    <tabColor rgb="FFB45309"/>
    <outlinePr summaryBelow="1" summaryRight="1"/>
    <pageSetUpPr fitToPage="1"/>
  </sheetPr>
  <dimension ref="A1:F5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46" customWidth="1" style="68" min="1" max="1"/>
    <col width="20" customWidth="1" style="68" min="2" max="2"/>
    <col width="62" customWidth="1" style="68" min="3" max="3"/>
    <col width="14" customWidth="1" style="68" min="4" max="5"/>
    <col width="30" customWidth="1" style="68" min="6" max="6"/>
  </cols>
  <sheetData>
    <row r="1" ht="27.75" customHeight="1" s="69">
      <c r="A1" s="115" t="inlineStr">
        <is>
          <t>ARCHEGON CAPITAL  ·  AUSTRALIA — Cooper Basin EGS. Buy the land, drill the wells, build the plant, build the hall.</t>
        </is>
      </c>
    </row>
    <row r="2"/>
    <row r="3" ht="13.5" customHeight="1" s="69">
      <c r="A3" s="85" t="inlineStr">
        <is>
          <t>Australia is a drilling play. The heat is there and measured; the permeability is not. That is what the capital buys.</t>
        </is>
      </c>
    </row>
    <row r="4"/>
    <row r="5" ht="15.75" customHeight="1" s="69">
      <c r="A5" s="72" t="inlineStr">
        <is>
          <t>RESOURCE SIZING</t>
        </is>
      </c>
      <c r="B5" s="73" t="n"/>
      <c r="C5" s="73" t="n"/>
      <c r="D5" s="73" t="n"/>
      <c r="E5" s="73" t="n"/>
      <c r="F5" s="116" t="inlineStr">
        <is>
          <t>drives well count</t>
        </is>
      </c>
    </row>
    <row r="6" ht="13.5" customHeight="1" s="69">
      <c r="A6" s="74" t="inlineStr">
        <is>
          <t>Net MWe per producer (scenario; NET at the plant fence)</t>
        </is>
      </c>
      <c r="B6" s="76">
        <f>IF(Control!$B$6="LOW",Rates!$D$13,IF(Control!$B$6="HIGH",Rates!$D$14,Rates!$D$12))</f>
        <v/>
      </c>
      <c r="C6" s="71" t="inlineStr">
        <is>
          <t>LOW = GeoExpro bear case. HIGH = Fervo claim, unproven at fleet scale.</t>
        </is>
      </c>
    </row>
    <row r="7" ht="55.5" customHeight="1" s="69">
      <c r="A7" s="74" t="inlineStr">
        <is>
          <t>Net generation nameplate required (MW, after parasitics)</t>
        </is>
      </c>
      <c r="B7" s="76">
        <f>Control!$B$12*Control!$B$17/Control!$B$16</f>
        <v/>
      </c>
      <c r="C7" s="71" t="inlineStr">
        <is>
          <t>Critical IT x PUE / capacity factor. NET nameplate: what the plant must deliver to the site board after its own parasitic load (injection pumps, ORC feed pumps, condenser fans, plant services). Matches the EIA per-NET-kW plant rate. Delivers 6.25 MW on AVERAGE, not firm (see Firm-Power).</t>
        </is>
      </c>
    </row>
    <row r="8" ht="13.5" customHeight="1" s="69">
      <c r="A8" s="74" t="inlineStr">
        <is>
          <t>Production wells required</t>
        </is>
      </c>
      <c r="B8" s="76">
        <f>ROUNDUP(B7/B6,0)</f>
        <v/>
      </c>
      <c r="C8" s="71" t="inlineStr">
        <is>
          <t>Rounded up — you cannot drill a partial well.</t>
        </is>
      </c>
    </row>
    <row r="9" ht="13.5" customHeight="1" s="69">
      <c r="A9" s="74" t="inlineStr">
        <is>
          <t>Injection wells required</t>
        </is>
      </c>
      <c r="B9" s="76">
        <f>B8</f>
        <v/>
      </c>
      <c r="C9" s="71" t="inlineStr">
        <is>
          <t>Doublet architecture: one injector per producer. Fervo runs this pattern.</t>
        </is>
      </c>
    </row>
    <row r="10" ht="15.75" customHeight="1" s="69">
      <c r="A10" s="77" t="inlineStr">
        <is>
          <t>TOTAL wells</t>
        </is>
      </c>
      <c r="B10" s="117">
        <f>B8+B9</f>
        <v/>
      </c>
      <c r="C10" s="71" t="n"/>
    </row>
    <row r="11"/>
    <row r="12" ht="15.75" customHeight="1" s="69">
      <c r="A12" s="72" t="inlineStr">
        <is>
          <t>BLOCK 1 — LAND</t>
        </is>
      </c>
      <c r="B12" s="73" t="n"/>
      <c r="C12" s="73" t="n"/>
      <c r="D12" s="73" t="n"/>
      <c r="E12" s="73" t="n"/>
      <c r="F12" s="116" t="inlineStr">
        <is>
          <t>AUD</t>
        </is>
      </c>
    </row>
    <row r="13" ht="42" customHeight="1" s="69">
      <c r="A13" s="74" t="inlineStr">
        <is>
          <t>Surface land / pastoral lease access</t>
        </is>
      </c>
      <c r="B13" s="79" t="n">
        <v>0</v>
      </c>
      <c r="C13" s="71" t="inlineStr">
        <is>
          <t>RATE_MISSING. Pastoral lease over the Cooper Basin footprint. Lessee and compensation regime not yet established — see legals-land open questions.</t>
        </is>
      </c>
    </row>
    <row r="14" ht="13.5" customHeight="1" s="69">
      <c r="A14" s="74" t="inlineStr">
        <is>
          <t>Site preparation and access roads</t>
        </is>
      </c>
      <c r="B14" s="79" t="n">
        <v>0</v>
      </c>
      <c r="C14" s="71" t="inlineStr">
        <is>
          <t>RATE_MISSING. Remote site; no public benchmark located.</t>
        </is>
      </c>
    </row>
    <row r="15" ht="15.75" customHeight="1" s="69">
      <c r="A15" s="77" t="inlineStr">
        <is>
          <t>Land subtotal</t>
        </is>
      </c>
      <c r="B15" s="78">
        <f>SUM(B13:B14)</f>
        <v/>
      </c>
      <c r="C15" s="71" t="inlineStr">
        <is>
          <t>Both lines are RATE_MISSING. This block is UNDERSTATED, not cheap.</t>
        </is>
      </c>
    </row>
    <row r="16"/>
    <row r="17" ht="15.75" customHeight="1" s="69">
      <c r="A17" s="72" t="inlineStr">
        <is>
          <t>BLOCK 2 — INFRASTRUCTURE (subsurface + surface plant)</t>
        </is>
      </c>
      <c r="B17" s="73" t="n"/>
      <c r="C17" s="73" t="n"/>
      <c r="D17" s="73" t="n"/>
      <c r="E17" s="73" t="n"/>
      <c r="F17" s="116" t="inlineStr">
        <is>
          <t>AUD</t>
        </is>
      </c>
    </row>
    <row r="18" ht="42" customHeight="1" s="69">
      <c r="A18" s="74" t="inlineStr">
        <is>
          <t>Cost per well (scenario)</t>
        </is>
      </c>
      <c r="B18" s="79">
        <f>IF(Control!$B$7="LOW",Rates!$D$7,IF(Control!$B$7="HIGH",Rates!$D$8,IF(Control!$B$7="ACTUAL",Rates!$D$9,Rates!$D$6)))</f>
        <v/>
      </c>
      <c r="C18" s="71" t="inlineStr">
        <is>
          <t>BASE is Geodynamics' engineered forward estimate, never realised. ACTUAL is Habanero 4 as drilled — 4.5x the first well. Run ACTUAL before believing BASE.</t>
        </is>
      </c>
    </row>
    <row r="19" ht="13.5" customHeight="1" s="69">
      <c r="A19" s="74" t="inlineStr">
        <is>
          <t>Drilling programme</t>
        </is>
      </c>
      <c r="B19" s="79">
        <f>B18*B10</f>
        <v/>
      </c>
      <c r="C19" s="71" t="inlineStr">
        <is>
          <t>The single largest line in the Australian route.</t>
        </is>
      </c>
    </row>
    <row r="20" ht="13.5" customHeight="1" s="69">
      <c r="A20" s="74" t="inlineStr">
        <is>
          <t>Rig mobilisation / demobilisation</t>
        </is>
      </c>
      <c r="B20" s="79">
        <f>Rates!$D$11</f>
        <v/>
      </c>
      <c r="C20" s="71" t="inlineStr">
        <is>
          <t>One mob/demob per campaign. Fixed regardless of well count.</t>
        </is>
      </c>
    </row>
    <row r="21" ht="27.75" customHeight="1" s="69">
      <c r="A21" s="74" t="inlineStr">
        <is>
          <t>Binary ORC surface plant</t>
        </is>
      </c>
      <c r="B21" s="79">
        <f>Rates!$D$15/Rates!$D$4*B7*1000</f>
        <v/>
      </c>
      <c r="C21" s="71" t="inlineStr">
        <is>
          <t>EIA 50 MW brownfield cost, converted at the Rates FX. Brownfield = wells already drilled, which is why drilling sits on its own line above.</t>
        </is>
      </c>
    </row>
    <row r="22" ht="27.75" customHeight="1" s="69">
      <c r="A22" s="74" t="inlineStr">
        <is>
          <t>Brine gathering, heat exchange, pipework</t>
        </is>
      </c>
      <c r="B22" s="79" t="n">
        <v>0</v>
      </c>
      <c r="C22" s="71" t="inlineStr">
        <is>
          <t>RATE_MISSING. Geodynamics' AUD 182m stack had this at ~14% of non-well cost; not carried forward as a rate because the scope differs.</t>
        </is>
      </c>
    </row>
    <row r="23" ht="15.75" customHeight="1" s="69">
      <c r="A23" s="77" t="inlineStr">
        <is>
          <t>Infrastructure subtotal (incl. stimulation, Rates D78)</t>
        </is>
      </c>
      <c r="B23" s="78">
        <f>SUM(B19:B22)+Rates!$D$78</f>
        <v/>
      </c>
      <c r="C23" s="71" t="n"/>
    </row>
    <row r="24"/>
    <row r="25" ht="15.75" customHeight="1" s="69">
      <c r="A25" s="72" t="inlineStr">
        <is>
          <t>BLOCK 3 — COMPUTE (the hall and the silicon)</t>
        </is>
      </c>
      <c r="B25" s="73" t="n"/>
      <c r="C25" s="73" t="n"/>
      <c r="D25" s="73" t="n"/>
      <c r="E25" s="73" t="n"/>
      <c r="F25" s="116" t="inlineStr">
        <is>
          <t>AUD</t>
        </is>
      </c>
    </row>
    <row r="26" ht="13.5" customHeight="1" s="69">
      <c r="A26" s="74" t="inlineStr">
        <is>
          <t>Data centre shell and core</t>
        </is>
      </c>
      <c r="B26" s="79">
        <f>Rates!$D$21/Rates!$D$4*Control!$B$12</f>
        <v/>
      </c>
      <c r="C26" s="71" t="inlineStr">
        <is>
          <t>Per MW of critical IT load.</t>
        </is>
      </c>
    </row>
    <row r="27" ht="13.5" customHeight="1" s="69">
      <c r="A27" s="74" t="inlineStr">
        <is>
          <t>Liquid cooling premium</t>
        </is>
      </c>
      <c r="B27" s="79">
        <f>IF(Control!$B$8="LIQUID",Rates!$D$22/Rates!$D$4*Control!$B$12,0)</f>
        <v/>
      </c>
      <c r="C27" s="71" t="inlineStr">
        <is>
          <t>GB200-class density requires liquid. AIR is modelled only for contrast.</t>
        </is>
      </c>
    </row>
    <row r="28" ht="13.5" customHeight="1" s="69">
      <c r="A28" s="74" t="inlineStr">
        <is>
          <t>Remote-site loading</t>
        </is>
      </c>
      <c r="B28" s="79">
        <f>IF(Control!$B$9="ON",(B26+B27)*(Rates!$D$24-1),0)</f>
        <v/>
      </c>
      <c r="C28" s="71" t="inlineStr">
        <is>
          <t>Innamincka is ~820 km straight-line from Adelaide (Rates km_innamincka_adelaide); road distance is longer. Prefab assumed.</t>
        </is>
      </c>
    </row>
    <row r="29" ht="27.75" customHeight="1" s="69">
      <c r="A29" s="74" t="inlineStr">
        <is>
          <t>Long-haul fibre / connectivity</t>
        </is>
      </c>
      <c r="B29" s="79" t="n">
        <v>0</v>
      </c>
      <c r="C29" s="71" t="inlineStr">
        <is>
          <t>RATE_MISSING. No public per-km figure for a Moomba-Adelaide route was located. Carrier availability is itself an open question, not just a price.</t>
        </is>
      </c>
    </row>
    <row r="30" ht="69.75" customHeight="1" s="69">
      <c r="A30" s="74" t="inlineStr">
        <is>
          <t>IT fit-out incl. GPUs (BAREMETAL only)</t>
        </is>
      </c>
      <c r="B30" s="79">
        <f>IF(Control!$B$5="BAREMETAL",Rates!$D$28/Rates!$D$4*Control!$B$12,0)</f>
        <v/>
      </c>
      <c r="C30" s="71" t="inlineStr">
        <is>
          <t>JLL's US$25m/MW covers GPUs, networking AND racks in one figure — so there is no separate GPU line to add. In COLO and ANCHOR the TENANT pays this, not Archegon. This single toggle decides what kind of company Archegon is: landlord or owner-operator. VCs price those as different companies.</t>
        </is>
      </c>
    </row>
    <row r="31" ht="15.75" customHeight="1" s="69">
      <c r="A31" s="77" t="inlineStr">
        <is>
          <t>Compute subtotal</t>
        </is>
      </c>
      <c r="B31" s="78">
        <f>SUM(B26:B30)</f>
        <v/>
      </c>
      <c r="C31" s="71" t="n"/>
    </row>
    <row r="32" ht="42" customHeight="1" s="69">
      <c r="A32" s="74" t="inlineStr">
        <is>
          <t xml:space="preserve">  cross-check: racks x rack price (NOT added)</t>
        </is>
      </c>
      <c r="B32" s="79">
        <f>ROUNDDOWN(Control!$B$12*1000/Rates!$D$27,0)*Rates!$D$26/Rates!$D$4</f>
        <v/>
      </c>
      <c r="C32" s="71" t="inlineStr">
        <is>
          <t>v3: racks ROUNDED DOWN (power-limited hall: 5,000 kW / 130 kW = 38 complete racks). Bottom-up cross-check, NOT added.</t>
        </is>
      </c>
    </row>
    <row r="33"/>
    <row r="34" ht="15.75" customHeight="1" s="69">
      <c r="A34" s="72" t="inlineStr">
        <is>
          <t>BLOCK 4 — LEGALS</t>
        </is>
      </c>
      <c r="B34" s="73" t="n"/>
      <c r="C34" s="73" t="n"/>
      <c r="D34" s="73" t="n"/>
      <c r="E34" s="73" t="n"/>
      <c r="F34" s="116" t="inlineStr">
        <is>
          <t>AUD</t>
        </is>
      </c>
    </row>
    <row r="35" ht="55.5" customHeight="1" s="69">
      <c r="A35" s="74" t="inlineStr">
        <is>
          <t>Native title agreement</t>
        </is>
      </c>
      <c r="B35" s="79">
        <f>Rates!$D$38</f>
        <v/>
      </c>
      <c r="C35" s="71" t="inlineStr">
        <is>
          <t>RATE_MISSING. Determination SCD2015/003 already exists and names the RNTBC, so the counterparty is known. The open question is whether a geothermal licence can enjoin the existing petroleum conjunctive ILUA (SI2006/008).</t>
        </is>
      </c>
    </row>
    <row r="36" ht="27.75" customHeight="1" s="69">
      <c r="A36" s="74" t="inlineStr">
        <is>
          <t>Aboriginal heritage clearance</t>
        </is>
      </c>
      <c r="B36" s="79">
        <f>Rates!$D$39</f>
        <v/>
      </c>
      <c r="C36" s="71" t="inlineStr">
        <is>
          <t>RATE_MISSING. A SEPARATE statute from native title (Aboriginal Heritage Act 1988 SA). Routinely collapsed into native title in pitch material; it is not.</t>
        </is>
      </c>
    </row>
    <row r="37" ht="27.75" customHeight="1" s="69">
      <c r="A37" s="74" t="inlineStr">
        <is>
          <t>Tenement, environmental and EPBC</t>
        </is>
      </c>
      <c r="B37" s="79">
        <f>Rates!$D$40</f>
        <v/>
      </c>
      <c r="C37" s="71" t="inlineStr">
        <is>
          <t>RATE_MISSING. Energy Resources Act 2000 (SA) licence plus any EPBC referral.</t>
        </is>
      </c>
    </row>
    <row r="38" ht="42" customHeight="1" s="69">
      <c r="A38" s="77" t="inlineStr">
        <is>
          <t>Legals subtotal</t>
        </is>
      </c>
      <c r="B38" s="78">
        <f>SUM(B35:B37)</f>
        <v/>
      </c>
      <c r="C38" s="71" t="inlineStr">
        <is>
          <t>ENTIRE BLOCK IS RATE_MISSING. No published cost exists for concluding an SA native title agreement (legals-08). Requires a counsel quote before use.</t>
        </is>
      </c>
    </row>
    <row r="39"/>
    <row r="40" ht="15.75" customHeight="1" s="69">
      <c r="A40" s="72" t="inlineStr">
        <is>
          <t>AUSTRALIAN ROUTE — TOTAL CAPEX</t>
        </is>
      </c>
      <c r="B40" s="73" t="n"/>
      <c r="C40" s="73" t="n"/>
      <c r="D40" s="73" t="n"/>
      <c r="E40" s="73" t="n"/>
      <c r="F40" s="116" t="inlineStr">
        <is>
          <t>AUD</t>
        </is>
      </c>
    </row>
    <row r="41" ht="15.75" customHeight="1" s="69">
      <c r="A41" s="77" t="inlineStr">
        <is>
          <t>Sum of the four blocks</t>
        </is>
      </c>
      <c r="B41" s="78">
        <f>B15+B23+B31+B38</f>
        <v/>
      </c>
      <c r="C41" s="71" t="inlineStr">
        <is>
          <t>Land + infrastructure + compute + legals.</t>
        </is>
      </c>
    </row>
    <row r="42" ht="13.5" customHeight="1" s="69">
      <c r="A42" s="74" t="inlineStr">
        <is>
          <t>Contingency</t>
        </is>
      </c>
      <c r="B42" s="79">
        <f>B41*Control!$B$13</f>
        <v/>
      </c>
      <c r="C42" s="71" t="inlineStr">
        <is>
          <t>First-of-a-kind in this basin. Habanero's own history argues for more, not less.</t>
        </is>
      </c>
    </row>
    <row r="43" ht="15.75" customHeight="1" s="69">
      <c r="A43" s="77" t="inlineStr">
        <is>
          <t>TOTAL AU CAPEX</t>
        </is>
      </c>
      <c r="B43" s="78">
        <f>B41+B42</f>
        <v/>
      </c>
      <c r="C43" s="71" t="n"/>
    </row>
    <row r="44" ht="42" customHeight="1" s="69">
      <c r="A44" s="74" t="inlineStr">
        <is>
          <t>Implied AUD/kW — GENERATION only</t>
        </is>
      </c>
      <c r="B44" s="80">
        <f>(B15+B23)*(1+Control!$B$13)/(B7*1000)</f>
        <v/>
      </c>
      <c r="C44" s="71" t="inlineStr">
        <is>
          <t>Wells and plant over gross generation capacity. THIS is the line to compare against Habanero actual AUD 23,600/kW. The comparator excludes the data centre, so this figure must too.</t>
        </is>
      </c>
    </row>
    <row r="45" ht="27.75" customHeight="1" s="69">
      <c r="A45" s="74" t="inlineStr">
        <is>
          <t>Implied AUD/kW — ALL-IN over critical IT</t>
        </is>
      </c>
      <c r="B45" s="80">
        <f>B43/(Control!$B$12*1000)</f>
        <v/>
      </c>
      <c r="C45" s="71" t="inlineStr">
        <is>
          <t>Everything, over the MW of compute actually sold. A data centre metric, not a geothermal one — do not compare it to a per-kW generation benchmark.</t>
        </is>
      </c>
    </row>
    <row r="46"/>
    <row r="47" ht="15.75" customHeight="1" s="69">
      <c r="A47" s="77" t="inlineStr">
        <is>
          <t>What this total does NOT include</t>
        </is>
      </c>
    </row>
    <row r="48" ht="13.5" customHeight="1" s="69">
      <c r="A48" s="112" t="inlineStr">
        <is>
          <t>• Every RATE_MISSING line above — land, fibre, brine gathering and the whole legals block.</t>
        </is>
      </c>
    </row>
    <row r="49" ht="13.5" customHeight="1" s="69">
      <c r="A49" s="112" t="inlineStr">
        <is>
          <t>• Parasitic load: the well ratings are NET by definition (Definitions). If a producer only delivers its rating GROSS, Flow-Basis shows the extra producers needed.</t>
        </is>
      </c>
    </row>
    <row r="50" ht="13.5" customHeight="1" s="69">
      <c r="A50" s="112" t="inlineStr">
        <is>
          <t>• Any allowance for a dry or under-performing well. EGS fails continuously, not discretely.</t>
        </is>
      </c>
    </row>
    <row r="51" ht="13.5" customHeight="1" s="69">
      <c r="A51" s="112" t="inlineStr">
        <is>
          <t>• Transmission. The model assumes behind-the-meter co-location — that is the entire thesis.</t>
        </is>
      </c>
    </row>
  </sheetData>
  <mergeCells count="6">
    <mergeCell ref="A49:F49"/>
    <mergeCell ref="A51:F51"/>
    <mergeCell ref="A1:F1"/>
    <mergeCell ref="A50:F50"/>
    <mergeCell ref="A48:F48"/>
    <mergeCell ref="A3:F3"/>
  </mergeCell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round&amp;RAU-Route</oddFooter>
    <evenHeader/>
    <evenFooter/>
    <firstHeader/>
    <firstFooter/>
  </headerFooter>
</worksheet>
</file>

<file path=xl/worksheets/sheet6.xml><?xml version="1.0" encoding="utf-8"?>
<worksheet xmlns="http://schemas.openxmlformats.org/spreadsheetml/2006/main">
  <sheetPr filterMode="0">
    <tabColor rgb="FF1D4ED8"/>
    <outlinePr summaryBelow="1" summaryRight="1"/>
    <pageSetUpPr fitToPage="1"/>
  </sheetPr>
  <dimension ref="A1:F4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46" customWidth="1" style="68" min="1" max="1"/>
    <col width="20" customWidth="1" style="68" min="2" max="2"/>
    <col width="62" customWidth="1" style="68" min="3" max="3"/>
    <col width="14" customWidth="1" style="68" min="4" max="5"/>
    <col width="30" customWidth="1" style="68" min="6" max="6"/>
  </cols>
  <sheetData>
    <row r="1" ht="27.75" customHeight="1" s="69">
      <c r="A1" s="118" t="inlineStr">
        <is>
          <t>ARCHEGON CAPITAL  ·  NEW ZEALAND — Taupo Volcanic Zone. Contract the power, build the hall. No drilling risk.</t>
        </is>
      </c>
    </row>
    <row r="2"/>
    <row r="3" ht="30" customHeight="1" s="69">
      <c r="A3" s="71" t="inlineStr">
        <is>
          <t>New Zealand is a contracting play. The TVZ is conventional hydrothermal and already in commercial production — Contact, Mercury, Eastland and Top Energy own it. Archegon does not drill here; it contracts.</t>
        </is>
      </c>
    </row>
    <row r="4"/>
    <row r="5" ht="15.75" customHeight="1" s="69">
      <c r="A5" s="72" t="inlineStr">
        <is>
          <t>RESOURCE — CONTRACTED, NOT DRILLED</t>
        </is>
      </c>
      <c r="B5" s="73" t="n"/>
      <c r="C5" s="73" t="n"/>
      <c r="D5" s="73" t="n"/>
      <c r="E5" s="73" t="n"/>
      <c r="F5" s="73" t="n"/>
    </row>
    <row r="6" ht="27.75" customHeight="1" s="69">
      <c r="A6" s="74" t="inlineStr">
        <is>
          <t>Gross generation required (MW)</t>
        </is>
      </c>
      <c r="B6" s="76">
        <f>Control!$B$12*Control!$B$17/Control!$B$16</f>
        <v/>
      </c>
      <c r="C6" s="71" t="inlineStr">
        <is>
          <t>Same grossing-up as Australia — PUE then capacity factor. The difference is who owns the wells.</t>
        </is>
      </c>
    </row>
    <row r="7" ht="27.75" customHeight="1" s="69">
      <c r="A7" s="74" t="inlineStr">
        <is>
          <t>Wells drilled by Archegon</t>
        </is>
      </c>
      <c r="B7" s="76" t="n">
        <v>0</v>
      </c>
      <c r="C7" s="71" t="inlineStr">
        <is>
          <t>Zero. This is the whole point of the NZ route: the drilling risk sits with an incumbent who has already taken it.</t>
        </is>
      </c>
    </row>
    <row r="8" ht="27.75" customHeight="1" s="69">
      <c r="A8" s="74" t="inlineStr">
        <is>
          <t>Reference NZ greenfield cost NOT incurred (NZD)</t>
        </is>
      </c>
      <c r="B8" s="79">
        <f>Rates!$D$17*B6*1000</f>
        <v/>
      </c>
      <c r="C8" s="71" t="inlineStr">
        <is>
          <t>Shown to size what contracting avoids — it is NOT a cost in this route. It is the capital an incumbent already sank.</t>
        </is>
      </c>
    </row>
    <row r="9"/>
    <row r="10" ht="15.75" customHeight="1" s="69">
      <c r="A10" s="72" t="inlineStr">
        <is>
          <t>BLOCK 1 — LAND</t>
        </is>
      </c>
      <c r="B10" s="73" t="n"/>
      <c r="C10" s="73" t="n"/>
      <c r="D10" s="73" t="n"/>
      <c r="E10" s="73" t="n"/>
      <c r="F10" s="116" t="inlineStr">
        <is>
          <t>NZD</t>
        </is>
      </c>
    </row>
    <row r="11" ht="27.75" customHeight="1" s="69">
      <c r="A11" s="74" t="inlineStr">
        <is>
          <t>Site lease / land acquisition</t>
        </is>
      </c>
      <c r="B11" s="79" t="n">
        <v>0</v>
      </c>
      <c r="C11" s="71" t="inlineStr">
        <is>
          <t>RATE_MISSING. TVZ land is frequently Maori freehold or under iwi/hapu interest. The counterparty on every TVZ project is an iwi or hapu entity.</t>
        </is>
      </c>
    </row>
    <row r="12" ht="13.5" customHeight="1" s="69">
      <c r="A12" s="74" t="inlineStr">
        <is>
          <t>Site preparation</t>
        </is>
      </c>
      <c r="B12" s="79" t="n">
        <v>0</v>
      </c>
      <c r="C12" s="71" t="inlineStr">
        <is>
          <t>RATE_MISSING.</t>
        </is>
      </c>
    </row>
    <row r="13" ht="15.75" customHeight="1" s="69">
      <c r="A13" s="77" t="inlineStr">
        <is>
          <t>Land subtotal</t>
        </is>
      </c>
      <c r="B13" s="78">
        <f>SUM(B11:B12)</f>
        <v/>
      </c>
      <c r="C13" s="71" t="n"/>
    </row>
    <row r="14"/>
    <row r="15" ht="15.75" customHeight="1" s="69">
      <c r="A15" s="72" t="inlineStr">
        <is>
          <t>BLOCK 2 — INFRASTRUCTURE (connection, not drilling)</t>
        </is>
      </c>
      <c r="B15" s="73" t="n"/>
      <c r="C15" s="73" t="n"/>
      <c r="D15" s="73" t="n"/>
      <c r="E15" s="73" t="n"/>
      <c r="F15" s="116" t="inlineStr">
        <is>
          <t>NZD</t>
        </is>
      </c>
    </row>
    <row r="16" ht="42" customHeight="1" s="69">
      <c r="A16" s="74" t="inlineStr">
        <is>
          <t>Behind-the-meter connection and substation</t>
        </is>
      </c>
      <c r="B16" s="79" t="n">
        <v>0</v>
      </c>
      <c r="C16" s="71" t="inlineStr">
        <is>
          <t>RATE_MISSING. A data centre is a LOAD connection — expressly handled outside Transpower's generation Connection Management Framework, so the CMF fee is NOT the entry ticket here.</t>
        </is>
      </c>
    </row>
    <row r="17" ht="27.75" customHeight="1" s="69">
      <c r="A17" s="74" t="inlineStr">
        <is>
          <t>Fibre and connectivity</t>
        </is>
      </c>
      <c r="B17" s="79" t="n">
        <v>0</v>
      </c>
      <c r="C17" s="71" t="inlineStr">
        <is>
          <t>RATE_MISSING. Materially easier than Cooper Basin — TVZ sites sit near existing routes — but no figure is carried.</t>
        </is>
      </c>
    </row>
    <row r="18" ht="15.75" customHeight="1" s="69">
      <c r="A18" s="77" t="inlineStr">
        <is>
          <t>Infrastructure subtotal</t>
        </is>
      </c>
      <c r="B18" s="78">
        <f>SUM(B16:B17)</f>
        <v/>
      </c>
      <c r="C18" s="71" t="n"/>
    </row>
    <row r="19"/>
    <row r="20" ht="15.75" customHeight="1" s="69">
      <c r="A20" s="72" t="inlineStr">
        <is>
          <t>BLOCK 3 — COMPUTE (the hall and what goes in it)</t>
        </is>
      </c>
      <c r="B20" s="73" t="n"/>
      <c r="C20" s="73" t="n"/>
      <c r="D20" s="73" t="n"/>
      <c r="E20" s="73" t="n"/>
      <c r="F20" s="116" t="inlineStr">
        <is>
          <t>NZD</t>
        </is>
      </c>
    </row>
    <row r="21" ht="27.75" customHeight="1" s="69">
      <c r="A21" s="74" t="inlineStr">
        <is>
          <t>Data centre shell and power train</t>
        </is>
      </c>
      <c r="B21" s="79">
        <f>Rates!$D$21*Control!$B$12*(Rates!$D$5/Rates!$D$4)</f>
        <v/>
      </c>
      <c r="C21" s="71" t="inlineStr">
        <is>
          <t>USD/MW benchmark converted at Rates FX. No remote loading: TVZ sites are 1-3 hours from Auckland/Tauranga, not ~820 km straight-line (Rates) from Adelaide.</t>
        </is>
      </c>
    </row>
    <row r="22" ht="13.5" customHeight="1" s="69">
      <c r="A22" s="74" t="inlineStr">
        <is>
          <t>Liquid cooling premium</t>
        </is>
      </c>
      <c r="B22" s="79">
        <f>IF(Control!$B$8="LIQUID",Rates!$D$22*Control!$B$12*(Rates!$D$5/Rates!$D$4),0)</f>
        <v/>
      </c>
      <c r="C22" s="71" t="inlineStr">
        <is>
          <t>Toggled on Control!Cooling. INDICATIVE rate.</t>
        </is>
      </c>
    </row>
    <row r="23" ht="13.5" customHeight="1" s="69">
      <c r="A23" s="74" t="inlineStr">
        <is>
          <t>Fibre and connectivity</t>
        </is>
      </c>
      <c r="B23" s="79" t="n">
        <v>0</v>
      </c>
      <c r="C23" s="71" t="inlineStr">
        <is>
          <t>RATE_MISSING.</t>
        </is>
      </c>
    </row>
    <row r="24" ht="27.75" customHeight="1" s="69">
      <c r="A24" s="74" t="inlineStr">
        <is>
          <t>IT fit-out incl. GPUs (BAREMETAL only)</t>
        </is>
      </c>
      <c r="B24" s="79">
        <f>IF(Control!$B$5="BAREMETAL",Rates!$D$28*Control!$B$12*(Rates!$D$5/Rates!$D$4),0)</f>
        <v/>
      </c>
      <c r="C24" s="71" t="inlineStr">
        <is>
          <t>One figure covering GPUs, networking and racks - there is no separate GPU line to add. Zero under COLO and ANCHOR: the tenant brings the silicon.</t>
        </is>
      </c>
    </row>
    <row r="25" ht="15.75" customHeight="1" s="69">
      <c r="A25" s="77" t="inlineStr">
        <is>
          <t>Compute subtotal</t>
        </is>
      </c>
      <c r="B25" s="78">
        <f>SUM(B21:B24)</f>
        <v/>
      </c>
      <c r="C25" s="71" t="n"/>
    </row>
    <row r="26" ht="13.5" customHeight="1" s="69">
      <c r="A26" s="74" t="inlineStr">
        <is>
          <t xml:space="preserve">  cross-check: racks x rack price (NOT added)</t>
        </is>
      </c>
      <c r="B26" s="79">
        <f>ROUNDDOWN(Control!$B$12*1000/Rates!$D$27,0)*Rates!$D$26*(Rates!$D$5/Rates!$D$4)</f>
        <v/>
      </c>
      <c r="C26" s="71" t="inlineStr">
        <is>
          <t>Bottom-up from GB200 rack economics. Outside the subtotal on purpose.</t>
        </is>
      </c>
    </row>
    <row r="27"/>
    <row r="28" ht="15.75" customHeight="1" s="69">
      <c r="A28" s="72" t="inlineStr">
        <is>
          <t>BLOCK 4 — LEGALS AND CONSENTING</t>
        </is>
      </c>
      <c r="B28" s="73" t="n"/>
      <c r="C28" s="73" t="n"/>
      <c r="D28" s="73" t="n"/>
      <c r="E28" s="73" t="n"/>
      <c r="F28" s="116" t="inlineStr">
        <is>
          <t>NZD</t>
        </is>
      </c>
    </row>
    <row r="29" ht="27.75" customHeight="1" s="69">
      <c r="A29" s="74" t="inlineStr">
        <is>
          <t>Resource consents (RMA) and planning</t>
        </is>
      </c>
      <c r="B29" s="79">
        <f>Rates!$D$41</f>
        <v/>
      </c>
      <c r="C29" s="71" t="inlineStr">
        <is>
          <t>RATE_MISSING (v3: now LINKED to Rates!D41, so pricing NZ consenting on Rates flows through).</t>
        </is>
      </c>
    </row>
    <row r="30" ht="27.75" customHeight="1" s="69">
      <c r="A30" s="74" t="inlineStr">
        <is>
          <t>Iwi / hapu engagement and agreements</t>
        </is>
      </c>
      <c r="B30" s="79" t="n">
        <v>0</v>
      </c>
      <c r="C30" s="71" t="inlineStr">
        <is>
          <t>RATE_MISSING. Not a box to tick. On TVZ land the iwi entity is frequently the landowner, the Treaty partner and a potential equity party at once.</t>
        </is>
      </c>
    </row>
    <row r="31" ht="27.75" customHeight="1" s="69">
      <c r="A31" s="74" t="inlineStr">
        <is>
          <t>Overseas Investment Act screening</t>
        </is>
      </c>
      <c r="B31" s="79" t="n">
        <v>0</v>
      </c>
      <c r="C31" s="71" t="inlineStr">
        <is>
          <t>RATE_MISSING. An offshore-funded acquirer of sensitive land triggers OIO consent; source page for decision timelines returns 404 (nz-route-44).</t>
        </is>
      </c>
    </row>
    <row r="32" ht="27.75" customHeight="1" s="69">
      <c r="A32" s="74" t="inlineStr">
        <is>
          <t>Power purchase agreement negotiation</t>
        </is>
      </c>
      <c r="B32" s="79" t="n">
        <v>0</v>
      </c>
      <c r="C32" s="71" t="inlineStr">
        <is>
          <t>RATE_MISSING. This is the NZ route's real gate - a firm, long-dated, behind-the-meter PPA with an incumbent generator.</t>
        </is>
      </c>
    </row>
    <row r="33" ht="27.75" customHeight="1" s="69">
      <c r="A33" s="77" t="inlineStr">
        <is>
          <t>Legals subtotal</t>
        </is>
      </c>
      <c r="B33" s="78">
        <f>SUM(B29:B32)</f>
        <v/>
      </c>
      <c r="C33" s="71" t="inlineStr">
        <is>
          <t>ENTIRE BLOCK IS RATE_MISSING. Requires NZ counsel quotes before use.</t>
        </is>
      </c>
    </row>
    <row r="34"/>
    <row r="35" ht="15.75" customHeight="1" s="69">
      <c r="A35" s="72" t="inlineStr">
        <is>
          <t>NEW ZEALAND ROUTE — TOTAL CAPEX</t>
        </is>
      </c>
      <c r="B35" s="73" t="n"/>
      <c r="C35" s="73" t="n"/>
      <c r="D35" s="73" t="n"/>
      <c r="E35" s="73" t="n"/>
      <c r="F35" s="116" t="inlineStr">
        <is>
          <t>NZD</t>
        </is>
      </c>
    </row>
    <row r="36" ht="15.75" customHeight="1" s="69">
      <c r="A36" s="77" t="inlineStr">
        <is>
          <t>Sum of the four blocks</t>
        </is>
      </c>
      <c r="B36" s="78">
        <f>B13+B18+B25+B33</f>
        <v/>
      </c>
      <c r="C36" s="71" t="inlineStr">
        <is>
          <t>Land + infrastructure + compute + legals. Note what is absent: wells.</t>
        </is>
      </c>
    </row>
    <row r="37" ht="13.5" customHeight="1" s="69">
      <c r="A37" s="74" t="inlineStr">
        <is>
          <t>Contingency</t>
        </is>
      </c>
      <c r="B37" s="79">
        <f>B36*Control!$B$13</f>
        <v/>
      </c>
      <c r="C37" s="71" t="inlineStr">
        <is>
          <t>Lower subsurface risk than AU, but the same first-of-a-kind build risk.</t>
        </is>
      </c>
    </row>
    <row r="38" ht="15.75" customHeight="1" s="69">
      <c r="A38" s="77" t="inlineStr">
        <is>
          <t>TOTAL NZ CAPEX</t>
        </is>
      </c>
      <c r="B38" s="78">
        <f>B36+B37</f>
        <v/>
      </c>
      <c r="C38" s="71" t="n"/>
    </row>
    <row r="39" ht="42" customHeight="1" s="69">
      <c r="A39" s="74" t="inlineStr">
        <is>
          <t>Implied NZD/kW — ALL-IN over critical IT</t>
        </is>
      </c>
      <c r="B39" s="80">
        <f>B38/(Control!$B$12*1000)</f>
        <v/>
      </c>
      <c r="C39" s="71" t="inlineStr">
        <is>
          <t>There is no generation-only figure on this route because Archegon builds no generation. Do NOT compare this to a per-kW geothermal benchmark — it is a data centre number.</t>
        </is>
      </c>
    </row>
    <row r="40"/>
    <row r="41" ht="15.75" customHeight="1" s="69">
      <c r="A41" s="72" t="inlineStr">
        <is>
          <t>CONTRACTED POWER — the cost that replaces the wells</t>
        </is>
      </c>
      <c r="B41" s="73" t="n"/>
      <c r="C41" s="73" t="n"/>
      <c r="D41" s="73" t="n"/>
      <c r="E41" s="73" t="n"/>
      <c r="F41" s="116" t="inlineStr">
        <is>
          <t>NZD/yr</t>
        </is>
      </c>
    </row>
    <row r="42" ht="42" customHeight="1" s="69">
      <c r="A42" s="74" t="inlineStr">
        <is>
          <t>Annual energy consumed (MWh)</t>
        </is>
      </c>
      <c r="B42" s="79">
        <f>Control!$B$12*Control!$B$17*8760</f>
        <v/>
      </c>
      <c r="C42" s="71" t="inlineStr">
        <is>
          <t>Total facility load (critical IT x PUE) running continuously. The hall draws 8,760 hours a year regardless of generator availability, so the capacity factor does NOT belong in this line — it sizes plant, not consumption.</t>
        </is>
      </c>
    </row>
    <row r="43" ht="27.75" customHeight="1" s="69">
      <c r="A43" s="74" t="inlineStr">
        <is>
          <t>Indicative annual power cost</t>
        </is>
      </c>
      <c r="B43" s="79">
        <f>B42*Rates!$D$35</f>
        <v/>
      </c>
      <c r="C43" s="71" t="inlineStr">
        <is>
          <t>At the NZ wholesale benchmark. A real behind-the-meter geothermal PPA is negotiated, not screen-priced - this line sizes the opex, it does not quote it.</t>
        </is>
      </c>
    </row>
    <row r="44"/>
    <row r="45" ht="15.75" customHeight="1" s="69">
      <c r="A45" s="77" t="inlineStr">
        <is>
          <t>Why the NZ route is the faster PoC, and why it is also the weaker moat</t>
        </is>
      </c>
    </row>
    <row r="46" ht="25.5" customHeight="1" s="69">
      <c r="A46" s="71" t="inlineStr">
        <is>
          <t>• FASTER: the resource already exists and is in commercial production. No drilling risk, no dry hole, no stimulation programme, no 6-month native title minimum.</t>
        </is>
      </c>
    </row>
    <row r="47" ht="25.5" customHeight="1" s="69">
      <c r="A47" s="71" t="inlineStr">
        <is>
          <t>• WEAKER: what Archegon owns is a contract, not a reservoir. The incumbent can decline to renew, or price the renewal against the tenant's switching cost.</t>
        </is>
      </c>
    </row>
    <row r="48" ht="25.5" customHeight="1" s="69">
      <c r="A48" s="71" t="inlineStr">
        <is>
          <t>• The AU route is the reverse trade: worse schedule, harder capital, an owned asset.</t>
        </is>
      </c>
    </row>
  </sheetData>
  <mergeCells count="5">
    <mergeCell ref="A47:F47"/>
    <mergeCell ref="A46:F46"/>
    <mergeCell ref="A1:F1"/>
    <mergeCell ref="A48:F48"/>
    <mergeCell ref="A3:F3"/>
  </mergeCell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round&amp;RNZ-Route</oddFooter>
    <evenHeader/>
    <evenFooter/>
    <firstHeader/>
    <firstFooter/>
  </headerFooter>
</worksheet>
</file>

<file path=xl/worksheets/sheet7.xml><?xml version="1.0" encoding="utf-8"?>
<worksheet xmlns="http://schemas.openxmlformats.org/spreadsheetml/2006/main">
  <sheetPr filterMode="0">
    <tabColor rgb="FF6D28D9"/>
    <outlinePr summaryBelow="1" summaryRight="1"/>
    <pageSetUpPr fitToPage="1"/>
  </sheetPr>
  <dimension ref="A1:F3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46" customWidth="1" style="68" min="1" max="1"/>
    <col width="20" customWidth="1" style="68" min="2" max="2"/>
    <col width="62" customWidth="1" style="68" min="3" max="3"/>
    <col width="14" customWidth="1" style="68" min="4" max="5"/>
    <col width="30" customWidth="1" style="68" min="6" max="6"/>
  </cols>
  <sheetData>
    <row r="1" ht="27.75" customHeight="1" s="69">
      <c r="A1" s="70" t="inlineStr">
        <is>
          <t>ARCHEGON CAPITAL  ·  COMPUTE AND REVENUE — three ways to sell the same megawatt. Reported in AUD.</t>
        </is>
      </c>
    </row>
    <row r="2"/>
    <row r="3" ht="30" customHeight="1" s="69">
      <c r="A3" s="71" t="inlineStr">
        <is>
          <t>v3: Slide 11's "energy is ~7% of AI-DC TCO" describes a GPU OWNER. Under COLO Archegon owns the shell and the power system, and the power system costs about as much as the hall earns (Power-Economics). The premium for firm, carbon-free power is UNPROVEN until tenant LOIs price it.</t>
        </is>
      </c>
    </row>
    <row r="4"/>
    <row r="5" ht="15.75" customHeight="1" s="69">
      <c r="A5" s="72" t="inlineStr">
        <is>
          <t>SOLD CAPACITY</t>
        </is>
      </c>
      <c r="B5" s="73" t="n"/>
      <c r="C5" s="73" t="n"/>
      <c r="D5" s="73" t="n"/>
      <c r="E5" s="73" t="n"/>
      <c r="F5" s="73" t="n"/>
    </row>
    <row r="6" ht="13.5" customHeight="1" s="69">
      <c r="A6" s="74" t="inlineStr">
        <is>
          <t>Critical IT sold (kW)</t>
        </is>
      </c>
      <c r="B6" s="79">
        <f>Control!$B$12*1000</f>
        <v/>
      </c>
      <c r="C6" s="71" t="inlineStr">
        <is>
          <t>Assumes the PoC sells out. A ramp belongs in a later version.</t>
        </is>
      </c>
    </row>
    <row r="7" ht="27.75" customHeight="1" s="69">
      <c r="A7" s="74" t="inlineStr">
        <is>
          <t>Energy delivered (MWh/yr)</t>
        </is>
      </c>
      <c r="B7" s="79">
        <f>Control!$B$12*Control!$B$17*8760</f>
        <v/>
      </c>
      <c r="C7" s="71" t="inlineStr">
        <is>
          <t>Total facility energy: critical IT x PUE, running continuously. The capacity factor sizes generation, not consumption, so it is deliberately absent here.</t>
        </is>
      </c>
    </row>
    <row r="8"/>
    <row r="9" ht="15.75" customHeight="1" s="69">
      <c r="A9" s="72" t="inlineStr">
        <is>
          <t>MODEL A — COLOCATION (sell space and power per kW/month)</t>
        </is>
      </c>
      <c r="B9" s="73" t="n"/>
      <c r="C9" s="73" t="n"/>
      <c r="D9" s="73" t="n"/>
      <c r="E9" s="73" t="n"/>
      <c r="F9" s="116" t="inlineStr">
        <is>
          <t>AUD/yr</t>
        </is>
      </c>
    </row>
    <row r="10" ht="27.75" customHeight="1" s="69">
      <c r="A10" s="74" t="inlineStr">
        <is>
          <t>Colocation revenue</t>
        </is>
      </c>
      <c r="B10" s="79">
        <f>B6*Rates!$D$29*12*(1/Rates!$D$4)</f>
        <v/>
      </c>
      <c r="C10" s="71" t="inlineStr">
        <is>
          <t>AU market rate. Sydney trades higher; the Sydney rate is on Rates as the upper reference. VERIFIED-ESTIMATE.</t>
        </is>
      </c>
    </row>
    <row r="11"/>
    <row r="12" ht="15.75" customHeight="1" s="69">
      <c r="A12" s="72" t="inlineStr">
        <is>
          <t>MODEL B — ANCHOR LEASE (one take-or-pay tenant)</t>
        </is>
      </c>
      <c r="B12" s="73" t="n"/>
      <c r="C12" s="73" t="n"/>
      <c r="D12" s="73" t="n"/>
      <c r="E12" s="73" t="n"/>
      <c r="F12" s="116" t="inlineStr">
        <is>
          <t>AUD/yr</t>
        </is>
      </c>
    </row>
    <row r="13" ht="27.75" customHeight="1" s="69">
      <c r="A13" s="74" t="inlineStr">
        <is>
          <t>Anchor lease revenue</t>
        </is>
      </c>
      <c r="B13" s="79">
        <f>Rates!$D$31*Control!$B$12*(1/Rates!$D$4)</f>
        <v/>
      </c>
      <c r="C13" s="71" t="inlineStr">
        <is>
          <t>DERIVED per-MW lease. The alternative benchmark on Rates is ~23% lower — run both before quoting either.</t>
        </is>
      </c>
    </row>
    <row r="14"/>
    <row r="15" ht="15.75" customHeight="1" s="69">
      <c r="A15" s="72" t="inlineStr">
        <is>
          <t>MODEL C — BARE METAL (own the GPUs, sell compute)</t>
        </is>
      </c>
      <c r="B15" s="73" t="n"/>
      <c r="C15" s="73" t="n"/>
      <c r="D15" s="73" t="n"/>
      <c r="E15" s="73" t="n"/>
      <c r="F15" s="116" t="inlineStr">
        <is>
          <t>AUD/yr</t>
        </is>
      </c>
    </row>
    <row r="16" ht="55.5" customHeight="1" s="69">
      <c r="A16" s="74" t="inlineStr">
        <is>
          <t>Bare-metal compute revenue</t>
        </is>
      </c>
      <c r="B16" s="79" t="n">
        <v>0</v>
      </c>
      <c r="C16" s="71" t="inlineStr">
        <is>
          <t>RATE_MISSING BY DELIBERATE CHOICE. The GPU-hour rates that would drive this line were demoted to CONTESTED — an independent verifier could not locate them in any cited source. Quoting a GPU-hour price here would be inventing the single number a VC checks first.</t>
        </is>
      </c>
    </row>
    <row r="17" ht="27.75" customHeight="1" s="69">
      <c r="A17" s="74" t="inlineStr">
        <is>
          <t>Power-only fallback, AU route (islanded: no grid connection)</t>
        </is>
      </c>
      <c r="B17" s="79" t="n">
        <v>0</v>
      </c>
      <c r="C17" s="71" t="inlineStr">
        <is>
          <t>v3 FIX: v2 linked Rates!D33, which equals the colo rate, so the "fallback" was colo revenue relabelled. With no grid connection an unsold AU megawatt earns nothing. Real fallback options (grid export, curtailable flexible load) are priced on Power-Economics; the connection cost is RATE_MISSING.</t>
        </is>
      </c>
    </row>
    <row r="18">
      <c r="A18" s="68" t="inlineStr">
        <is>
          <t>Illustrative grid-export value IF a connection existed (SA wholesale, not contracted)</t>
        </is>
      </c>
      <c r="B18" s="68">
        <f>'Power-Economics'!$B$33</f>
        <v/>
      </c>
      <c r="C18" s="68" t="inlineStr">
        <is>
          <t>Wholesale x net average MWh. Connection capex RATE_MISSING. Not in contribution.</t>
        </is>
      </c>
    </row>
    <row r="19" ht="15.75" customHeight="1" s="69">
      <c r="A19" s="72" t="inlineStr">
        <is>
          <t>SELECTED REVENUE (follows Control!Compute model)</t>
        </is>
      </c>
      <c r="B19" s="73" t="n"/>
      <c r="C19" s="73" t="n"/>
      <c r="D19" s="73" t="n"/>
      <c r="E19" s="73" t="n"/>
      <c r="F19" s="116" t="inlineStr">
        <is>
          <t>AUD/yr</t>
        </is>
      </c>
    </row>
    <row r="20" ht="27.75" customHeight="1" s="69">
      <c r="A20" s="77" t="inlineStr">
        <is>
          <t>Revenue on the selected model</t>
        </is>
      </c>
      <c r="B20" s="78">
        <f>IF(Control!$B$5="COLO",B10,IF(Control!$B$5="ANCHOR",B13,B16))*Control!$B$18</f>
        <v/>
      </c>
      <c r="C20" s="71" t="inlineStr">
        <is>
          <t>Per-site revenue multiplied by Control!Sites funded, so BOTH sells two sites' worth. BAREMETAL resolves to zero on purpose — see Model C.</t>
        </is>
      </c>
    </row>
    <row r="21"/>
    <row r="22" ht="15.75" customHeight="1" s="69">
      <c r="A22" s="72" t="inlineStr">
        <is>
          <t>OPERATING COST — differs by route, because ownership differs</t>
        </is>
      </c>
      <c r="B22" s="73" t="n"/>
      <c r="C22" s="73" t="n"/>
      <c r="D22" s="73" t="n"/>
      <c r="E22" s="73" t="n"/>
      <c r="F22" s="116" t="inlineStr">
        <is>
          <t>AUD/yr</t>
        </is>
      </c>
    </row>
    <row r="23" ht="27.75" customHeight="1" s="69">
      <c r="A23" s="74" t="inlineStr">
        <is>
          <t>AU: geothermal plant fixed O&amp;M</t>
        </is>
      </c>
      <c r="B23" s="79">
        <f>Rates!$D$16*'AU-Route'!$B$7*1000*(1/Rates!$D$4)</f>
        <v/>
      </c>
      <c r="C23" s="71" t="inlineStr">
        <is>
          <t>Archegon OWNS the plant on the AU route, so it carries the O&amp;M. Applied to GROSS generation capacity, not critical IT.</t>
        </is>
      </c>
    </row>
    <row r="24" ht="27.75" customHeight="1" s="69">
      <c r="A24" s="74" t="inlineStr">
        <is>
          <t>NZ: contracted power purchase</t>
        </is>
      </c>
      <c r="B24" s="79">
        <f>'NZ-Route'!$B$42*Rates!$D$35*(1/Rates!$D$5)</f>
        <v/>
      </c>
      <c r="C24" s="71" t="inlineStr">
        <is>
          <t>Archegon BUYS power on the NZ route, so it carries an energy bill instead of an O&amp;M bill. Screen price, not a negotiated PPA.</t>
        </is>
      </c>
    </row>
    <row r="25" ht="55.5" customHeight="1" s="69">
      <c r="A25" s="74" t="inlineStr">
        <is>
          <t>AU: make-up / well replacement provision</t>
        </is>
      </c>
      <c r="B25" s="79">
        <f>IF(Control!$B$4="NZ",0,Rates!$D$42)</f>
        <v/>
      </c>
      <c r="C25" s="71" t="inlineStr">
        <is>
          <t>RATE_MISSING, ships at zero. The plant O&amp;M rate above EXCLUDES well replacement, so without this line the AU route silently assumes the reservoir never declines. NZ's opex rate already includes make-up drilling — that asymmetry is why this line exists.</t>
        </is>
      </c>
    </row>
    <row r="26" ht="55.5" customHeight="1" s="69">
      <c r="A26" s="74" t="inlineStr">
        <is>
          <t>Both routes: data centre non-energy opex</t>
        </is>
      </c>
      <c r="B26" s="79">
        <f>Rates!$D$43*Control!$B$12*Control!$B$18*(1/Rates!$D$4)</f>
        <v/>
      </c>
      <c r="C26" s="71" t="inlineStr">
        <is>
          <t>RATE_MISSING, ships at zero. Maintenance, insurance, security, connectivity and rates. The evidence base carries data centre capex benchmarks but no opex benchmark, so contribution below is overstated by exactly this amount.</t>
        </is>
      </c>
    </row>
    <row r="27" ht="13.5" customHeight="1" s="69">
      <c r="A27" s="74" t="inlineStr">
        <is>
          <t>Team and overhead (per site funded)</t>
        </is>
      </c>
      <c r="B27" s="79">
        <f>Control!$B$15*12*Control!$B$18</f>
        <v/>
      </c>
      <c r="C27" s="71" t="inlineStr">
        <is>
          <t>v3: multiplied by sites funded. BOTH no longer assumes one team runs two routes; shared overhead needs a resource-loaded plan first.</t>
        </is>
      </c>
    </row>
    <row r="28" ht="42" customHeight="1" s="69">
      <c r="A28" s="77" t="inlineStr">
        <is>
          <t>Opex on the selected route</t>
        </is>
      </c>
      <c r="B28" s="78">
        <f>IF(Control!$B$4="NZ",B24,IF(Control!$B$4="BOTH",B23+B24,B23))+B25+B26+B27</f>
        <v/>
      </c>
      <c r="C28" s="71" t="inlineStr">
        <is>
          <t>BOTH carries both routes' energy/O&amp;M — running two routes costs two routes. Two of the five lines above are RATE_MISSING, so this is a FLOOR on opex, not an estimate.</t>
        </is>
      </c>
    </row>
    <row r="29"/>
    <row r="30" ht="15.75" customHeight="1" s="69">
      <c r="A30" s="72" t="inlineStr">
        <is>
          <t>CONTRIBUTION</t>
        </is>
      </c>
      <c r="B30" s="73" t="n"/>
      <c r="C30" s="73" t="n"/>
      <c r="D30" s="73" t="n"/>
      <c r="E30" s="73" t="n"/>
      <c r="F30" s="116" t="inlineStr">
        <is>
          <t>AUD/yr</t>
        </is>
      </c>
    </row>
    <row r="31" ht="27.75" customHeight="1" s="69">
      <c r="A31" s="77" t="inlineStr">
        <is>
          <t>Revenue less opex</t>
        </is>
      </c>
      <c r="B31" s="78">
        <f>B20-B28</f>
        <v/>
      </c>
      <c r="C31" s="71" t="inlineStr">
        <is>
          <t>Pre-financing, pre-tax, pre-depreciation. This is NOT EBITDA and NOT a return — it is the annual cash the PoC throws off once built and full.</t>
        </is>
      </c>
    </row>
    <row r="32"/>
    <row r="33" ht="15.75" customHeight="1" s="69">
      <c r="A33" s="77" t="inlineStr">
        <is>
          <t>What this tab deliberately does not do</t>
        </is>
      </c>
    </row>
    <row r="34" ht="25.5" customHeight="1" s="69">
      <c r="A34" s="86" t="inlineStr">
        <is>
          <t>• No ramp. Revenue is shown at full occupancy from year one — a PoC will not do that.</t>
        </is>
      </c>
    </row>
    <row r="35" ht="25.5" customHeight="1" s="69">
      <c r="A35" s="86" t="inlineStr">
        <is>
          <t>• No escalation, no discounting, no terminal value. There is no IRR in this workbook because an IRR built on RATE_MISSING blocks would be fiction with a decimal point.</t>
        </is>
      </c>
    </row>
    <row r="36" ht="25.5" customHeight="1" s="69">
      <c r="A36" s="86" t="inlineStr">
        <is>
          <t>• Parasitic load is not netted off saleable capacity. PUE is now applied — that covers cooling and facility overhead — but the generator's own consumption (EIA 13.8% vs Fervo actual ~33%) is a separate, unresolved gross-up that moves the AU well count.</t>
        </is>
      </c>
    </row>
    <row r="37" ht="13.5" customHeight="1" s="69">
      <c r="A37" s="68" t="inlineStr">
        <is>
          <t>• Opex is a FLOOR. Two of the five cost lines above are RATE_MISSING and ship at zero: AU well replacement and data centre non-energy opex. Contribution is overstated by whatever those two turn out to be.</t>
        </is>
      </c>
    </row>
  </sheetData>
  <mergeCells count="6">
    <mergeCell ref="A36:F36"/>
    <mergeCell ref="A1:F1"/>
    <mergeCell ref="A37:F37"/>
    <mergeCell ref="A34:F34"/>
    <mergeCell ref="A35:F35"/>
    <mergeCell ref="A3:F3"/>
  </mergeCell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round&amp;RCompute-Revenue</oddFooter>
    <evenHeader/>
    <evenFooter/>
    <firstHeader/>
    <firstFooter/>
  </headerFooter>
</worksheet>
</file>

<file path=xl/worksheets/sheet8.xml><?xml version="1.0" encoding="utf-8"?>
<worksheet xmlns="http://schemas.openxmlformats.org/spreadsheetml/2006/main">
  <sheetPr filterMode="0">
    <tabColor rgb="FF0D6B5F"/>
    <outlinePr summaryBelow="1" summaryRight="1"/>
    <pageSetUpPr fitToPage="1"/>
  </sheetPr>
  <dimension ref="A1:F3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46" customWidth="1" style="68" min="1" max="1"/>
    <col width="20" customWidth="1" style="68" min="2" max="2"/>
    <col width="62" customWidth="1" style="68" min="3" max="3"/>
    <col width="14" customWidth="1" style="68" min="4" max="5"/>
    <col width="30" customWidth="1" style="68" min="6" max="6"/>
  </cols>
  <sheetData>
    <row r="1" ht="27.75" customHeight="1" s="69">
      <c r="A1" s="70" t="inlineStr">
        <is>
          <t>ARCHEGON CAPITAL  ·  THE RAISE — derived from the cost stack, not chosen and back-filled</t>
        </is>
      </c>
    </row>
    <row r="2"/>
    <row r="3" ht="30" customHeight="1" s="69">
      <c r="A3" s="71" t="inlineStr">
        <is>
          <t>Nothing on this tab is a round number picked first. The ask is the sum of the four money blocks on the selected route, plus the runway needed to reach them. Change a Control switch and the ask moves.</t>
        </is>
      </c>
    </row>
    <row r="4"/>
    <row r="5" ht="15.75" customHeight="1" s="69">
      <c r="A5" s="72" t="inlineStr">
        <is>
          <t>CAPEX ON THE SELECTED ROUTE</t>
        </is>
      </c>
      <c r="B5" s="73" t="n"/>
      <c r="C5" s="73" t="n"/>
      <c r="D5" s="73" t="n"/>
      <c r="E5" s="73" t="n"/>
      <c r="F5" s="116" t="inlineStr">
        <is>
          <t>AUD</t>
        </is>
      </c>
    </row>
    <row r="6" ht="13.5" customHeight="1" s="69">
      <c r="A6" s="74" t="inlineStr">
        <is>
          <t>Australian route capex</t>
        </is>
      </c>
      <c r="B6" s="79">
        <f>'AU-Route'!$B$43</f>
        <v/>
      </c>
      <c r="C6" s="71" t="inlineStr">
        <is>
          <t>From AU-Route. Buy the land, drill the wells, build the plant, build the hall.</t>
        </is>
      </c>
    </row>
    <row r="7" ht="13.5" customHeight="1" s="69">
      <c r="A7" s="74" t="inlineStr">
        <is>
          <t>New Zealand route capex (converted to AUD)</t>
        </is>
      </c>
      <c r="B7" s="79">
        <f>'NZ-Route'!$B$38*(1/Rates!$D$5)</f>
        <v/>
      </c>
      <c r="C7" s="71" t="inlineStr">
        <is>
          <t>From NZ-Route at the Rates cross-rate. No drilling in this figure.</t>
        </is>
      </c>
    </row>
    <row r="8" ht="15.75" customHeight="1" s="69">
      <c r="A8" s="77" t="inlineStr">
        <is>
          <t>Capex to fund</t>
        </is>
      </c>
      <c r="B8" s="78">
        <f>IF(Control!$B$4="NZ",B7,IF(Control!$B$4="BOTH",B6+B7,B6))</f>
        <v/>
      </c>
      <c r="C8" s="71" t="inlineStr">
        <is>
          <t>BOTH funds two routes in parallel — the optionality is real and so is the bill.</t>
        </is>
      </c>
    </row>
    <row r="9"/>
    <row r="10" ht="15.75" customHeight="1" s="69">
      <c r="A10" s="72" t="inlineStr">
        <is>
          <t>PRE-REVENUE OPERATING RUNWAY</t>
        </is>
      </c>
      <c r="B10" s="73" t="n"/>
      <c r="C10" s="73" t="n"/>
      <c r="D10" s="73" t="n"/>
      <c r="E10" s="73" t="n"/>
      <c r="F10" s="116" t="inlineStr">
        <is>
          <t>AUD</t>
        </is>
      </c>
    </row>
    <row r="11" ht="13.5" customHeight="1" s="69">
      <c r="A11" s="74" t="inlineStr">
        <is>
          <t>Team and overhead through the runway</t>
        </is>
      </c>
      <c r="B11" s="79">
        <f>Control!$B$15*Control!$B$14*Control!$B$18</f>
        <v/>
      </c>
      <c r="C11" s="71" t="inlineStr">
        <is>
          <t>v3: x sites funded (BOTH = two teams). ASSUMPTION rate.</t>
        </is>
      </c>
    </row>
    <row r="12"/>
    <row r="13" ht="15.75" customHeight="1" s="69">
      <c r="A13" s="72" t="inlineStr">
        <is>
          <t>THE ASK</t>
        </is>
      </c>
      <c r="B13" s="73" t="n"/>
      <c r="C13" s="73" t="n"/>
      <c r="D13" s="73" t="n"/>
      <c r="E13" s="73" t="n"/>
      <c r="F13" s="116" t="inlineStr">
        <is>
          <t>AUD</t>
        </is>
      </c>
    </row>
    <row r="14" ht="15.75" customHeight="1" s="69">
      <c r="A14" s="77" t="inlineStr">
        <is>
          <t>TOTAL RAISE (derived)</t>
        </is>
      </c>
      <c r="B14" s="78">
        <f>B8+B11</f>
        <v/>
      </c>
      <c r="C14" s="71" t="inlineStr">
        <is>
          <t>Capex on the selected route plus the runway to deliver it.</t>
        </is>
      </c>
    </row>
    <row r="15" ht="13.5" customHeight="1" s="69">
      <c r="A15" s="74" t="inlineStr">
        <is>
          <t>Total raise (USD)</t>
        </is>
      </c>
      <c r="B15" s="79">
        <f>B14*Rates!$D$4</f>
        <v/>
      </c>
      <c r="C15" s="71" t="inlineStr">
        <is>
          <t>At the Rates FX. For a USD-denominated conversation.</t>
        </is>
      </c>
    </row>
    <row r="16"/>
    <row r="17" ht="15.75" customHeight="1" s="69">
      <c r="A17" s="72" t="inlineStr">
        <is>
          <t>USE OF FUNDS (share of the derived ask)</t>
        </is>
      </c>
      <c r="B17" s="73" t="n"/>
      <c r="C17" s="73" t="n"/>
      <c r="D17" s="73" t="n"/>
      <c r="E17" s="73" t="n"/>
      <c r="F17" s="116" t="inlineStr">
        <is>
          <t>%</t>
        </is>
      </c>
    </row>
    <row r="18" ht="13.5" customHeight="1" s="69">
      <c r="A18" s="74" t="inlineStr">
        <is>
          <t>Capex share of the ask</t>
        </is>
      </c>
      <c r="B18" s="119">
        <f>B8/B14</f>
        <v/>
      </c>
      <c r="C18" s="71" t="inlineStr">
        <is>
          <t>How much of the raise becomes an asset.</t>
        </is>
      </c>
    </row>
    <row r="19" ht="13.5" customHeight="1" s="69">
      <c r="A19" s="74" t="inlineStr">
        <is>
          <t>Runway share of the ask</t>
        </is>
      </c>
      <c r="B19" s="119">
        <f>B11/B14</f>
        <v/>
      </c>
      <c r="C19" s="71" t="inlineStr">
        <is>
          <t>How much of the raise is burn. A high number here is a red flag to a VC.</t>
        </is>
      </c>
    </row>
    <row r="20"/>
    <row r="21" ht="15.75" customHeight="1" s="69">
      <c r="A21" s="72" t="inlineStr">
        <is>
          <t>WHAT THE ASK BUYS</t>
        </is>
      </c>
      <c r="B21" s="73" t="n"/>
      <c r="C21" s="73" t="n"/>
      <c r="D21" s="73" t="n"/>
      <c r="E21" s="73" t="n"/>
      <c r="F21" s="73" t="n"/>
    </row>
    <row r="22" ht="27.75" customHeight="1" s="69">
      <c r="A22" s="74" t="inlineStr">
        <is>
          <t>Critical IT delivered (MW)</t>
        </is>
      </c>
      <c r="B22" s="76">
        <f>Control!$B$12*Control!$B$18</f>
        <v/>
      </c>
      <c r="C22" s="71" t="inlineStr">
        <is>
          <t>From Control, multiplied by sites funded. BOTH delivers two PoC sites, so the denominator below doubles with the numerator.</t>
        </is>
      </c>
    </row>
    <row r="23" ht="42" customHeight="1" s="69">
      <c r="A23" s="74" t="inlineStr">
        <is>
          <t>Raise per kW of critical IT</t>
        </is>
      </c>
      <c r="B23" s="80">
        <f>B14/(B22*1000)</f>
        <v/>
      </c>
      <c r="C23" s="71" t="inlineStr">
        <is>
          <t>The number a data centre investor will compute in their head. Compare against the shell and fit-out benchmarks on Rates. Critical IT sold — the site generates PUE times this.</t>
        </is>
      </c>
    </row>
    <row r="24" ht="27.75" customHeight="1" s="69">
      <c r="A24" s="74" t="inlineStr">
        <is>
          <t>Years of contribution to equal the ask (undiscounted)</t>
        </is>
      </c>
      <c r="B24" s="76">
        <f>IF('Compute-Revenue'!$B$31&lt;=0,"n/a — contribution is not positive",B14/'Compute-Revenue'!$B$31)</f>
        <v/>
      </c>
      <c r="C24" s="71" t="inlineStr">
        <is>
          <t>NOT an IRR and NOT a payback period — no discounting, no ramp, no terminal value. A magnitude check only.</t>
        </is>
      </c>
    </row>
    <row r="25"/>
    <row r="26" ht="15.75" customHeight="1" s="69">
      <c r="A26" s="77" t="inlineStr">
        <is>
          <t>What this ask does NOT cover — say this before a VC finds it</t>
        </is>
      </c>
    </row>
    <row r="27" ht="25.5" customHeight="1" s="69">
      <c r="A27" s="86" t="inlineStr">
        <is>
          <t>• Every RATE_MISSING line. Land, fibre, brine gathering, the entire AU legals block and the entire NZ legals block ship at zero in capex — and AU well replacement and data centre operating cost ship at zero in opex. The ask is a FLOOR, not an estimate.</t>
        </is>
      </c>
    </row>
    <row r="28" ht="25.5" customHeight="1" s="69">
      <c r="A28" s="86" t="inlineStr">
        <is>
          <t>• No dry-hole or under-performing-well allowance on the AU route. EGS fails continuously — the failure mode is a reservoir that produces 60% of plan, not a hole with no heat.</t>
        </is>
      </c>
    </row>
    <row r="29" ht="25.5" customHeight="1" s="69">
      <c r="A29" s="86" t="inlineStr">
        <is>
          <t>• No second tranche. A PoC that works needs production capital that this ask does not raise.</t>
        </is>
      </c>
    </row>
    <row r="30" ht="25.5" customHeight="1" s="69">
      <c r="A30" s="86" t="inlineStr">
        <is>
          <t>• No allowance for the 6-month statutory minimum on the AU native title path (legals-01) running long. Schedule risk is not costed here.</t>
        </is>
      </c>
    </row>
  </sheetData>
  <mergeCells count="6">
    <mergeCell ref="A28:F28"/>
    <mergeCell ref="A1:F1"/>
    <mergeCell ref="A27:F27"/>
    <mergeCell ref="A3:F3"/>
    <mergeCell ref="A30:F30"/>
    <mergeCell ref="A29:F29"/>
  </mergeCell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round&amp;RRaise</oddFooter>
    <evenHeader/>
    <evenFooter/>
    <firstHeader/>
    <firstFooter/>
  </headerFooter>
</worksheet>
</file>

<file path=xl/worksheets/sheet9.xml><?xml version="1.0" encoding="utf-8"?>
<worksheet xmlns="http://schemas.openxmlformats.org/spreadsheetml/2006/main">
  <sheetPr filterMode="0">
    <tabColor rgb="FFB91C1C"/>
    <outlinePr summaryBelow="1" summaryRight="1"/>
    <pageSetUpPr fitToPage="1"/>
  </sheetPr>
  <dimension ref="A1:G3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42" customWidth="1" style="68" min="1" max="1"/>
    <col width="18" customWidth="1" style="68" min="2" max="5"/>
    <col width="56" customWidth="1" style="68" min="6" max="6"/>
    <col width="20" customWidth="1" style="68" min="7" max="7"/>
  </cols>
  <sheetData>
    <row r="1" ht="27.75" customHeight="1" s="69">
      <c r="A1" s="70" t="inlineStr">
        <is>
          <t>ARCHEGON CAPITAL  ·  SENSITIVITY — the three source conflicts that move the answer most</t>
        </is>
      </c>
    </row>
    <row r="2"/>
    <row r="3" ht="30" customHeight="1" s="69">
      <c r="A3" s="71" t="inlineStr">
        <is>
          <t>These are not made-up scenarios. Each row is a live disagreement between sources in facts/ — the model carries both ends rather than picking one and hiding the other.</t>
        </is>
      </c>
    </row>
    <row r="4"/>
    <row r="5" ht="15.75" customHeight="1" s="69">
      <c r="A5" s="72" t="inlineStr">
        <is>
          <t>Driver</t>
        </is>
      </c>
      <c r="B5" s="72" t="inlineStr">
        <is>
          <t>Low</t>
        </is>
      </c>
      <c r="C5" s="72" t="inlineStr">
        <is>
          <t>Base</t>
        </is>
      </c>
      <c r="D5" s="72" t="inlineStr">
        <is>
          <t>High</t>
        </is>
      </c>
      <c r="E5" s="72" t="inlineStr">
        <is>
          <t>Actual</t>
        </is>
      </c>
      <c r="F5" s="72" t="inlineStr">
        <is>
          <t>Why the sources disagree</t>
        </is>
      </c>
      <c r="G5" s="72" t="inlineStr">
        <is>
          <t>Control switch</t>
        </is>
      </c>
    </row>
    <row r="6" ht="30" customHeight="1" s="69">
      <c r="A6" s="74" t="inlineStr">
        <is>
          <t>MWe per production well</t>
        </is>
      </c>
      <c r="B6" s="76">
        <f>Rates!$D$13</f>
        <v/>
      </c>
      <c r="C6" s="76">
        <f>Rates!$D$12</f>
        <v/>
      </c>
      <c r="D6" s="76">
        <f>Rates!$D$14</f>
        <v/>
      </c>
      <c r="E6" s="120" t="inlineStr">
        <is>
          <t>n/a</t>
        </is>
      </c>
      <c r="F6" s="71" t="inlineStr">
        <is>
          <t>GeoExpro reads ~2 MWe from operating EGS. Fervo claims 10-16. A 6.5x spread on the single input that sets how many wells you drill.</t>
        </is>
      </c>
      <c r="G6" s="85" t="inlineStr">
        <is>
          <t>Well productivity</t>
        </is>
      </c>
    </row>
    <row r="7" ht="30" customHeight="1" s="69">
      <c r="A7" s="74" t="inlineStr">
        <is>
          <t>Cost per well (AUD)</t>
        </is>
      </c>
      <c r="B7" s="79">
        <f>Rates!$D$7</f>
        <v/>
      </c>
      <c r="C7" s="79">
        <f>Rates!$D$6</f>
        <v/>
      </c>
      <c r="D7" s="79">
        <f>Rates!$D$8</f>
        <v/>
      </c>
      <c r="E7" s="121">
        <f>Rates!$D$9</f>
        <v/>
      </c>
      <c r="F7" s="71" t="inlineStr">
        <is>
          <t>LOW/BASE/HIGH are all Geodynamics engineered forward estimates — best case, campaign average and single-well. ACTUAL is Habanero 4 as drilled, 4.5x the first well. The learning curve ran backwards.</t>
        </is>
      </c>
      <c r="G7" s="85" t="inlineStr">
        <is>
          <t>Well cost case</t>
        </is>
      </c>
    </row>
    <row r="8"/>
    <row r="9" ht="15.75" customHeight="1" s="69">
      <c r="A9" s="72" t="inlineStr">
        <is>
          <t>AU WELL PROGRAMME AT EACH CORNER (live)</t>
        </is>
      </c>
      <c r="B9" s="73" t="n"/>
      <c r="C9" s="73" t="n"/>
      <c r="D9" s="73" t="n"/>
      <c r="E9" s="73" t="n"/>
      <c r="F9" s="73" t="n"/>
      <c r="G9" s="116" t="inlineStr">
        <is>
          <t>Drilling capex only</t>
        </is>
      </c>
    </row>
    <row r="10" ht="15.75" customHeight="1" s="69">
      <c r="A10" s="72" t="inlineStr">
        <is>
          <t>Productivity \ well cost</t>
        </is>
      </c>
      <c r="B10" s="72" t="inlineStr">
        <is>
          <t>LOW cost</t>
        </is>
      </c>
      <c r="C10" s="72" t="inlineStr">
        <is>
          <t>BASE cost</t>
        </is>
      </c>
      <c r="D10" s="72" t="inlineStr">
        <is>
          <t>HIGH cost</t>
        </is>
      </c>
      <c r="E10" s="122" t="inlineStr">
        <is>
          <t>ACTUAL (Habanero 4)</t>
        </is>
      </c>
    </row>
    <row r="11" ht="13.5" customHeight="1" s="69">
      <c r="A11" s="74" t="inlineStr">
        <is>
          <t>LOW (2 MWe)</t>
        </is>
      </c>
      <c r="B11" s="79">
        <f>('AU-Route'!$B$10/'AU-Route'!$B$8)*ROUNDUP((Control!$B$12*Control!$B$17/Control!$B$16)/Rates!$D$13,0)*B$7</f>
        <v/>
      </c>
      <c r="C11" s="79">
        <f>('AU-Route'!$B$10/'AU-Route'!$B$8)*ROUNDUP((Control!$B$12*Control!$B$17/Control!$B$16)/Rates!$D$13,0)*C$7</f>
        <v/>
      </c>
      <c r="D11" s="79">
        <f>('AU-Route'!$B$10/'AU-Route'!$B$8)*ROUNDUP((Control!$B$12*Control!$B$17/Control!$B$16)/Rates!$D$13,0)*D$7</f>
        <v/>
      </c>
      <c r="E11" s="121">
        <f>('AU-Route'!$B$10/'AU-Route'!$B$8)*ROUNDUP((Control!$B$12*Control!$B$17/Control!$B$16)/Rates!$D$13,0)*E$7</f>
        <v/>
      </c>
    </row>
    <row r="12" ht="13.5" customHeight="1" s="69">
      <c r="A12" s="74" t="inlineStr">
        <is>
          <t>BASE (5 MWe)</t>
        </is>
      </c>
      <c r="B12" s="79">
        <f>('AU-Route'!$B$10/'AU-Route'!$B$8)*ROUNDUP((Control!$B$12*Control!$B$17/Control!$B$16)/Rates!$D$12,0)*B$7</f>
        <v/>
      </c>
      <c r="C12" s="79">
        <f>('AU-Route'!$B$10/'AU-Route'!$B$8)*ROUNDUP((Control!$B$12*Control!$B$17/Control!$B$16)/Rates!$D$12,0)*C$7</f>
        <v/>
      </c>
      <c r="D12" s="79">
        <f>('AU-Route'!$B$10/'AU-Route'!$B$8)*ROUNDUP((Control!$B$12*Control!$B$17/Control!$B$16)/Rates!$D$12,0)*D$7</f>
        <v/>
      </c>
      <c r="E12" s="121">
        <f>('AU-Route'!$B$10/'AU-Route'!$B$8)*ROUNDUP((Control!$B$12*Control!$B$17/Control!$B$16)/Rates!$D$12,0)*E$7</f>
        <v/>
      </c>
    </row>
    <row r="13" ht="13.5" customHeight="1" s="69">
      <c r="A13" s="74" t="inlineStr">
        <is>
          <t>HIGH (13 MWe)</t>
        </is>
      </c>
      <c r="B13" s="79">
        <f>('AU-Route'!$B$10/'AU-Route'!$B$8)*ROUNDUP((Control!$B$12*Control!$B$17/Control!$B$16)/Rates!$D$14,0)*B$7</f>
        <v/>
      </c>
      <c r="C13" s="79">
        <f>('AU-Route'!$B$10/'AU-Route'!$B$8)*ROUNDUP((Control!$B$12*Control!$B$17/Control!$B$16)/Rates!$D$14,0)*C$7</f>
        <v/>
      </c>
      <c r="D13" s="79">
        <f>('AU-Route'!$B$10/'AU-Route'!$B$8)*ROUNDUP((Control!$B$12*Control!$B$17/Control!$B$16)/Rates!$D$14,0)*D$7</f>
        <v/>
      </c>
      <c r="E13" s="121">
        <f>('AU-Route'!$B$10/'AU-Route'!$B$8)*ROUNDUP((Control!$B$12*Control!$B$17/Control!$B$16)/Rates!$D$14,0)*E$7</f>
        <v/>
      </c>
    </row>
    <row r="14"/>
    <row r="15" ht="111.75" customHeight="1" s="69">
      <c r="A15" s="77" t="inlineStr">
        <is>
          <t>Spread, cheapest corner to dearest</t>
        </is>
      </c>
      <c r="B15" s="117">
        <f>MAX(B11:E13)/MIN(B11:E13)</f>
        <v/>
      </c>
      <c r="C15" s="71" t="inlineStr">
        <is>
          <t>The ratio a VC should be shown first. Drilling alone, before a single server is bought. Now spans all four cost cases including Habanero 4 as drilled.</t>
        </is>
      </c>
    </row>
    <row r="16"/>
    <row r="17" ht="15.75" customHeight="1" s="69">
      <c r="A17" s="72" t="inlineStr">
        <is>
          <t>CONFLICTS THE MODEL CANNOT RESOLVE</t>
        </is>
      </c>
      <c r="B17" s="73" t="n"/>
      <c r="C17" s="73" t="n"/>
      <c r="D17" s="73" t="n"/>
      <c r="E17" s="73" t="n"/>
      <c r="F17" s="73" t="n"/>
      <c r="G17" s="73" t="n"/>
    </row>
    <row r="18" ht="13.5" customHeight="1" s="69">
      <c r="A18" s="112" t="inlineStr">
        <is>
          <t>Parasitic load: 13.8% (EIA, conventional) vs ~29% (EGS stress, GeoExpro-derived: 2.5 MW pumping / 8.7 MW gross)</t>
        </is>
      </c>
    </row>
    <row r="19" ht="27.75" customHeight="1" s="69">
      <c r="A19" s="71" t="inlineStr">
        <is>
          <t>v3: well ratings are NET by definition (Definitions), so parasitic is inside the rating. Flow-Basis shows what that requires in kg/s, and how many producers a gross-only rating would need.</t>
        </is>
      </c>
    </row>
    <row r="20"/>
    <row r="21" ht="13.5" customHeight="1" s="69">
      <c r="A21" s="112" t="inlineStr">
        <is>
          <t>Capex per kW (US$): Habanero 16,808 at model FX (23,600 x 0.7122) vs Fervo 7,000 (overnight, first project) -&gt; 5,500 (Phase II all-in, expected) -&gt; 3,000 (target)</t>
        </is>
      </c>
    </row>
    <row r="22" ht="90" customHeight="1" s="69">
      <c r="A22" s="71" t="inlineStr">
        <is>
          <t>v3: Fervo US$7,000/kW is in the S-1/A filed 4 May 2026 as an OVERNIGHT cost for the first Cape Station project: CONTESTED cleared, mis-date (31 Dec 2025) corrected. The three Fervo figures are on different bases and are shown as separate points, not a curve. At model FX Habanero is 2.4x Fervo's first-project figure. The model uses none of them as an input.</t>
        </is>
      </c>
    </row>
    <row r="23"/>
    <row r="24" ht="13.5" customHeight="1" s="69">
      <c r="A24" s="112" t="inlineStr">
        <is>
          <t>Every RATE_MISSING block</t>
        </is>
      </c>
    </row>
    <row r="25" ht="27.75" customHeight="1" s="69">
      <c r="A25" s="71" t="inlineStr">
        <is>
          <t>Land, fibre, brine gathering, AU legals, NZ legals. Four counsel quotes and two engineering quotes would close most of this. None exists yet.</t>
        </is>
      </c>
    </row>
    <row r="26"/>
    <row r="27">
      <c r="A27" s="89" t="inlineStr">
        <is>
          <t>Plant scale penalty (sensitivity, ASSUMPTION 0.6 exponent from the 50 MW EIA reference)</t>
        </is>
      </c>
    </row>
    <row r="28">
      <c r="A28" s="68" t="inlineStr">
        <is>
          <t>Per-kW multiplier at net nameplate</t>
        </is>
      </c>
      <c r="B28" s="123">
        <f>(50/'AU-Route'!$B$7)^(1-Rates!$D$81)</f>
        <v/>
      </c>
    </row>
    <row r="29">
      <c r="A29" s="68" t="inlineStr">
        <is>
          <t>AU raise with scale penalty</t>
        </is>
      </c>
      <c r="B29" s="90">
        <f>Raise!$B$14+'AU-Route'!$B$21*(B28-1)*(1+Control!$B$13)</f>
        <v/>
      </c>
    </row>
    <row r="30">
      <c r="A30" s="68" t="inlineStr">
        <is>
          <t>AU raise with scale penalty AND remote loading on the plant</t>
        </is>
      </c>
      <c r="B30" s="90">
        <f>Raise!$B$14+'AU-Route'!$B$21*(B28*Rates!$D$24-1)*(1+Control!$B$13)</f>
        <v/>
      </c>
    </row>
    <row r="31">
      <c r="A31" s="68" t="inlineStr">
        <is>
          <t>AU raise at HIGH (single-well, first-of-a-kind) well cost</t>
        </is>
      </c>
      <c r="B31" s="90">
        <f>Raise!$B$14+'AU-Route'!$B$10*(Rates!$D$8-'AU-Route'!$B$18)*(1+Control!$B$13)</f>
        <v/>
      </c>
    </row>
  </sheetData>
  <mergeCells count="8">
    <mergeCell ref="A1:G1"/>
    <mergeCell ref="A18:G18"/>
    <mergeCell ref="A3:G3"/>
    <mergeCell ref="A21:G21"/>
    <mergeCell ref="A22:G22"/>
    <mergeCell ref="A24:G24"/>
    <mergeCell ref="A25:G25"/>
    <mergeCell ref="A19:G19"/>
  </mergeCell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round&amp;RSensitivity</oddFooter>
    <evenHeader/>
    <evenFooter/>
    <firstHeader/>
    <firstFooter/>
  </headerFooter>
</worksheet>
</file>

<file path=xl/worksheets/sheet10.xml><?xml version="1.0" encoding="utf-8"?>
<worksheet xmlns="http://schemas.openxmlformats.org/spreadsheetml/2006/main">
  <sheetPr filterMode="0">
    <tabColor rgb="FF14171A"/>
    <outlinePr summaryBelow="1" summaryRight="1"/>
    <pageSetUpPr fitToPage="1"/>
  </sheetPr>
  <dimension ref="A1:G52"/>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83984375" defaultRowHeight="13.5" customHeight="1" zeroHeight="0" outlineLevelRow="0"/>
  <cols>
    <col width="28" customWidth="1" style="68" min="1" max="1"/>
    <col width="40" customWidth="1" style="68" min="2" max="2"/>
    <col width="16" customWidth="1" style="68" min="3" max="3"/>
    <col width="22" customWidth="1" style="68" min="4" max="4"/>
    <col width="18" customWidth="1" style="68" min="5" max="5"/>
    <col width="64" customWidth="1" style="68" min="6" max="6"/>
    <col width="52" customWidth="1" style="68" min="7" max="7"/>
  </cols>
  <sheetData>
    <row r="1" ht="27.75" customHeight="1" s="69">
      <c r="A1" s="70" t="inlineStr">
        <is>
          <t>ARCHEGON CAPITAL  ·  TRACEABILITY — every rate in this workbook, and the finding it came from</t>
        </is>
      </c>
    </row>
    <row r="2"/>
    <row r="3" ht="30" customHeight="1" s="69">
      <c r="A3" s="71" t="inlineStr">
        <is>
          <t>No figure in this workbook was typed from memory. Each row below names the finding id in facts/ that a rate came from, the status that finding carries, and the claim as recorded. A rate whose finding is missing stops the build.</t>
        </is>
      </c>
    </row>
    <row r="4"/>
    <row r="5" ht="15.75" customHeight="1" s="69">
      <c r="A5" s="72" t="inlineStr">
        <is>
          <t>Rate key</t>
        </is>
      </c>
      <c r="B5" s="72" t="inlineStr">
        <is>
          <t>Rate</t>
        </is>
      </c>
      <c r="C5" s="72" t="inlineStr">
        <is>
          <t>Value</t>
        </is>
      </c>
      <c r="D5" s="72" t="inlineStr">
        <is>
          <t>Unit</t>
        </is>
      </c>
      <c r="E5" s="72" t="inlineStr">
        <is>
          <t>Status</t>
        </is>
      </c>
      <c r="F5" s="72" t="inlineStr">
        <is>
          <t>Finding id and claim</t>
        </is>
      </c>
      <c r="G5" s="72" t="inlineStr">
        <is>
          <t>Why this rate, and what it does not cover</t>
        </is>
      </c>
    </row>
    <row r="6" ht="33.75" customHeight="1" s="69">
      <c r="A6" s="85" t="inlineStr">
        <is>
          <t>fx_aud_usd</t>
        </is>
      </c>
      <c r="B6" s="74" t="inlineStr">
        <is>
          <t>AUD -&gt; USD</t>
        </is>
      </c>
      <c r="C6" s="124" t="n">
        <v>0.7122000000000001</v>
      </c>
      <c r="D6" s="85" t="inlineStr">
        <is>
          <t>USD per AUD</t>
        </is>
      </c>
      <c r="E6" s="85" t="inlineStr">
        <is>
          <t>VERIFIED</t>
        </is>
      </c>
      <c r="F6" s="71" t="inlineStr">
        <is>
          <t>geothermal-capex-71 — Exchange rates for restating USD geothermal capex figures into Australian and New Zealand dollars</t>
        </is>
      </c>
      <c r="G6" s="71" t="inlineStr">
        <is>
          <t>Restates USD benchmarks into AUD. Point-in-time rate.</t>
        </is>
      </c>
    </row>
    <row r="7" ht="33.75" customHeight="1" s="69">
      <c r="A7" s="85" t="inlineStr">
        <is>
          <t>fx_aud_nzd</t>
        </is>
      </c>
      <c r="B7" s="74" t="inlineStr">
        <is>
          <t>AUD -&gt; NZD</t>
        </is>
      </c>
      <c r="C7" s="124" t="n">
        <v>1.2365</v>
      </c>
      <c r="D7" s="85" t="inlineStr">
        <is>
          <t>NZD per AUD</t>
        </is>
      </c>
      <c r="E7" s="85" t="inlineStr">
        <is>
          <t>VERIFIED</t>
        </is>
      </c>
      <c r="F7" s="71" t="inlineStr">
        <is>
          <t>geothermal-capex-71 — Exchange rates for restating USD geothermal capex figures into Australian and New Zealand dollars</t>
        </is>
      </c>
      <c r="G7" s="71" t="inlineStr">
        <is>
          <t>Implies 1 USD = 1.404 AUD and 1 USD = 1.736 NZD.</t>
        </is>
      </c>
    </row>
    <row r="8" ht="33.75" customHeight="1" s="69">
      <c r="A8" s="85" t="inlineStr">
        <is>
          <t>au_well_cost_base</t>
        </is>
      </c>
      <c r="B8" s="74" t="inlineStr">
        <is>
          <t>Cooper Basin EGS well, engineered forward cost</t>
        </is>
      </c>
      <c r="C8" s="125" t="n">
        <v>16500000</v>
      </c>
      <c r="D8" s="85" t="inlineStr">
        <is>
          <t>AUD/well</t>
        </is>
      </c>
      <c r="E8" s="85" t="inlineStr">
        <is>
          <t>VERIFIED-ESTIMATE</t>
        </is>
      </c>
      <c r="F8" s="71" t="inlineStr">
        <is>
          <t>geothermal-capex-30 — Geodynamics' engineered forward cost estimate for Cooper Basin EGS wells under an optimised slim-bore design and campaign drilling - the Australian 'if we did it again' number</t>
        </is>
      </c>
      <c r="G8" s="71" t="inlineStr">
        <is>
          <t>Geodynamics optimised slim-bore 5-well campaign average.</t>
        </is>
      </c>
    </row>
    <row r="9" ht="33.75" customHeight="1" s="69">
      <c r="A9" s="85" t="inlineStr">
        <is>
          <t>au_well_cost_low</t>
        </is>
      </c>
      <c r="B9" s="74" t="inlineStr">
        <is>
          <t>Cooper Basin well, best case with high learning</t>
        </is>
      </c>
      <c r="C9" s="125" t="n">
        <v>14000000</v>
      </c>
      <c r="D9" s="85" t="inlineStr">
        <is>
          <t>AUD/well</t>
        </is>
      </c>
      <c r="E9" s="85" t="inlineStr">
        <is>
          <t>VERIFIED-ESTIMATE</t>
        </is>
      </c>
      <c r="F9" s="71" t="inlineStr">
        <is>
          <t>geothermal-capex-30 — Geodynamics' engineered forward cost estimate for Cooper Basin EGS wells under an optimised slim-bore design and campaign drilling - the Australian 'if we did it again' number</t>
        </is>
      </c>
      <c r="G9" s="71" t="inlineStr">
        <is>
          <t>Best case in the same engineered estimate.</t>
        </is>
      </c>
    </row>
    <row r="10" ht="33.75" customHeight="1" s="69">
      <c r="A10" s="85" t="inlineStr">
        <is>
          <t>au_well_cost_high</t>
        </is>
      </c>
      <c r="B10" s="74" t="inlineStr">
        <is>
          <t>Cooper Basin well, single-well (no campaign learning)</t>
        </is>
      </c>
      <c r="C10" s="125" t="n">
        <v>22700000</v>
      </c>
      <c r="D10" s="85" t="inlineStr">
        <is>
          <t>AUD/well</t>
        </is>
      </c>
      <c r="E10" s="85" t="inlineStr">
        <is>
          <t>VERIFIED-ESTIMATE</t>
        </is>
      </c>
      <c r="F10" s="71" t="inlineStr">
        <is>
          <t>geothermal-capex-30 — Geodynamics' engineered forward cost estimate for Cooper Basin EGS wells under an optimised slim-bore design and campaign drilling - the Australian 'if we did it again' number</t>
        </is>
      </c>
      <c r="G10" s="71" t="inlineStr">
        <is>
          <t>One-off well; the cost if no campaign is assembled.</t>
        </is>
      </c>
    </row>
    <row r="11" ht="33.75" customHeight="1" s="69">
      <c r="A11" s="85" t="inlineStr">
        <is>
          <t>au_well_actual_h4</t>
        </is>
      </c>
      <c r="B11" s="74" t="inlineStr">
        <is>
          <t>Habanero 4 actual drilled cost</t>
        </is>
      </c>
      <c r="C11" s="125" t="n">
        <v>50850000</v>
      </c>
      <c r="D11" s="85" t="inlineStr">
        <is>
          <t>AUD/well</t>
        </is>
      </c>
      <c r="E11" s="85" t="inlineStr">
        <is>
          <t>VERIFIED</t>
        </is>
      </c>
      <c r="F11" s="71" t="inlineStr">
        <is>
          <t>geothermal-capex-29 — Actual drilled cost and duration of every deep EGS well in the Cooper Basin, Australia (Geodynamics, Habanero/Jolokia) - the only Australian deep-EGS well cost record that exists</t>
        </is>
      </c>
      <c r="G11" s="71" t="inlineStr">
        <is>
          <t>The ANTI-learning curve: last well cost 4.5x the first.</t>
        </is>
      </c>
    </row>
    <row r="12" ht="33.75" customHeight="1" s="69">
      <c r="A12" s="85" t="inlineStr">
        <is>
          <t>au_rig_day_rate</t>
        </is>
      </c>
      <c r="B12" s="74" t="inlineStr">
        <is>
          <t>Australian onshore rig day rate</t>
        </is>
      </c>
      <c r="C12" s="125" t="n">
        <v>50000</v>
      </c>
      <c r="D12" s="85" t="inlineStr">
        <is>
          <t>AUD/day</t>
        </is>
      </c>
      <c r="E12" s="85" t="inlineStr">
        <is>
          <t>VERIFIED</t>
        </is>
      </c>
      <c r="F12" s="71" t="inlineStr">
        <is>
          <t>geothermal-capex-31 — Australian onshore drilling rig day rate and mobilisation cost assumed in the Habanero field development plan for a 750,000 lb rated rig</t>
        </is>
      </c>
      <c r="G12" s="71" t="inlineStr">
        <is>
          <t>Habanero field development plan assumption.</t>
        </is>
      </c>
    </row>
    <row r="13" ht="33.75" customHeight="1" s="69">
      <c r="A13" s="85" t="inlineStr">
        <is>
          <t>au_rig_mob</t>
        </is>
      </c>
      <c r="B13" s="74" t="inlineStr">
        <is>
          <t>Rig mobilisation / demobilisation</t>
        </is>
      </c>
      <c r="C13" s="125" t="n">
        <v>4000000</v>
      </c>
      <c r="D13" s="85" t="inlineStr">
        <is>
          <t>AUD</t>
        </is>
      </c>
      <c r="E13" s="85" t="inlineStr">
        <is>
          <t>VERIFIED</t>
        </is>
      </c>
      <c r="F13" s="71" t="inlineStr">
        <is>
          <t>geothermal-capex-31 — Australian onshore drilling rig day rate and mobilisation cost assumed in the Habanero field development plan for a 750,000 lb rated rig</t>
        </is>
      </c>
      <c r="G13" s="71" t="inlineStr">
        <is>
          <t>Single mob/demob for a Cooper Basin campaign.</t>
        </is>
      </c>
    </row>
    <row r="14" ht="33.75" customHeight="1" s="69">
      <c r="A14" s="85" t="inlineStr">
        <is>
          <t>mwe_per_well_base</t>
        </is>
      </c>
      <c r="B14" s="74" t="inlineStr">
        <is>
          <t>Net MWe per production well - BASE</t>
        </is>
      </c>
      <c r="C14" s="124" t="n">
        <v>5</v>
      </c>
      <c r="D14" s="85" t="inlineStr">
        <is>
          <t>MWe</t>
        </is>
      </c>
      <c r="E14" s="85" t="inlineStr">
        <is>
          <t>DERIVED</t>
        </is>
      </c>
      <c r="F14" s="71" t="inlineStr">
        <is>
          <t>geothermal-capex-15 — Base case recommended for MWe per production well and per doublet in an Archegon financial model, reconciling company and critic sources</t>
        </is>
      </c>
      <c r="G14" s="71" t="inlineStr">
        <is>
          <t>DERIVED base case 4-6 MWe; midpoint used.</t>
        </is>
      </c>
    </row>
    <row r="15" ht="33.75" customHeight="1" s="69">
      <c r="A15" s="85" t="inlineStr">
        <is>
          <t>mwe_per_well_low</t>
        </is>
      </c>
      <c r="B15" s="74" t="inlineStr">
        <is>
          <t>Net MWe per production well - LOW</t>
        </is>
      </c>
      <c r="C15" s="124" t="n">
        <v>2</v>
      </c>
      <c r="D15" s="85" t="inlineStr">
        <is>
          <t>MWe</t>
        </is>
      </c>
      <c r="E15" s="85" t="inlineStr">
        <is>
          <t>DERIVED</t>
        </is>
      </c>
      <c r="F15" s="71" t="inlineStr">
        <is>
          <t>geothermal-capex-15 — Base case recommended for MWe per production well and per doublet in an Archegon financial model, reconciling company and critic sources</t>
        </is>
      </c>
      <c r="G15" s="71" t="inlineStr">
        <is>
          <t>GeoExpro triplet-implied bear case.</t>
        </is>
      </c>
    </row>
    <row r="16" ht="33.75" customHeight="1" s="69">
      <c r="A16" s="85" t="inlineStr">
        <is>
          <t>mwe_per_well_high</t>
        </is>
      </c>
      <c r="B16" s="74" t="inlineStr">
        <is>
          <t>Gross MWe per producer - HIGH</t>
        </is>
      </c>
      <c r="C16" s="124" t="n">
        <v>13</v>
      </c>
      <c r="D16" s="85" t="inlineStr">
        <is>
          <t>MWe</t>
        </is>
      </c>
      <c r="E16" s="85" t="inlineStr">
        <is>
          <t>DERIVED</t>
        </is>
      </c>
      <c r="F16" s="71" t="inlineStr">
        <is>
          <t>geothermal-capex-15 — Base case recommended for MWe per production well and per doublet in an Archegon financial model, reconciling company and critic sources</t>
        </is>
      </c>
      <c r="G16" s="71" t="inlineStr">
        <is>
          <t>Fervo claim 10-16 MWe; midpoint. Unproven at fleet scale.</t>
        </is>
      </c>
    </row>
    <row r="17" ht="33.75" customHeight="1" s="69">
      <c r="A17" s="85" t="inlineStr">
        <is>
          <t>plant_usd_per_kw</t>
        </is>
      </c>
      <c r="B17" s="74" t="inlineStr">
        <is>
          <t>50 MW binary ORC plant, brownfield (wells already drilled)</t>
        </is>
      </c>
      <c r="C17" s="125" t="n">
        <v>3963</v>
      </c>
      <c r="D17" s="85" t="inlineStr">
        <is>
          <t>USD/kW</t>
        </is>
      </c>
      <c r="E17" s="85" t="inlineStr">
        <is>
          <t>VERIFIED</t>
        </is>
      </c>
      <c r="F17" s="71" t="inlineStr">
        <is>
          <t>geothermal-capex-16 — All-in capital cost of a 50 MW net binary-cycle (ORC) geothermal power plant on a BROWNFIELD site where production and injection wells are already drilled - i.e. surface plant plus gathering system only, no drilling</t>
        </is>
      </c>
      <c r="G17" s="71" t="inlineStr">
        <is>
          <t>EIA 2023 USD, USD 198.1m for 50 MW net.</t>
        </is>
      </c>
    </row>
    <row r="18" ht="33.75" customHeight="1" s="69">
      <c r="A18" s="85" t="inlineStr">
        <is>
          <t>plant_fom_usd_kw_yr</t>
        </is>
      </c>
      <c r="B18" s="74" t="inlineStr">
        <is>
          <t>Binary plant fixed O&amp;M, excl. well replacement</t>
        </is>
      </c>
      <c r="C18" s="124" t="n">
        <v>150.6</v>
      </c>
      <c r="D18" s="85" t="inlineStr">
        <is>
          <t>USD/kW/yr</t>
        </is>
      </c>
      <c r="E18" s="85" t="inlineStr">
        <is>
          <t>VERIFIED</t>
        </is>
      </c>
      <c r="F18" s="71" t="inlineStr">
        <is>
          <t>geothermal-capex-18 — Fixed O&amp;M for a 50 MW binary geothermal plant, excluding well replacement</t>
        </is>
      </c>
      <c r="G18" s="71" t="inlineStr">
        <is>
          <t>EIA; variable O&amp;M USD 0.00/MWh.</t>
        </is>
      </c>
    </row>
    <row r="19" ht="33.75" customHeight="1" s="69">
      <c r="A19" s="85" t="inlineStr">
        <is>
          <t>nz_greenfield_nzd_kw</t>
        </is>
      </c>
      <c r="B19" s="74" t="inlineStr">
        <is>
          <t>NZ greenfield geothermal reference capital cost</t>
        </is>
      </c>
      <c r="C19" s="125" t="n">
        <v>5500</v>
      </c>
      <c r="D19" s="85" t="inlineStr">
        <is>
          <t>NZD/kW</t>
        </is>
      </c>
      <c r="E19" s="85" t="inlineStr">
        <is>
          <t>VERIFIED</t>
        </is>
      </c>
      <c r="F19" s="71" t="inlineStr">
        <is>
          <t>geothermal-capex-21 — New Zealand reference capital cost for a greenfield geothermal development, per the MBIE-commissioned future generation stack study</t>
        </is>
      </c>
      <c r="G19" s="71" t="inlineStr">
        <is>
          <t>MBIE-commissioned stack; 55 MW single-unit medium enthalpy.</t>
        </is>
      </c>
    </row>
    <row r="20" ht="33.75" customHeight="1" s="69">
      <c r="A20" s="85" t="inlineStr">
        <is>
          <t>nz_actual_nzd_kw</t>
        </is>
      </c>
      <c r="B20" s="74" t="inlineStr">
        <is>
          <t>NZ recent project actuals (Te Ahi O Maui)</t>
        </is>
      </c>
      <c r="C20" s="125" t="n">
        <v>5730</v>
      </c>
      <c r="D20" s="85" t="inlineStr">
        <is>
          <t>NZD/kW</t>
        </is>
      </c>
      <c r="E20" s="85" t="inlineStr">
        <is>
          <t>VERIFIED</t>
        </is>
      </c>
      <c r="F20" s="71" t="inlineStr">
        <is>
          <t>geothermal-capex-22 — Actual reported capital costs of recent New Zealand geothermal projects</t>
        </is>
      </c>
      <c r="G20" s="71" t="inlineStr">
        <is>
          <t>Eastland 26 MW net, NZD 149m, 2019 annual report.</t>
        </is>
      </c>
    </row>
    <row r="21" ht="33.75" customHeight="1" s="69">
      <c r="A21" s="85" t="inlineStr">
        <is>
          <t>nz_makeup_well_nzd</t>
        </is>
      </c>
      <c r="B21" s="74" t="inlineStr">
        <is>
          <t>NZ geothermal make-up well</t>
        </is>
      </c>
      <c r="C21" s="125" t="n">
        <v>10000000</v>
      </c>
      <c r="D21" s="85" t="inlineStr">
        <is>
          <t>NZD/well</t>
        </is>
      </c>
      <c r="E21" s="85" t="inlineStr">
        <is>
          <t>VERIFIED</t>
        </is>
      </c>
      <c r="F21" s="71" t="inlineStr">
        <is>
          <t>geothermal-capex-23 — New Zealand geothermal make-up (replacement) well cost and re-drill frequency used in the MBIE generation stack</t>
        </is>
      </c>
      <c r="G21" s="71" t="inlineStr">
        <is>
          <t>MBIE stack; 3% pa resource run-down assumed.</t>
        </is>
      </c>
    </row>
    <row r="22" ht="33.75" customHeight="1" s="69">
      <c r="A22" s="85" t="inlineStr">
        <is>
          <t>nz_fixed_opex_nzd_mw_yr</t>
        </is>
      </c>
      <c r="B22" s="74" t="inlineStr">
        <is>
          <t>NZ geothermal fixed OPEX, all-in incl. make-up drilling</t>
        </is>
      </c>
      <c r="C22" s="125" t="n">
        <v>190000</v>
      </c>
      <c r="D22" s="85" t="inlineStr">
        <is>
          <t>NZD/MW/yr</t>
        </is>
      </c>
      <c r="E22" s="85" t="inlineStr">
        <is>
          <t>VERIFIED</t>
        </is>
      </c>
      <c r="F22" s="71" t="inlineStr">
        <is>
          <t>geothermal-capex-24 — New Zealand geothermal fixed OPEX benchmark, all-in including make-up well drilling</t>
        </is>
      </c>
      <c r="G22" s="71" t="inlineStr">
        <is>
          <t>Contact Tauhara NZD 20/MWh ex-carbon at 90% CF + make-up.</t>
        </is>
      </c>
    </row>
    <row r="23" ht="33.75" customHeight="1" s="69">
      <c r="A23" s="85" t="inlineStr">
        <is>
          <t>dc_shell_usd_mw</t>
        </is>
      </c>
      <c r="B23" s="74" t="inlineStr">
        <is>
          <t>Data centre shell-and-core construction</t>
        </is>
      </c>
      <c r="C23" s="125" t="n">
        <v>11300000</v>
      </c>
      <c r="D23" s="85" t="inlineStr">
        <is>
          <t>USD/MW</t>
        </is>
      </c>
      <c r="E23" s="85" t="inlineStr">
        <is>
          <t>VERIFIED-ESTIMATE</t>
        </is>
      </c>
      <c r="F23" s="71" t="inlineStr">
        <is>
          <t>compute-economics-06 — Shell-and-core data centre construction cost per MW of critical IT load (building, power, cooling; no IT equipment), global average.</t>
        </is>
      </c>
      <c r="G23" s="71" t="inlineStr">
        <is>
          <t>2026 figure; USD 10.7m/MW 2025, ~7% CAGR since 2020.</t>
        </is>
      </c>
    </row>
    <row r="24" ht="33.75" customHeight="1" s="69">
      <c r="A24" s="85" t="inlineStr">
        <is>
          <t>dc_liquid_premium_usd_mw</t>
        </is>
      </c>
      <c r="B24" s="74" t="inlineStr">
        <is>
          <t>Liquid-cooling premium over air-cooled</t>
        </is>
      </c>
      <c r="C24" s="125" t="n">
        <v>3200000</v>
      </c>
      <c r="D24" s="85" t="inlineStr">
        <is>
          <t>USD/MW</t>
        </is>
      </c>
      <c r="E24" s="85" t="inlineStr">
        <is>
          <t>INDICATIVE</t>
        </is>
      </c>
      <c r="F24" s="71" t="inlineStr">
        <is>
          <t>compute-economics-07 — Liquid-cooling premium for AI-optimised construction over standard air-cooled build.</t>
        </is>
      </c>
      <c r="G24" s="71" t="inlineStr">
        <is>
          <t>USD 2.7-3.7m/MW; midpoint. Mechanical share 22% -&gt; 33%.</t>
        </is>
      </c>
    </row>
    <row r="25" ht="33.75" customHeight="1" s="69">
      <c r="A25" s="85" t="inlineStr">
        <is>
          <t>dc_tier3_usd_mw</t>
        </is>
      </c>
      <c r="B25" s="74" t="inlineStr">
        <is>
          <t>Standard Tier III (non-AI) build, for contrast</t>
        </is>
      </c>
      <c r="C25" s="125" t="n">
        <v>11000000</v>
      </c>
      <c r="D25" s="85" t="inlineStr">
        <is>
          <t>USD/MW</t>
        </is>
      </c>
      <c r="E25" s="85" t="inlineStr">
        <is>
          <t>INDICATIVE</t>
        </is>
      </c>
      <c r="F25" s="71" t="inlineStr">
        <is>
          <t>compute-economics-08 — Standard (non-AI) Tier III data centre construction cost per critical IT MW.</t>
        </is>
      </c>
      <c r="G25" s="71" t="inlineStr">
        <is>
          <t>USD 8-14m/MW range; midpoint.</t>
        </is>
      </c>
    </row>
    <row r="26" ht="33.75" customHeight="1" s="69">
      <c r="A26" s="85" t="inlineStr">
        <is>
          <t>dc_remote_loading</t>
        </is>
      </c>
      <c r="B26" s="74" t="inlineStr">
        <is>
          <t>Remote-site cost loading, heavily-prefab design</t>
        </is>
      </c>
      <c r="C26" s="124" t="n">
        <v>1.3</v>
      </c>
      <c r="D26" s="85" t="inlineStr">
        <is>
          <t>x</t>
        </is>
      </c>
      <c r="E26" s="85" t="inlineStr">
        <is>
          <t>DERIVED</t>
        </is>
      </c>
      <c r="F26" s="71" t="inlineStr">
        <is>
          <t>datacentre-capex-27 — DERIVED build-cost stack for a Cooper Basin AI hall (facility only, ex-IT, ex-power-plant)</t>
        </is>
      </c>
      <c r="G26" s="71" t="inlineStr">
        <is>
          <t>1.2-1.4x prefab (up to 2.0x stick-built); midpoint.</t>
        </is>
      </c>
    </row>
    <row r="27" ht="33.75" customHeight="1" s="69">
      <c r="A27" s="85" t="inlineStr">
        <is>
          <t>dc_schedule_value_usd_mw_month</t>
        </is>
      </c>
      <c r="B27" s="74" t="inlineStr">
        <is>
          <t>Value of one month earlier delivery</t>
        </is>
      </c>
      <c r="C27" s="125" t="n">
        <v>500000</v>
      </c>
      <c r="D27" s="85" t="inlineStr">
        <is>
          <t>USD/MW/month</t>
        </is>
      </c>
      <c r="E27" s="85" t="inlineStr">
        <is>
          <t>INDICATIVE</t>
        </is>
      </c>
      <c r="F27" s="71" t="inlineStr">
        <is>
          <t>datacentre-capex-28 — Value of schedule acceleration (why modular wins financially even at capex parity)</t>
        </is>
      </c>
      <c r="G27" s="71" t="inlineStr">
        <is>
          <t>Industry estimate; drives the modular-vs-stick-built case.</t>
        </is>
      </c>
    </row>
    <row r="28" ht="33.75" customHeight="1" s="69">
      <c r="A28" s="85" t="inlineStr">
        <is>
          <t>gpu_rack_usd</t>
        </is>
      </c>
      <c r="B28" s="74" t="inlineStr">
        <is>
          <t>NVIDIA GB200 NVL72 rack purchase price</t>
        </is>
      </c>
      <c r="C28" s="125" t="n">
        <v>3000000</v>
      </c>
      <c r="D28" s="85" t="inlineStr">
        <is>
          <t>USD/rack</t>
        </is>
      </c>
      <c r="E28" s="85" t="inlineStr">
        <is>
          <t>INDICATIVE</t>
        </is>
      </c>
      <c r="F28" s="71" t="inlineStr">
        <is>
          <t>compute-economics-04 — Purchase price of a full NVIDIA GB200 NVL72 rack (72 Blackwell GPUs, liquid-cooled, ~120-132 kW rack).</t>
        </is>
      </c>
      <c r="G28" s="71" t="inlineStr">
        <is>
          <t>Consensus point estimate; range USD 2.8-3.4m.</t>
        </is>
      </c>
    </row>
    <row r="29" ht="33.75" customHeight="1" s="69">
      <c r="A29" s="85" t="inlineStr">
        <is>
          <t>gpu_rack_kw</t>
        </is>
      </c>
      <c r="B29" s="74" t="inlineStr">
        <is>
          <t>GB200 NVL72 rack power draw</t>
        </is>
      </c>
      <c r="C29" s="124" t="n">
        <v>130</v>
      </c>
      <c r="D29" s="85" t="inlineStr">
        <is>
          <t>kW/rack</t>
        </is>
      </c>
      <c r="E29" s="85" t="inlineStr">
        <is>
          <t>VERIFIED</t>
        </is>
      </c>
      <c r="F29" s="71" t="inlineStr">
        <is>
          <t>datacentre-capex-10 — AI rack power density vs traditional, and the structural consequence</t>
        </is>
      </c>
      <c r="G29" s="71" t="inlineStr">
        <is>
          <t>120 kW nominal, 130-132 kW observed, ~192 kW peak design.</t>
        </is>
      </c>
    </row>
    <row r="30" ht="33.75" customHeight="1" s="69">
      <c r="A30" s="85" t="inlineStr">
        <is>
          <t>it_fitout_usd_mw</t>
        </is>
      </c>
      <c r="B30" s="74" t="inlineStr">
        <is>
          <t>AI tenant technology fit-out</t>
        </is>
      </c>
      <c r="C30" s="125" t="n">
        <v>25000000</v>
      </c>
      <c r="D30" s="85" t="inlineStr">
        <is>
          <t>USD/MW</t>
        </is>
      </c>
      <c r="E30" s="85" t="inlineStr">
        <is>
          <t>VERIFIED</t>
        </is>
      </c>
      <c r="F30" s="71" t="inlineStr">
        <is>
          <t>datacentre-capex-22 — AI tenant technology fit-out cost per MW (JLL)</t>
        </is>
      </c>
      <c r="G30" s="71" t="inlineStr">
        <is>
          <t>JLL 'up to' figure - a ceiling, not a mid. Tenant-paid in colo.</t>
        </is>
      </c>
    </row>
    <row r="31" ht="33.75" customHeight="1" s="69">
      <c r="A31" s="85" t="inlineStr">
        <is>
          <t>rev_colo_usd_kw_month</t>
        </is>
      </c>
      <c r="B31" s="74" t="inlineStr">
        <is>
          <t>Colocation asking rate, 10MW+ requirement</t>
        </is>
      </c>
      <c r="C31" s="124" t="n">
        <v>172.5</v>
      </c>
      <c r="D31" s="85" t="inlineStr">
        <is>
          <t>USD/kW/month</t>
        </is>
      </c>
      <c r="E31" s="85" t="inlineStr">
        <is>
          <t>VERIFIED-ESTIMATE</t>
        </is>
      </c>
      <c r="F31" s="71" t="inlineStr">
        <is>
          <t>compute-economics-10 — Colocation asking rates for large (10 MW+) requirements — the tier a hyperscale or AI-lab anchor tenant would actually contract at.</t>
        </is>
      </c>
      <c r="G31" s="71" t="inlineStr">
        <is>
          <t>USD 160-185/kW/month US primary markets; midpoint.</t>
        </is>
      </c>
    </row>
    <row r="32" ht="33.75" customHeight="1" s="69">
      <c r="A32" s="85" t="inlineStr">
        <is>
          <t>rev_colo_sydney_usd_kw_month</t>
        </is>
      </c>
      <c r="B32" s="74" t="inlineStr">
        <is>
          <t>Sydney colocation asking rate</t>
        </is>
      </c>
      <c r="C32" s="124" t="n">
        <v>188</v>
      </c>
      <c r="D32" s="85" t="inlineStr">
        <is>
          <t>USD/kW/month</t>
        </is>
      </c>
      <c r="E32" s="85" t="inlineStr">
        <is>
          <t>VERIFIED-ESTIMATE</t>
        </is>
      </c>
      <c r="F32" s="71" t="inlineStr">
        <is>
          <t>compute-economics-12 — Asia-Pacific colocation asking rates including Sydney, the nearest comparable market to an Australian Archegon site.</t>
        </is>
      </c>
      <c r="G32" s="71" t="inlineStr">
        <is>
          <t>250-500 kW requirement; nearest comparable market to AU.</t>
        </is>
      </c>
    </row>
    <row r="33" ht="33.75" customHeight="1" s="69">
      <c r="A33" s="85" t="inlineStr">
        <is>
          <t>rev_anchor_lease_usd_mw_yr</t>
        </is>
      </c>
      <c r="B33" s="74" t="inlineStr">
        <is>
          <t>Anchor lease revenue (TeraWulf hosting lease, 20yr)</t>
        </is>
      </c>
      <c r="C33" s="125" t="n">
        <v>2370000</v>
      </c>
      <c r="D33" s="85" t="inlineStr">
        <is>
          <t>USD/MW/yr</t>
        </is>
      </c>
      <c r="E33" s="85" t="inlineStr">
        <is>
          <t>DERIVED</t>
        </is>
      </c>
      <c r="F33" s="71" t="inlineStr">
        <is>
          <t>compute-economics-14 — Implied revenue per MW per year under the TeraWulf hosting lease 20-year lease.</t>
        </is>
      </c>
      <c r="G33" s="71" t="inlineStr">
        <is>
          <t>USD 19bn / 401 MW / 20 years.</t>
        </is>
      </c>
    </row>
    <row r="34" ht="33.75" customHeight="1" s="69">
      <c r="A34" s="85" t="inlineStr">
        <is>
          <t>rev_anchor_lease_alt_usd_mw_yr</t>
        </is>
      </c>
      <c r="B34" s="74" t="inlineStr">
        <is>
          <t>Anchor lease revenue (Applied Digital/CoreWeave, 15yr)</t>
        </is>
      </c>
      <c r="C34" s="125" t="n">
        <v>1830000</v>
      </c>
      <c r="D34" s="85" t="inlineStr">
        <is>
          <t>USD/MW/yr</t>
        </is>
      </c>
      <c r="E34" s="85" t="inlineStr">
        <is>
          <t>VERIFIED-ESTIMATE</t>
        </is>
      </c>
      <c r="F34" s="71" t="inlineStr">
        <is>
          <t>compute-economics-15 — Applied Digital's 15-year leases with CoreWeave — a second independent data point on anchor-lease revenue per MW.</t>
        </is>
      </c>
      <c r="G34" s="71" t="inlineStr">
        <is>
          <t>USD 11bn / 400 MW / 15 years. Second independent point.</t>
        </is>
      </c>
    </row>
    <row r="35" ht="33.75" customHeight="1" s="69">
      <c r="A35" s="85" t="inlineStr">
        <is>
          <t>rev_power_only_usd_mw_yr</t>
        </is>
      </c>
      <c r="B35" s="74" t="inlineStr">
        <is>
          <t>Power-only / wholesale colo revenue</t>
        </is>
      </c>
      <c r="C35" s="125" t="n">
        <v>2070000</v>
      </c>
      <c r="D35" s="85" t="inlineStr">
        <is>
          <t>USD/MW/yr</t>
        </is>
      </c>
      <c r="E35" s="85" t="inlineStr">
        <is>
          <t>DERIVED</t>
        </is>
      </c>
      <c r="F35" s="71" t="inlineStr">
        <is>
          <t>compute-economics-11 — Power-only / wholesale colocation revenue per MW per year, derived from the 10MW+ colocation rate.</t>
        </is>
      </c>
      <c r="G35" s="71" t="inlineStr">
        <is>
          <t>DERIVED from the 10MW+ colo rate midpoint.</t>
        </is>
      </c>
    </row>
    <row r="36" ht="33.75" customHeight="1" s="69">
      <c r="A36" s="85" t="inlineStr">
        <is>
          <t>px_nem_aud_mwh</t>
        </is>
      </c>
      <c r="B36" s="74" t="inlineStr">
        <is>
          <t>NEM average wholesale spot price</t>
        </is>
      </c>
      <c r="C36" s="124" t="n">
        <v>73</v>
      </c>
      <c r="D36" s="85" t="inlineStr">
        <is>
          <t>AUD/MWh</t>
        </is>
      </c>
      <c r="E36" s="85" t="inlineStr">
        <is>
          <t>VERIFIED</t>
        </is>
      </c>
      <c r="F36" s="71" t="inlineStr">
        <is>
          <t>compute-economics-18 — NEM average wholesale electricity spot price, Australia — the grid price a behind-the-meter Australian geothermal supply must beat.</t>
        </is>
      </c>
      <c r="G36" s="71" t="inlineStr">
        <is>
          <t>Q1 2026. SA specifically AUD 88/MWh.</t>
        </is>
      </c>
    </row>
    <row r="37" ht="33.75" customHeight="1" s="69">
      <c r="A37" s="85" t="inlineStr">
        <is>
          <t>px_nz_nzd_mwh</t>
        </is>
      </c>
      <c r="B37" s="74" t="inlineStr">
        <is>
          <t>NZ wholesale spot, weekly average</t>
        </is>
      </c>
      <c r="C37" s="124" t="n">
        <v>105</v>
      </c>
      <c r="D37" s="85" t="inlineStr">
        <is>
          <t>NZD/MWh</t>
        </is>
      </c>
      <c r="E37" s="85" t="inlineStr">
        <is>
          <t>VERIFIED-ESTIMATE</t>
        </is>
      </c>
      <c r="F37" s="71" t="inlineStr">
        <is>
          <t>compute-economics-20 — New Zealand wholesale electricity spot prices — the grid price a behind-the-meter NZ geothermal supply must beat.</t>
        </is>
      </c>
      <c r="G37" s="71" t="inlineStr">
        <is>
          <t>17-23 May 2026; 95% of prices in NZD 19-182/MWh.</t>
        </is>
      </c>
    </row>
    <row r="38" ht="33.75" customHeight="1" s="69">
      <c r="A38" s="85" t="inlineStr">
        <is>
          <t>energy_share_tco</t>
        </is>
      </c>
      <c r="B38" s="74" t="inlineStr">
        <is>
          <t>Energy as a share of AI data centre TCO</t>
        </is>
      </c>
      <c r="C38" s="124" t="n">
        <v>0.07000000000000001</v>
      </c>
      <c r="D38" s="85" t="inlineStr">
        <is>
          <t>%</t>
        </is>
      </c>
      <c r="E38" s="85" t="inlineStr">
        <is>
          <t>DERIVED</t>
        </is>
      </c>
      <c r="F38" s="71" t="inlineStr">
        <is>
          <t>compute-economics-03 — Energy is a small share of AI data centre TCO under grid pricing — which structurally caps how much value a cheap-power thesis can create if the operator owns the GPUs.</t>
        </is>
      </c>
      <c r="G38" s="71" t="inlineStr">
        <is>
          <t>USD 594m of USD 8,514m annualised. Caps the value of cheap power.</t>
        </is>
      </c>
    </row>
    <row r="39" ht="33.75" customHeight="1" s="69">
      <c r="A39" s="85" t="inlineStr">
        <is>
          <t>au_rtn_min_months</t>
        </is>
      </c>
      <c r="B39" s="74" t="inlineStr">
        <is>
          <t>Federal right-to-negotiate statutory minimum</t>
        </is>
      </c>
      <c r="C39" s="124" t="n">
        <v>6</v>
      </c>
      <c r="D39" s="85" t="inlineStr">
        <is>
          <t>months</t>
        </is>
      </c>
      <c r="E39" s="85" t="inlineStr">
        <is>
          <t>VERIFIED</t>
        </is>
      </c>
      <c r="F39" s="71" t="inlineStr">
        <is>
          <t>legals-02 — The federal Right to Negotiate arbitration floor under NTA s35(1)(a) is SIX months; a separate federal 4-month expedited-procedure window also exists — both are scenario branches, and whether Subdivision P applies to geothermal is unresolved</t>
        </is>
      </c>
      <c r="G39" s="71" t="inlineStr">
        <is>
          <t>NTA s35(1)(a). A floor on when arbitration may start, NOT a forecast of agreement. The 4-month figure in circulation is SA Mining Act and does not apply.</t>
        </is>
      </c>
    </row>
    <row r="40" ht="33.75" customHeight="1" s="69">
      <c r="A40" s="85" t="inlineStr">
        <is>
          <t>au_native_title_cost</t>
        </is>
      </c>
      <c r="B40" s="74" t="inlineStr">
        <is>
          <t>Native title agreement - negotiation and instrument</t>
        </is>
      </c>
      <c r="C40" s="124" t="n">
        <v>0</v>
      </c>
      <c r="D40" s="85" t="inlineStr">
        <is>
          <t>AUD</t>
        </is>
      </c>
      <c r="E40" s="126" t="inlineStr">
        <is>
          <t>RATE_MISSING</t>
        </is>
      </c>
      <c r="F40" s="71" t="inlineStr">
        <is>
          <t>legals-08 — No published timeline and no published cost exists for concluding a South Australian native title agreement</t>
        </is>
      </c>
      <c r="G40" s="71" t="inlineStr">
        <is>
          <t>RATE_MISSING. No published cost exists for an SA petroleum/geothermal native title agreement. Requires a quote from SA native title counsel.</t>
        </is>
      </c>
    </row>
    <row r="41" ht="33.75" customHeight="1" s="69">
      <c r="A41" s="85" t="inlineStr">
        <is>
          <t>au_heritage_survey_cost</t>
        </is>
      </c>
      <c r="B41" s="74" t="inlineStr">
        <is>
          <t>Aboriginal heritage clearance survey</t>
        </is>
      </c>
      <c r="C41" s="124" t="n">
        <v>0</v>
      </c>
      <c r="D41" s="85" t="inlineStr">
        <is>
          <t>AUD</t>
        </is>
      </c>
      <c r="E41" s="126" t="inlineStr">
        <is>
          <t>RATE_MISSING</t>
        </is>
      </c>
      <c r="F41" s="71" t="inlineStr">
        <is>
          <t>legals-11 — The legals cost block for the Australian route decomposes into five identifiable workstreams</t>
        </is>
      </c>
      <c r="G41" s="71" t="inlineStr">
        <is>
          <t>RATE_MISSING. Aboriginal Heritage Act 1988 (SA) - a SEPARATE statute and cost from native title. Scales with disturbed area, not negotiation.</t>
        </is>
      </c>
    </row>
    <row r="42" ht="33.75" customHeight="1" s="69">
      <c r="A42" s="85" t="inlineStr">
        <is>
          <t>au_tenement_legal_cost</t>
        </is>
      </c>
      <c r="B42" s="74" t="inlineStr">
        <is>
          <t>Tenement application and grant, Energy Resources Act 2000 (SA)</t>
        </is>
      </c>
      <c r="C42" s="124" t="n">
        <v>0</v>
      </c>
      <c r="D42" s="85" t="inlineStr">
        <is>
          <t>AUD</t>
        </is>
      </c>
      <c r="E42" s="126" t="inlineStr">
        <is>
          <t>RATE_MISSING</t>
        </is>
      </c>
      <c r="F42" s="71" t="inlineStr">
        <is>
          <t>legals-11 — The legals cost block for the Australian route decomposes into five identifiable workstreams</t>
        </is>
      </c>
      <c r="G42" s="71" t="inlineStr">
        <is>
          <t>RATE_MISSING. Licence application, environmental approval and any EPBC referral. Not yet quoted.</t>
        </is>
      </c>
    </row>
    <row r="43" ht="33.75" customHeight="1" s="69">
      <c r="A43" s="85" t="inlineStr">
        <is>
          <t>nz_consenting_cost</t>
        </is>
      </c>
      <c r="B43" s="74" t="inlineStr">
        <is>
          <t>NZ resource consenting package</t>
        </is>
      </c>
      <c r="C43" s="124" t="n">
        <v>0</v>
      </c>
      <c r="D43" s="85" t="inlineStr">
        <is>
          <t>NZD</t>
        </is>
      </c>
      <c r="E43" s="126" t="inlineStr">
        <is>
          <t>RATE_MISSING</t>
        </is>
      </c>
      <c r="F43" s="71" t="inlineStr">
        <is>
          <t>legals-11 — The legals cost block for the Australian route decomposes into five identifiable workstreams</t>
        </is>
      </c>
      <c r="G43" s="71" t="inlineStr">
        <is>
          <t>RATE_MISSING. RMA consents plus iwi/hapu engagement. The NZ counterpart block; quantum not established in the evidence base.</t>
        </is>
      </c>
    </row>
    <row r="44" ht="33.75" customHeight="1" s="69">
      <c r="A44" s="85" t="inlineStr">
        <is>
          <t>au_well_replacement_provision</t>
        </is>
      </c>
      <c r="B44" s="74" t="inlineStr">
        <is>
          <t>AU make-up / well replacement provision</t>
        </is>
      </c>
      <c r="C44" s="127" t="n">
        <v>0</v>
      </c>
      <c r="D44" s="85" t="inlineStr">
        <is>
          <t>AUD/yr</t>
        </is>
      </c>
      <c r="E44" s="126" t="inlineStr">
        <is>
          <t>RATE_MISSING</t>
        </is>
      </c>
      <c r="F44" s="71" t="inlineStr">
        <is>
          <t>NO FINDING — gap raised in model review. geothermal-capex-18 explicitly excludes well replacement and no substitute finding exists.</t>
        </is>
      </c>
      <c r="G44" s="71" t="inlineStr">
        <is>
          <t>RATE_MISSING. The AU route owns the reservoir and therefore owns make-up drilling. NZ's opex rate already includes it; AU's does not. Not comparable until quoted.</t>
        </is>
      </c>
    </row>
    <row r="45" ht="33.75" customHeight="1" s="69">
      <c r="A45" s="85" t="inlineStr">
        <is>
          <t>dc_opex_usd_mw_yr</t>
        </is>
      </c>
      <c r="B45" s="74" t="inlineStr">
        <is>
          <t>Data centre non-energy opex (maintenance, insurance, security, connectivity, rates)</t>
        </is>
      </c>
      <c r="C45" s="127" t="n">
        <v>0</v>
      </c>
      <c r="D45" s="85" t="inlineStr">
        <is>
          <t>USD/MW/yr</t>
        </is>
      </c>
      <c r="E45" s="126" t="inlineStr">
        <is>
          <t>RATE_MISSING</t>
        </is>
      </c>
      <c r="F45" s="71" t="inlineStr">
        <is>
          <t>NO FINDING — gap raised in model review. The evidence base carries data centre capex benchmarks only.</t>
        </is>
      </c>
      <c r="G45" s="71" t="inlineStr">
        <is>
          <t>RATE_MISSING. Applies to both routes. Ships at zero, so contribution is overstated by exactly this amount.</t>
        </is>
      </c>
    </row>
    <row r="46"/>
    <row r="47" ht="15.75" customHeight="1" s="69">
      <c r="A47" s="77" t="inlineStr">
        <is>
          <t>Status tally</t>
        </is>
      </c>
    </row>
    <row r="48" ht="13.5" customHeight="1" s="69">
      <c r="A48" s="74" t="inlineStr">
        <is>
          <t>DERIVED</t>
        </is>
      </c>
      <c r="B48" s="74">
        <f>COUNTIF($E$6:$E$45,$A48)</f>
        <v/>
      </c>
    </row>
    <row r="49" ht="13.5" customHeight="1" s="69">
      <c r="A49" s="74" t="inlineStr">
        <is>
          <t>INDICATIVE</t>
        </is>
      </c>
      <c r="B49" s="74">
        <f>COUNTIF($E$6:$E$45,$A49)</f>
        <v/>
      </c>
    </row>
    <row r="50" ht="13.5" customHeight="1" s="69">
      <c r="A50" s="74" t="inlineStr">
        <is>
          <t>RATE_MISSING</t>
        </is>
      </c>
      <c r="B50" s="74">
        <f>COUNTIF($E$6:$E$45,$A50)</f>
        <v/>
      </c>
    </row>
    <row r="51" ht="13.5" customHeight="1" s="69">
      <c r="A51" s="74" t="inlineStr">
        <is>
          <t>VERIFIED</t>
        </is>
      </c>
      <c r="B51" s="74">
        <f>COUNTIF($E$6:$E$45,$A51)</f>
        <v/>
      </c>
    </row>
    <row r="52" ht="13.5" customHeight="1" s="69">
      <c r="A52" s="74" t="inlineStr">
        <is>
          <t>VERIFIED-ESTIMATE</t>
        </is>
      </c>
      <c r="B52" s="74">
        <f>COUNTIF($E$6:$E$45,$A52)</f>
        <v/>
      </c>
    </row>
  </sheetData>
  <mergeCells count="2">
    <mergeCell ref="A3:G3"/>
    <mergeCell ref="A1:G1"/>
  </mergeCells>
  <printOptions horizontalCentered="0" verticalCentered="0" headings="0" gridLines="0" gridLinesSet="1"/>
  <pageMargins left="0.75" right="0.75" top="1" bottom="1" header="0.5" footer="0.5"/>
  <pageSetup orientation="landscape" paperSize="9" scale="100" fitToHeight="0" fitToWidth="1" pageOrder="downThenOver" blackAndWhite="0" draft="0" horizontalDpi="300" verticalDpi="300" copies="1"/>
  <headerFooter differentOddEven="0" differentFirst="0">
    <oddHeader>&amp;LArchegon Capital&amp;Rarchegon.com</oddHeader>
    <oddFooter>&amp;LDraft for discussion · not an offer · not a priced round&amp;RTraceability</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0"/>
  </sheetPr>
  <dimension ref="A1:H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171875" defaultRowHeight="15" customHeight="1" zeroHeight="0" outlineLevelRow="0"/>
  <cols>
    <col width="7" customWidth="1" style="68" min="1" max="1"/>
    <col width="40" customWidth="1" style="68" min="2" max="2"/>
    <col width="13" customWidth="1" style="68" min="3" max="4"/>
    <col width="20" customWidth="1" style="68" min="5" max="5"/>
    <col width="14" customWidth="1" style="68" min="6" max="6"/>
    <col width="18" customWidth="1" style="68" min="7" max="7"/>
    <col width="24" customWidth="1" style="68" min="8" max="8"/>
  </cols>
  <sheetData>
    <row r="1" ht="19.7" customHeight="1" s="69">
      <c r="A1" s="128" t="inlineStr">
        <is>
          <t>ARCHEGON CAPITAL  ·  DECK CHECK: every model-derived figure on the master deck, against the live model</t>
        </is>
      </c>
      <c r="B1" s="129" t="n"/>
      <c r="C1" s="129" t="n"/>
      <c r="D1" s="129" t="n"/>
      <c r="E1" s="129" t="n"/>
      <c r="F1" s="129" t="n"/>
      <c r="G1" s="129" t="n"/>
      <c r="H1" s="129" t="n"/>
    </row>
    <row r="2"/>
    <row r="3" ht="43.5" customHeight="1" s="69">
      <c r="A3" s="71" t="inlineStr">
        <is>
          <t>Deck v1 (23 Sep 2026) was built from the model with PUE = 1.00. Setting Control!B17 to 1.00 and recalculating reproduces every v1 figure exactly (column E). Deck v2 shows the model at PUE 1.25 (column D). Column G turns FALSE if a Control change moves the model away from what deck v2 displays.</t>
        </is>
      </c>
    </row>
    <row r="4"/>
    <row r="5" ht="35.05" customHeight="1" s="69">
      <c r="A5" s="130" t="inlineStr">
        <is>
          <t>Slide</t>
        </is>
      </c>
      <c r="B5" s="130" t="inlineStr">
        <is>
          <t>Figure</t>
        </is>
      </c>
      <c r="C5" s="130" t="inlineStr">
        <is>
          <t>Deck v1 shows</t>
        </is>
      </c>
      <c r="D5" s="130" t="inlineStr">
        <is>
          <t>Deck v2 shows</t>
        </is>
      </c>
      <c r="E5" s="130" t="inlineStr">
        <is>
          <t>Model at PUE 1.00 (recalculated 10 Oct 2026)</t>
        </is>
      </c>
      <c r="F5" s="130" t="inlineStr">
        <is>
          <t>Live model value</t>
        </is>
      </c>
      <c r="G5" s="130" t="inlineStr">
        <is>
          <t>Deck v2 = live? (to displayed precision)</t>
        </is>
      </c>
      <c r="H5" s="130" t="inlineStr">
        <is>
          <t>Model cell</t>
        </is>
      </c>
    </row>
    <row r="6" ht="15" customHeight="1" s="69">
      <c r="A6" s="131" t="n">
        <v>12</v>
      </c>
      <c r="B6" s="131" t="inlineStr">
        <is>
          <t>Net nameplate MW (plant fence)</t>
        </is>
      </c>
      <c r="C6" s="132" t="n">
        <v>5.56</v>
      </c>
      <c r="D6" s="132" t="n">
        <v>6.94</v>
      </c>
      <c r="E6" s="132" t="n">
        <v>5.5556</v>
      </c>
      <c r="F6" s="132">
        <f>'AU-Route'!B7</f>
        <v/>
      </c>
      <c r="G6" s="131">
        <f>ROUND(F6,2)=ROUND(D6,2)</f>
        <v/>
      </c>
      <c r="H6" s="131" t="inlineStr">
        <is>
          <t>AU-Route!B7</t>
        </is>
      </c>
    </row>
    <row r="7" ht="15" customHeight="1" s="69">
      <c r="A7" s="131" t="n">
        <v>12</v>
      </c>
      <c r="B7" s="131" t="inlineStr">
        <is>
          <t>Total wells</t>
        </is>
      </c>
      <c r="C7" s="133" t="n">
        <v>4</v>
      </c>
      <c r="D7" s="133" t="n">
        <v>4</v>
      </c>
      <c r="E7" s="133" t="n">
        <v>4</v>
      </c>
      <c r="F7" s="133">
        <f>'AU-Route'!B10</f>
        <v/>
      </c>
      <c r="G7" s="131">
        <f>ROUND(F7,0)=ROUND(D7,0)</f>
        <v/>
      </c>
      <c r="H7" s="131" t="inlineStr">
        <is>
          <t>AU-Route!B10</t>
        </is>
      </c>
    </row>
    <row r="8" ht="15" customHeight="1" s="69">
      <c r="A8" s="131" t="n">
        <v>12</v>
      </c>
      <c r="B8" s="131" t="inlineStr">
        <is>
          <t>AU infra (wells+mob+plant), A$m</t>
        </is>
      </c>
      <c r="C8" s="134" t="n">
        <v>100.9</v>
      </c>
      <c r="D8" s="134" t="n">
        <v>108.6</v>
      </c>
      <c r="E8" s="134" t="n">
        <v>100.9136</v>
      </c>
      <c r="F8" s="134">
        <f>'AU-Route'!B23/1000000</f>
        <v/>
      </c>
      <c r="G8" s="131">
        <f>ROUND(F8,1)=ROUND(D8,1)</f>
        <v/>
      </c>
      <c r="H8" s="131" t="inlineStr">
        <is>
          <t>AU-Route!B23</t>
        </is>
      </c>
    </row>
    <row r="9" ht="15" customHeight="1" s="69">
      <c r="A9" s="131" t="n">
        <v>12</v>
      </c>
      <c r="B9" s="131" t="inlineStr">
        <is>
          <t>AU compute, A$m</t>
        </is>
      </c>
      <c r="C9" s="134" t="n">
        <v>132.3</v>
      </c>
      <c r="D9" s="134" t="n">
        <v>132.3</v>
      </c>
      <c r="E9" s="134" t="n">
        <v>132.3364</v>
      </c>
      <c r="F9" s="134">
        <f>'AU-Route'!B31/1000000</f>
        <v/>
      </c>
      <c r="G9" s="131">
        <f>ROUND(F9,1)=ROUND(D9,1)</f>
        <v/>
      </c>
      <c r="H9" s="131" t="inlineStr">
        <is>
          <t>AU-Route!B31</t>
        </is>
      </c>
    </row>
    <row r="10" ht="15" customHeight="1" s="69">
      <c r="A10" s="131" t="n">
        <v>12</v>
      </c>
      <c r="B10" s="131" t="inlineStr">
        <is>
          <t>AU contingency, A$m (chart)</t>
        </is>
      </c>
      <c r="C10" s="134" t="n">
        <v>58.3</v>
      </c>
      <c r="D10" s="134" t="n">
        <v>60.2</v>
      </c>
      <c r="E10" s="134" t="n">
        <v>58.3125</v>
      </c>
      <c r="F10" s="134">
        <f>'AU-Route'!B42/1000000</f>
        <v/>
      </c>
      <c r="G10" s="131">
        <f>ROUND(F10,1)=ROUND(D10,1)</f>
        <v/>
      </c>
      <c r="H10" s="131" t="inlineStr">
        <is>
          <t>AU-Route!B42</t>
        </is>
      </c>
    </row>
    <row r="11" ht="15" customHeight="1" s="69">
      <c r="A11" s="131" t="n">
        <v>12</v>
      </c>
      <c r="B11" s="131" t="inlineStr">
        <is>
          <t>AU floor (total capex), A$m</t>
        </is>
      </c>
      <c r="C11" s="134" t="n">
        <v>291.6</v>
      </c>
      <c r="D11" s="134" t="n">
        <v>301.2</v>
      </c>
      <c r="E11" s="134" t="n">
        <v>291.5625</v>
      </c>
      <c r="F11" s="134">
        <f>'AU-Route'!B43/1000000</f>
        <v/>
      </c>
      <c r="G11" s="131">
        <f>ROUND(F11,1)=ROUND(D11,1)</f>
        <v/>
      </c>
      <c r="H11" s="131" t="inlineStr">
        <is>
          <t>AU-Route!B43</t>
        </is>
      </c>
    </row>
    <row r="12" ht="15" customHeight="1" s="69">
      <c r="A12" s="131" t="n">
        <v>12</v>
      </c>
      <c r="B12" s="131" t="inlineStr">
        <is>
          <t>NZ floor, A$m</t>
        </is>
      </c>
      <c r="C12" s="134" t="n">
        <v>127.3</v>
      </c>
      <c r="D12" s="134" t="n">
        <v>127.2</v>
      </c>
      <c r="E12" s="134" t="n">
        <v>127.2466</v>
      </c>
      <c r="F12" s="134">
        <f>Raise!B7/1000000</f>
        <v/>
      </c>
      <c r="G12" s="131">
        <f>ROUND(F12,1)=ROUND(D12,1)</f>
        <v/>
      </c>
      <c r="H12" s="131" t="inlineStr">
        <is>
          <t>Raise!B7</t>
        </is>
      </c>
    </row>
    <row r="13" ht="15" customHeight="1" s="69">
      <c r="A13" s="131" t="n">
        <v>12</v>
      </c>
      <c r="B13" s="131" t="inlineStr">
        <is>
          <t>NZ stack, NZ$m</t>
        </is>
      </c>
      <c r="C13" s="134" t="n">
        <v>157.3</v>
      </c>
      <c r="D13" s="134" t="n">
        <v>157.3</v>
      </c>
      <c r="E13" s="134" t="n">
        <v>157.3404</v>
      </c>
      <c r="F13" s="134">
        <f>'NZ-Route'!B38/1000000</f>
        <v/>
      </c>
      <c r="G13" s="131">
        <f>ROUND(F13,1)=ROUND(D13,1)</f>
        <v/>
      </c>
      <c r="H13" s="131" t="inlineStr">
        <is>
          <t>NZ-Route!B38</t>
        </is>
      </c>
    </row>
    <row r="14" ht="15" customHeight="1" s="69">
      <c r="A14" s="131" t="n">
        <v>12</v>
      </c>
      <c r="B14" s="131" t="inlineStr">
        <is>
          <t>NZ compute (chart), A$m</t>
        </is>
      </c>
      <c r="C14" s="134" t="n">
        <v>101.8</v>
      </c>
      <c r="D14" s="134" t="n">
        <v>101.8</v>
      </c>
      <c r="E14" s="134" t="n">
        <v>101.7976</v>
      </c>
      <c r="F14" s="134">
        <f>'NZ-Route'!B25/Rates!D5/1000000</f>
        <v/>
      </c>
      <c r="G14" s="131">
        <f>ROUND(F14,1)=ROUND(D14,1)</f>
        <v/>
      </c>
      <c r="H14" s="131" t="inlineStr">
        <is>
          <t>NZ-Route!B25</t>
        </is>
      </c>
    </row>
    <row r="15" ht="15" customHeight="1" s="69">
      <c r="A15" s="131" t="n">
        <v>12</v>
      </c>
      <c r="B15" s="131" t="inlineStr">
        <is>
          <t>NZ contingency (chart), A$m</t>
        </is>
      </c>
      <c r="C15" s="134" t="n">
        <v>25.5</v>
      </c>
      <c r="D15" s="134" t="n">
        <v>25.4</v>
      </c>
      <c r="E15" s="134" t="n">
        <v>25.4493</v>
      </c>
      <c r="F15" s="134">
        <f>'NZ-Route'!B37/Rates!D5/1000000</f>
        <v/>
      </c>
      <c r="G15" s="131">
        <f>ROUND(F15,1)=ROUND(D15,1)</f>
        <v/>
      </c>
      <c r="H15" s="131" t="inlineStr">
        <is>
          <t>NZ-Route!B37</t>
        </is>
      </c>
    </row>
    <row r="16" ht="15" customHeight="1" s="69">
      <c r="A16" s="131" t="n">
        <v>13</v>
      </c>
      <c r="B16" s="131" t="inlineStr">
        <is>
          <t>AU route capex, A$m</t>
        </is>
      </c>
      <c r="C16" s="134" t="n">
        <v>291.6</v>
      </c>
      <c r="D16" s="134" t="n">
        <v>301.2</v>
      </c>
      <c r="E16" s="134" t="n">
        <v>291.5625</v>
      </c>
      <c r="F16" s="134">
        <f>Raise!B8/1000000</f>
        <v/>
      </c>
      <c r="G16" s="131">
        <f>ROUND(F16,1)=ROUND(D16,1)</f>
        <v/>
      </c>
      <c r="H16" s="131" t="inlineStr">
        <is>
          <t>Raise!B8</t>
        </is>
      </c>
    </row>
    <row r="17" ht="15" customHeight="1" s="69">
      <c r="A17" s="131" t="n">
        <v>13</v>
      </c>
      <c r="B17" s="131" t="inlineStr">
        <is>
          <t>Runway, A$m</t>
        </is>
      </c>
      <c r="C17" s="134" t="n">
        <v>6</v>
      </c>
      <c r="D17" s="134" t="n">
        <v>6</v>
      </c>
      <c r="E17" s="134" t="n">
        <v>6</v>
      </c>
      <c r="F17" s="134">
        <f>Raise!B11/1000000</f>
        <v/>
      </c>
      <c r="G17" s="131">
        <f>ROUND(F17,1)=ROUND(D17,1)</f>
        <v/>
      </c>
      <c r="H17" s="131" t="inlineStr">
        <is>
          <t>Raise!B11</t>
        </is>
      </c>
    </row>
    <row r="18" ht="15" customHeight="1" s="69">
      <c r="A18" s="131" t="n">
        <v>13</v>
      </c>
      <c r="B18" s="131" t="inlineStr">
        <is>
          <t>Derived raise, A$m</t>
        </is>
      </c>
      <c r="C18" s="134" t="n">
        <v>297.6</v>
      </c>
      <c r="D18" s="134" t="n">
        <v>307.2</v>
      </c>
      <c r="E18" s="134" t="n">
        <v>297.5625</v>
      </c>
      <c r="F18" s="134">
        <f>Raise!B14/1000000</f>
        <v/>
      </c>
      <c r="G18" s="131">
        <f>ROUND(F18,1)=ROUND(D18,1)</f>
        <v/>
      </c>
      <c r="H18" s="131" t="inlineStr">
        <is>
          <t>Raise!B14</t>
        </is>
      </c>
    </row>
    <row r="19" ht="15" customHeight="1" s="69">
      <c r="A19" s="131" t="n">
        <v>13</v>
      </c>
      <c r="B19" s="131" t="inlineStr">
        <is>
          <t>Derived raise, US$m</t>
        </is>
      </c>
      <c r="C19" s="134" t="n">
        <v>211.9</v>
      </c>
      <c r="D19" s="134" t="n">
        <v>218.8</v>
      </c>
      <c r="E19" s="134" t="n">
        <v>211.924</v>
      </c>
      <c r="F19" s="134">
        <f>Raise!B15/1000000</f>
        <v/>
      </c>
      <c r="G19" s="131">
        <f>ROUND(F19,1)=ROUND(D19,1)</f>
        <v/>
      </c>
      <c r="H19" s="131" t="inlineStr">
        <is>
          <t>Raise!B15</t>
        </is>
      </c>
    </row>
    <row r="20" ht="15" customHeight="1" s="69">
      <c r="A20" s="131" t="n">
        <v>14</v>
      </c>
      <c r="B20" s="131" t="inlineStr">
        <is>
          <t>COLO revenue, A$m/yr</t>
        </is>
      </c>
      <c r="C20" s="134" t="n">
        <v>14.5</v>
      </c>
      <c r="D20" s="134" t="n">
        <v>14.5</v>
      </c>
      <c r="E20" s="134" t="n">
        <v>14.5324</v>
      </c>
      <c r="F20" s="134">
        <f>'Compute-Revenue'!B10/1000000</f>
        <v/>
      </c>
      <c r="G20" s="131">
        <f>ROUND(F20,1)=ROUND(D20,1)</f>
        <v/>
      </c>
      <c r="H20" s="131" t="inlineStr">
        <is>
          <t>Compute-Revenue!B10</t>
        </is>
      </c>
    </row>
    <row r="21" ht="15" customHeight="1" s="69">
      <c r="A21" s="131" t="n">
        <v>14</v>
      </c>
      <c r="B21" s="131" t="inlineStr">
        <is>
          <t>ANCHOR revenue, A$m/yr</t>
        </is>
      </c>
      <c r="C21" s="134" t="n">
        <v>16.6</v>
      </c>
      <c r="D21" s="134" t="n">
        <v>16.6</v>
      </c>
      <c r="E21" s="134" t="n">
        <v>16.6386</v>
      </c>
      <c r="F21" s="134">
        <f>'Compute-Revenue'!B13/1000000</f>
        <v/>
      </c>
      <c r="G21" s="131">
        <f>ROUND(F21,1)=ROUND(D21,1)</f>
        <v/>
      </c>
      <c r="H21" s="131" t="inlineStr">
        <is>
          <t>Compute-Revenue!B13</t>
        </is>
      </c>
    </row>
    <row r="22" ht="15" customHeight="1" s="69">
      <c r="A22" s="131" t="n">
        <v>14</v>
      </c>
      <c r="B22" s="131" t="inlineStr">
        <is>
          <t>Opex (plant O&amp;M + team), A$m/yr</t>
        </is>
      </c>
      <c r="C22" s="134" t="n">
        <v>4.2</v>
      </c>
      <c r="D22" s="134" t="n">
        <v>4.5</v>
      </c>
      <c r="E22" s="134" t="n">
        <v>4.1748</v>
      </c>
      <c r="F22" s="134">
        <f>'Compute-Revenue'!B28/1000000</f>
        <v/>
      </c>
      <c r="G22" s="131">
        <f>ROUND(F22,1)=ROUND(D22,1)</f>
        <v/>
      </c>
      <c r="H22" s="131" t="inlineStr">
        <is>
          <t>Compute-Revenue!B28</t>
        </is>
      </c>
    </row>
    <row r="23" ht="15" customHeight="1" s="69">
      <c r="A23" s="131" t="n">
        <v>14</v>
      </c>
      <c r="B23" s="131" t="inlineStr">
        <is>
          <t>COLO contribution, A$m/yr</t>
        </is>
      </c>
      <c r="C23" s="134" t="n">
        <v>10.4</v>
      </c>
      <c r="D23" s="134" t="n">
        <v>10.1</v>
      </c>
      <c r="E23" s="134" t="n">
        <v>10.3577</v>
      </c>
      <c r="F23" s="134">
        <f>'Compute-Revenue'!B31/1000000</f>
        <v/>
      </c>
      <c r="G23" s="131">
        <f>ROUND(F23,1)=ROUND(D23,1)</f>
        <v/>
      </c>
      <c r="H23" s="131" t="inlineStr">
        <is>
          <t>Compute-Revenue!B31</t>
        </is>
      </c>
    </row>
    <row r="24"/>
    <row r="25" ht="15" customHeight="1" s="69">
      <c r="A25" s="85" t="inlineStr">
        <is>
          <t>NZ: v1 showed the NZ floor as A$127.3m and NZ contingency as A$25.5m. The model gives A$127.25m and A$25.45m, which round to A$127.2m and A$25.4m. v1 was a rounding error that does not depend on PUE, and v2 corrects it. Rounding note: slide 12 chart labels sum to A$301.1m (108.6 + 132.3 + 60.2) against a A$301.2m total. Each label is the model value rounded on its own. v1 had the same effect: its chart total read A$291.5m against a A$291.6m header. v2 stores unrounded values, so the chart total now reads A$301.2m.</t>
        </is>
      </c>
    </row>
    <row r="26" ht="15" customHeight="1" s="69">
      <c r="A26" s="85" t="inlineStr">
        <is>
          <t>Slide 14: A$14.5m − A$4.5m appears to give A$10.0m, but the model gives A$10.06m (14.532 − 4.468). The displayed values are each rounded to 0.1.</t>
        </is>
      </c>
    </row>
    <row r="27"/>
    <row r="28"/>
    <row r="29"/>
    <row r="30">
      <c r="A30" s="68" t="inlineStr">
        <is>
          <t>v3: deck slide numbers follow archegon-deck-v3.pptx; new slides 17-22 draw on Definitions, Flow-Basis, Power-Economics, Route-Compare, Firm-Power, Gated-Plan.</t>
        </is>
      </c>
    </row>
  </sheetData>
  <mergeCells count="1">
    <mergeCell ref="A3:H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46" customWidth="1" style="69" min="1" max="1"/>
    <col width="40" customWidth="1" style="69" min="2" max="2"/>
    <col width="22" customWidth="1" style="69" min="3" max="3"/>
    <col width="22" customWidth="1" style="69" min="4" max="4"/>
    <col width="22" customWidth="1" style="69" min="5" max="5"/>
    <col width="22" customWidth="1" style="69" min="6" max="6"/>
    <col width="22" customWidth="1" style="69" min="7" max="7"/>
    <col width="18" customWidth="1" style="69" min="8" max="8"/>
  </cols>
  <sheetData>
    <row r="1">
      <c r="A1" s="100" t="inlineStr">
        <is>
          <t>ARCHEGON  ·  FLOW BASIS: what flow per producer does 5 MWe NET need, and what has the Cooper Basin delivered?</t>
        </is>
      </c>
      <c r="B1" s="101" t="n"/>
      <c r="C1" s="101" t="n"/>
      <c r="D1" s="101" t="n"/>
      <c r="E1" s="101" t="n"/>
      <c r="F1" s="101" t="n"/>
      <c r="G1" s="101" t="n"/>
      <c r="H1" s="101" t="n"/>
    </row>
    <row r="2"/>
    <row r="3" ht="58" customHeight="1" s="69">
      <c r="A3" s="135" t="inlineStr">
        <is>
          <t>Method (ASSUMPTION, Archegon screening): net MW = flow x specific exergy of hot water x utilisation x (1 - parasitic). Specific exergy e = cp[(T-T0) - (T0+273.15) ln((T+273.15)/(T0+273.15))]. This is a screening calculation, NOT a reservoir forecast. It does not replace a reservoir engineer's sustainable rate, temperature and injectivity case, which the founder must supply (status: NEEDS DATA).</t>
        </is>
      </c>
    </row>
    <row r="4"/>
    <row r="5">
      <c r="A5" s="136" t="inlineStr">
        <is>
          <t>Inputs (linked to Rates)</t>
        </is>
      </c>
      <c r="B5" s="137" t="n"/>
      <c r="C5" s="137" t="n"/>
      <c r="D5" s="137" t="n"/>
      <c r="E5" s="137" t="n"/>
      <c r="F5" s="137" t="n"/>
      <c r="G5" s="137" t="n"/>
      <c r="H5" s="137" t="n"/>
    </row>
    <row r="6">
      <c r="A6" s="113" t="inlineStr">
        <is>
          <t>cp (kJ/kg.K)</t>
        </is>
      </c>
      <c r="B6" s="138">
        <f>Rates!$D$66</f>
        <v/>
      </c>
      <c r="C6" s="87" t="inlineStr"/>
    </row>
    <row r="7">
      <c r="A7" s="113" t="inlineStr">
        <is>
          <t>Dead state T0 (degC)</t>
        </is>
      </c>
      <c r="B7" s="139">
        <f>Rates!$D$67</f>
        <v/>
      </c>
      <c r="C7" s="87" t="inlineStr"/>
    </row>
    <row r="8">
      <c r="A8" s="113" t="inlineStr">
        <is>
          <t>Utilisation low</t>
        </is>
      </c>
      <c r="B8" s="140">
        <f>Rates!$D$68</f>
        <v/>
      </c>
      <c r="C8" s="87" t="inlineStr"/>
    </row>
    <row r="9">
      <c r="A9" s="113" t="inlineStr">
        <is>
          <t>Utilisation high</t>
        </is>
      </c>
      <c r="B9" s="140">
        <f>Rates!$D$69</f>
        <v/>
      </c>
      <c r="C9" s="87" t="inlineStr"/>
    </row>
    <row r="10">
      <c r="A10" s="113" t="inlineStr">
        <is>
          <t>Parasitic low (EIA)</t>
        </is>
      </c>
      <c r="B10" s="141">
        <f>Rates!$D$62</f>
        <v/>
      </c>
      <c r="C10" s="87" t="inlineStr"/>
    </row>
    <row r="11">
      <c r="A11" s="113" t="inlineStr">
        <is>
          <t>Parasitic high (EGS stress, GeoExpro-derived)</t>
        </is>
      </c>
      <c r="B11" s="141">
        <f>Rates!$D$65</f>
        <v/>
      </c>
      <c r="C11" s="87" t="inlineStr"/>
    </row>
    <row r="12">
      <c r="A12" s="113" t="inlineStr">
        <is>
          <t>Target NET MWe per producer (scenario)</t>
        </is>
      </c>
      <c r="B12" s="138">
        <f>'AU-Route'!$B$6</f>
        <v/>
      </c>
      <c r="C12" s="87" t="inlineStr"/>
    </row>
    <row r="13"/>
    <row r="14">
      <c r="A14" s="136" t="inlineStr">
        <is>
          <t>A. Flow needed per producer for the target NET MWe</t>
        </is>
      </c>
      <c r="B14" s="137" t="n"/>
      <c r="C14" s="137" t="n"/>
      <c r="D14" s="137" t="n"/>
      <c r="E14" s="137" t="n"/>
      <c r="F14" s="137" t="n"/>
      <c r="G14" s="137" t="n"/>
      <c r="H14" s="137" t="n"/>
    </row>
    <row r="15" ht="44" customHeight="1" s="69">
      <c r="A15" s="142" t="inlineStr">
        <is>
          <t>Production temperature (degC)</t>
        </is>
      </c>
      <c r="B15" s="142" t="inlineStr">
        <is>
          <t>Specific exergy (kJ/kg)</t>
        </is>
      </c>
      <c r="C15" s="142" t="inlineStr">
        <is>
          <t>Flow needed, optimistic (kg/s): util high, parasitic low</t>
        </is>
      </c>
      <c r="D15" s="142" t="inlineStr">
        <is>
          <t>Flow needed, conservative (kg/s): util low, parasitic high</t>
        </is>
      </c>
      <c r="E15" s="142" t="inlineStr">
        <is>
          <t>Reference</t>
        </is>
      </c>
    </row>
    <row r="16">
      <c r="A16" s="68">
        <f>Rates!$D$58</f>
        <v/>
      </c>
      <c r="B16" s="143">
        <f>$B$6*((A16)-$B$7-($B$7+273.15)*LN(((A16)+273.15)/($B$7+273.15)))</f>
        <v/>
      </c>
      <c r="C16" s="144">
        <f>$B$12*1000/(B16*$B$9*(1-$B$10))</f>
        <v/>
      </c>
      <c r="D16" s="144">
        <f>$B$12*1000/(B16*$B$8*(1-$B$11))</f>
        <v/>
      </c>
      <c r="E16" s="87" t="inlineStr">
        <is>
          <t>Fervo Project Red</t>
        </is>
      </c>
    </row>
    <row r="17">
      <c r="A17" s="68" t="n">
        <v>200</v>
      </c>
      <c r="B17" s="143">
        <f>$B$6*((A17)-$B$7-($B$7+273.15)*LN(((A17)+273.15)/($B$7+273.15)))</f>
        <v/>
      </c>
      <c r="C17" s="144">
        <f>$B$12*1000/(B17*$B$9*(1-$B$10))</f>
        <v/>
      </c>
      <c r="D17" s="144">
        <f>$B$12*1000/(B17*$B$8*(1-$B$11))</f>
        <v/>
      </c>
      <c r="E17" s="87" t="inlineStr">
        <is>
          <t>Habanero earlier trial (~200 degC)</t>
        </is>
      </c>
    </row>
    <row r="18">
      <c r="A18" s="68">
        <f>Rates!$D$55</f>
        <v/>
      </c>
      <c r="B18" s="143">
        <f>$B$6*((A18)-$B$7-($B$7+273.15)*LN(((A18)+273.15)/($B$7+273.15)))</f>
        <v/>
      </c>
      <c r="C18" s="144">
        <f>$B$12*1000/(B18*$B$9*(1-$B$10))</f>
        <v/>
      </c>
      <c r="D18" s="144">
        <f>$B$12*1000/(B18*$B$8*(1-$B$11))</f>
        <v/>
      </c>
      <c r="E18" s="87" t="inlineStr">
        <is>
          <t>Habanero 4 wellhead, 2013</t>
        </is>
      </c>
    </row>
    <row r="19">
      <c r="A19" s="68" t="n">
        <v>220</v>
      </c>
      <c r="B19" s="143">
        <f>$B$6*((A19)-$B$7-($B$7+273.15)*LN(((A19)+273.15)/($B$7+273.15)))</f>
        <v/>
      </c>
      <c r="C19" s="144">
        <f>$B$12*1000/(B19*$B$9*(1-$B$10))</f>
        <v/>
      </c>
      <c r="D19" s="144">
        <f>$B$12*1000/(B19*$B$8*(1-$B$11))</f>
        <v/>
      </c>
      <c r="E19" s="87" t="inlineStr"/>
    </row>
    <row r="20">
      <c r="A20" s="68" t="n">
        <v>240</v>
      </c>
      <c r="B20" s="143">
        <f>$B$6*((A20)-$B$7-($B$7+273.15)*LN(((A20)+273.15)/($B$7+273.15)))</f>
        <v/>
      </c>
      <c r="C20" s="144">
        <f>$B$12*1000/(B20*$B$9*(1-$B$10))</f>
        <v/>
      </c>
      <c r="D20" s="144">
        <f>$B$12*1000/(B20*$B$8*(1-$B$11))</f>
        <v/>
      </c>
      <c r="E20" s="87" t="inlineStr"/>
    </row>
    <row r="21"/>
    <row r="22">
      <c r="A22" s="136" t="inlineStr">
        <is>
          <t>B. What measured flows would deliver (NET MWe per producer, at Habanero 215 degC)</t>
        </is>
      </c>
      <c r="B22" s="137" t="n"/>
      <c r="C22" s="137" t="n"/>
      <c r="D22" s="137" t="n"/>
      <c r="E22" s="137" t="n"/>
      <c r="F22" s="137" t="n"/>
      <c r="G22" s="137" t="n"/>
      <c r="H22" s="137" t="n"/>
    </row>
    <row r="23">
      <c r="A23" s="102" t="inlineStr">
        <is>
          <t>Flow (kg/s)</t>
        </is>
      </c>
      <c r="B23" s="102" t="inlineStr">
        <is>
          <t>Source</t>
        </is>
      </c>
      <c r="C23" s="102" t="inlineStr">
        <is>
          <t>NET MWe, optimistic</t>
        </is>
      </c>
      <c r="D23" s="102" t="inlineStr">
        <is>
          <t>NET MWe, conservative</t>
        </is>
      </c>
      <c r="E23" s="102" t="inlineStr">
        <is>
          <t>vs target (conservative)</t>
        </is>
      </c>
    </row>
    <row r="24">
      <c r="A24" s="68">
        <f>Rates!$D$53</f>
        <v/>
      </c>
      <c r="B24" s="87" t="inlineStr">
        <is>
          <t>Habanero best sustained closed loop (INDICATIVE)</t>
        </is>
      </c>
      <c r="C24" s="123">
        <f>A24*$B$18*$B$9*(1-$B$10)/1000</f>
        <v/>
      </c>
      <c r="D24" s="123">
        <f>A24*$B$18*$B$8*(1-$B$11)/1000</f>
        <v/>
      </c>
      <c r="E24" s="145">
        <f>D24/$B$12</f>
        <v/>
      </c>
    </row>
    <row r="25">
      <c r="A25" s="68">
        <f>Rates!$D$54</f>
        <v/>
      </c>
      <c r="B25" s="87" t="inlineStr">
        <is>
          <t>Habanero 4 open flow (INDICATIVE)</t>
        </is>
      </c>
      <c r="C25" s="123">
        <f>A25*$B$18*$B$9*(1-$B$10)/1000</f>
        <v/>
      </c>
      <c r="D25" s="123">
        <f>A25*$B$18*$B$8*(1-$B$11)/1000</f>
        <v/>
      </c>
      <c r="E25" s="145">
        <f>D25/$B$12</f>
        <v/>
      </c>
    </row>
    <row r="26">
      <c r="A26" s="68">
        <f>Rates!$D$59</f>
        <v/>
      </c>
      <c r="B26" s="87" t="inlineStr">
        <is>
          <t>Fervo Red sustained average (INDICATIVE)</t>
        </is>
      </c>
      <c r="C26" s="123">
        <f>A26*$B$18*$B$9*(1-$B$10)/1000</f>
        <v/>
      </c>
      <c r="D26" s="123">
        <f>A26*$B$18*$B$8*(1-$B$11)/1000</f>
        <v/>
      </c>
      <c r="E26" s="145">
        <f>D26/$B$12</f>
        <v/>
      </c>
    </row>
    <row r="27">
      <c r="A27" s="68">
        <f>Rates!$D$56</f>
        <v/>
      </c>
      <c r="B27" s="87" t="inlineStr">
        <is>
          <t>Fervo Red peak (VERIFIED)</t>
        </is>
      </c>
      <c r="C27" s="123">
        <f>A27*$B$18*$B$9*(1-$B$10)/1000</f>
        <v/>
      </c>
      <c r="D27" s="123">
        <f>A27*$B$18*$B$8*(1-$B$11)/1000</f>
        <v/>
      </c>
      <c r="E27" s="145">
        <f>D27/$B$12</f>
        <v/>
      </c>
    </row>
    <row r="28">
      <c r="A28" s="68" t="n">
        <v>107</v>
      </c>
      <c r="B28" s="87" t="inlineStr">
        <is>
          <t>Fervo Cape 30-day max, Sep 2024</t>
        </is>
      </c>
      <c r="C28" s="123">
        <f>A28*$B$18*$B$9*(1-$B$10)/1000</f>
        <v/>
      </c>
      <c r="D28" s="123">
        <f>A28*$B$18*$B$8*(1-$B$11)/1000</f>
        <v/>
      </c>
      <c r="E28" s="145">
        <f>D28/$B$12</f>
        <v/>
      </c>
    </row>
    <row r="29"/>
    <row r="30">
      <c r="A30" s="136" t="inlineStr">
        <is>
          <t>C. Calibration and slide 5 reconciliation</t>
        </is>
      </c>
      <c r="B30" s="137" t="n"/>
      <c r="C30" s="137" t="n"/>
      <c r="D30" s="137" t="n"/>
      <c r="E30" s="137" t="n"/>
      <c r="F30" s="137" t="n"/>
      <c r="G30" s="137" t="n"/>
      <c r="H30" s="137" t="n"/>
    </row>
    <row r="31">
      <c r="A31" s="113" t="inlineStr">
        <is>
          <t>Project Red implied utilisation (3.5 MWe from 63 kg/s at 169 degC, treated as gross)</t>
        </is>
      </c>
      <c r="B31" s="140">
        <f>Rates!$D$57*1000/(Rates!$D$56*B16)</f>
        <v/>
      </c>
      <c r="C31" s="87" t="inlineStr">
        <is>
          <t>~50% = top of the range: consistent with a calculated, not metered, figure.</t>
        </is>
      </c>
    </row>
    <row r="32">
      <c r="A32" s="113" t="inlineStr">
        <is>
          <t>Fervo sustained: NET / GROSS</t>
        </is>
      </c>
      <c r="B32" s="140">
        <f>Rates!$D$61/Rates!$D$60</f>
        <v/>
      </c>
      <c r="C32" s="87" t="inlineStr">
        <is>
          <t>1.4 / 2.1: parasitic ~33% of gross.</t>
        </is>
      </c>
    </row>
    <row r="33">
      <c r="A33" s="113" t="inlineStr">
        <is>
          <t>Slide 5 step 1: Project Red PEAK (MWe)</t>
        </is>
      </c>
      <c r="B33" s="138">
        <f>Rates!$D$57</f>
        <v/>
      </c>
      <c r="C33" s="87" t="inlineStr">
        <is>
          <t>Peak</t>
        </is>
      </c>
    </row>
    <row r="34">
      <c r="A34" s="113" t="inlineStr">
        <is>
          <t>Slide 5 step 2: sustained GROSS (MW)</t>
        </is>
      </c>
      <c r="B34" s="138">
        <f>Rates!$D$60</f>
        <v/>
      </c>
      <c r="C34" s="87" t="inlineStr">
        <is>
          <t>Sustained average over 614+ days</t>
        </is>
      </c>
    </row>
    <row r="35">
      <c r="A35" s="113" t="inlineStr">
        <is>
          <t>Slide 5 step 3: parasitic (MW)</t>
        </is>
      </c>
      <c r="B35" s="138">
        <f>Rates!$D$60-Rates!$D$61</f>
        <v/>
      </c>
      <c r="C35" s="87" t="inlineStr"/>
    </row>
    <row r="36">
      <c r="A36" s="113" t="inlineStr">
        <is>
          <t>Slide 5 step 4: sustained NET (MW)</t>
        </is>
      </c>
      <c r="B36" s="138">
        <f>Rates!$D$61</f>
        <v/>
      </c>
      <c r="C36" s="87" t="inlineStr">
        <is>
          <t>v2 implied 3.5 x (1-33%) = 1.4, which is wrong (= 2.35). 1.4 is 2.1 gross less 0.7 parasitic.</t>
        </is>
      </c>
    </row>
    <row r="37">
      <c r="A37" s="113" t="inlineStr">
        <is>
          <t>Linear scale-up: flow for 5 MWe NET at Fervo sustained ratio (kg/s)</t>
        </is>
      </c>
      <c r="B37" s="139">
        <f>Rates!$D$59*$B$12/Rates!$D$61</f>
        <v/>
      </c>
      <c r="C37" s="87" t="inlineStr">
        <is>
          <t>Illustration (~129 kg/s). Not linear in reality.</t>
        </is>
      </c>
    </row>
    <row r="38"/>
    <row r="39">
      <c r="A39" s="136" t="inlineStr">
        <is>
          <t>D. Sensitivity: MWe per producer -&gt; wells and AU raise (other inputs at Control settings)</t>
        </is>
      </c>
      <c r="B39" s="137" t="n"/>
      <c r="C39" s="137" t="n"/>
      <c r="D39" s="137" t="n"/>
      <c r="E39" s="137" t="n"/>
      <c r="F39" s="137" t="n"/>
      <c r="G39" s="137" t="n"/>
      <c r="H39" s="137" t="n"/>
    </row>
    <row r="40" ht="44" customHeight="1" s="69">
      <c r="A40" s="142" t="inlineStr">
        <is>
          <t>NET MWe per producer</t>
        </is>
      </c>
      <c r="B40" s="142" t="inlineStr">
        <is>
          <t>Basis</t>
        </is>
      </c>
      <c r="C40" s="142" t="inlineStr">
        <is>
          <t>Producers (N+0)</t>
        </is>
      </c>
      <c r="D40" s="142" t="inlineStr">
        <is>
          <t>Total wells (doublets)</t>
        </is>
      </c>
      <c r="E40" s="142" t="inlineStr">
        <is>
          <t>AU raise, A$ (doublets)</t>
        </is>
      </c>
      <c r="F40" s="142" t="inlineStr">
        <is>
          <t>Total wells (triplets: 2 injectors per producer)</t>
        </is>
      </c>
      <c r="G40" s="142" t="inlineStr">
        <is>
          <t>AU raise, A$ (triplets)</t>
        </is>
      </c>
      <c r="H40" s="142" t="inlineStr">
        <is>
          <t>Contribution / raise (doublets)</t>
        </is>
      </c>
    </row>
    <row r="41">
      <c r="A41" s="123">
        <f>Rates!$D$61</f>
        <v/>
      </c>
      <c r="B41" s="87" t="inlineStr">
        <is>
          <t>Fervo sustained net (slide 5 underwriting figure)</t>
        </is>
      </c>
      <c r="C41" s="68">
        <f>ROUNDUP(ROUND('AU-Route'!$B$7/A41,6),0)</f>
        <v/>
      </c>
      <c r="D41" s="68">
        <f>2*C41</f>
        <v/>
      </c>
      <c r="E41" s="90">
        <f>(D41*'AU-Route'!$B$18+('AU-Route'!$B$20+'AU-Route'!$B$21+'AU-Route'!$B$22+'AU-Route'!$B$15+'AU-Route'!$B$31+'AU-Route'!$B$38))*(1+Control!$B$13)+Raise!$B$11</f>
        <v/>
      </c>
      <c r="F41" s="68">
        <f>3*C41</f>
        <v/>
      </c>
      <c r="G41" s="90">
        <f>(F41*'AU-Route'!$B$18+('AU-Route'!$B$20+'AU-Route'!$B$21+'AU-Route'!$B$22+'AU-Route'!$B$15+'AU-Route'!$B$31+'AU-Route'!$B$38))*(1+Control!$B$13)+Raise!$B$11</f>
        <v/>
      </c>
      <c r="H41" s="91">
        <f>'Compute-Revenue'!$B$31/E41</f>
        <v/>
      </c>
    </row>
    <row r="42">
      <c r="A42" s="123">
        <f>D24</f>
        <v/>
      </c>
      <c r="B42" s="87" t="inlineStr">
        <is>
          <t>Habanero 19 kg/s, conservative conversion</t>
        </is>
      </c>
      <c r="C42" s="68">
        <f>ROUNDUP(ROUND('AU-Route'!$B$7/A42,6),0)</f>
        <v/>
      </c>
      <c r="D42" s="68">
        <f>2*C42</f>
        <v/>
      </c>
      <c r="E42" s="90">
        <f>(D42*'AU-Route'!$B$18+('AU-Route'!$B$20+'AU-Route'!$B$21+'AU-Route'!$B$22+'AU-Route'!$B$15+'AU-Route'!$B$31+'AU-Route'!$B$38))*(1+Control!$B$13)+Raise!$B$11</f>
        <v/>
      </c>
      <c r="F42" s="68">
        <f>3*C42</f>
        <v/>
      </c>
      <c r="G42" s="90">
        <f>(F42*'AU-Route'!$B$18+('AU-Route'!$B$20+'AU-Route'!$B$21+'AU-Route'!$B$22+'AU-Route'!$B$15+'AU-Route'!$B$31+'AU-Route'!$B$38))*(1+Control!$B$13)+Raise!$B$11</f>
        <v/>
      </c>
      <c r="H42" s="91">
        <f>'Compute-Revenue'!$B$31/E42</f>
        <v/>
      </c>
    </row>
    <row r="43">
      <c r="A43" s="123">
        <f>C24</f>
        <v/>
      </c>
      <c r="B43" s="87" t="inlineStr">
        <is>
          <t>Habanero 19 kg/s, optimistic conversion</t>
        </is>
      </c>
      <c r="C43" s="68">
        <f>ROUNDUP(ROUND('AU-Route'!$B$7/A43,6),0)</f>
        <v/>
      </c>
      <c r="D43" s="68">
        <f>2*C43</f>
        <v/>
      </c>
      <c r="E43" s="90">
        <f>(D43*'AU-Route'!$B$18+('AU-Route'!$B$20+'AU-Route'!$B$21+'AU-Route'!$B$22+'AU-Route'!$B$15+'AU-Route'!$B$31+'AU-Route'!$B$38))*(1+Control!$B$13)+Raise!$B$11</f>
        <v/>
      </c>
      <c r="F43" s="68">
        <f>3*C43</f>
        <v/>
      </c>
      <c r="G43" s="90">
        <f>(F43*'AU-Route'!$B$18+('AU-Route'!$B$20+'AU-Route'!$B$21+'AU-Route'!$B$22+'AU-Route'!$B$15+'AU-Route'!$B$31+'AU-Route'!$B$38))*(1+Control!$B$13)+Raise!$B$11</f>
        <v/>
      </c>
      <c r="H43" s="91">
        <f>'Compute-Revenue'!$B$31/E43</f>
        <v/>
      </c>
    </row>
    <row r="44">
      <c r="A44" s="123">
        <f>Rates!$D$13</f>
        <v/>
      </c>
      <c r="B44" s="87" t="inlineStr">
        <is>
          <t>Model LOW</t>
        </is>
      </c>
      <c r="C44" s="68">
        <f>ROUNDUP(ROUND('AU-Route'!$B$7/A44,6),0)</f>
        <v/>
      </c>
      <c r="D44" s="68">
        <f>2*C44</f>
        <v/>
      </c>
      <c r="E44" s="90">
        <f>(D44*'AU-Route'!$B$18+('AU-Route'!$B$20+'AU-Route'!$B$21+'AU-Route'!$B$22+'AU-Route'!$B$15+'AU-Route'!$B$31+'AU-Route'!$B$38))*(1+Control!$B$13)+Raise!$B$11</f>
        <v/>
      </c>
      <c r="F44" s="68">
        <f>3*C44</f>
        <v/>
      </c>
      <c r="G44" s="90">
        <f>(F44*'AU-Route'!$B$18+('AU-Route'!$B$20+'AU-Route'!$B$21+'AU-Route'!$B$22+'AU-Route'!$B$15+'AU-Route'!$B$31+'AU-Route'!$B$38))*(1+Control!$B$13)+Raise!$B$11</f>
        <v/>
      </c>
      <c r="H44" s="91">
        <f>'Compute-Revenue'!$B$31/E44</f>
        <v/>
      </c>
    </row>
    <row r="45">
      <c r="A45" s="123">
        <f>'AU-Route'!$B$7/2</f>
        <v/>
      </c>
      <c r="B45" s="87" t="inlineStr">
        <is>
          <t>Threshold where 2 producers just cover nameplate</t>
        </is>
      </c>
      <c r="C45" s="68">
        <f>ROUNDUP(ROUND('AU-Route'!$B$7/A45,6),0)</f>
        <v/>
      </c>
      <c r="D45" s="68">
        <f>2*C45</f>
        <v/>
      </c>
      <c r="E45" s="90">
        <f>(D45*'AU-Route'!$B$18+('AU-Route'!$B$20+'AU-Route'!$B$21+'AU-Route'!$B$22+'AU-Route'!$B$15+'AU-Route'!$B$31+'AU-Route'!$B$38))*(1+Control!$B$13)+Raise!$B$11</f>
        <v/>
      </c>
      <c r="F45" s="68">
        <f>3*C45</f>
        <v/>
      </c>
      <c r="G45" s="90">
        <f>(F45*'AU-Route'!$B$18+('AU-Route'!$B$20+'AU-Route'!$B$21+'AU-Route'!$B$22+'AU-Route'!$B$15+'AU-Route'!$B$31+'AU-Route'!$B$38))*(1+Control!$B$13)+Raise!$B$11</f>
        <v/>
      </c>
      <c r="H45" s="91">
        <f>'Compute-Revenue'!$B$31/E45</f>
        <v/>
      </c>
    </row>
    <row r="46">
      <c r="A46" s="123">
        <f>Rates!$D$12</f>
        <v/>
      </c>
      <c r="B46" s="87" t="inlineStr">
        <is>
          <t>Model BASE</t>
        </is>
      </c>
      <c r="C46" s="68">
        <f>ROUNDUP(ROUND('AU-Route'!$B$7/A46,6),0)</f>
        <v/>
      </c>
      <c r="D46" s="68">
        <f>2*C46</f>
        <v/>
      </c>
      <c r="E46" s="90">
        <f>(D46*'AU-Route'!$B$18+('AU-Route'!$B$20+'AU-Route'!$B$21+'AU-Route'!$B$22+'AU-Route'!$B$15+'AU-Route'!$B$31+'AU-Route'!$B$38))*(1+Control!$B$13)+Raise!$B$11</f>
        <v/>
      </c>
      <c r="F46" s="68">
        <f>3*C46</f>
        <v/>
      </c>
      <c r="G46" s="90">
        <f>(F46*'AU-Route'!$B$18+('AU-Route'!$B$20+'AU-Route'!$B$21+'AU-Route'!$B$22+'AU-Route'!$B$15+'AU-Route'!$B$31+'AU-Route'!$B$38))*(1+Control!$B$13)+Raise!$B$11</f>
        <v/>
      </c>
      <c r="H46" s="91">
        <f>'Compute-Revenue'!$B$31/E46</f>
        <v/>
      </c>
    </row>
    <row r="47">
      <c r="A47" s="123">
        <f>Rates!$D$14</f>
        <v/>
      </c>
      <c r="B47" s="87" t="inlineStr">
        <is>
          <t>Model HIGH (gross source figure)</t>
        </is>
      </c>
      <c r="C47" s="68">
        <f>ROUNDUP(ROUND('AU-Route'!$B$7/A47,6),0)</f>
        <v/>
      </c>
      <c r="D47" s="68">
        <f>2*C47</f>
        <v/>
      </c>
      <c r="E47" s="90">
        <f>(D47*'AU-Route'!$B$18+('AU-Route'!$B$20+'AU-Route'!$B$21+'AU-Route'!$B$22+'AU-Route'!$B$15+'AU-Route'!$B$31+'AU-Route'!$B$38))*(1+Control!$B$13)+Raise!$B$11</f>
        <v/>
      </c>
      <c r="F47" s="68">
        <f>3*C47</f>
        <v/>
      </c>
      <c r="G47" s="90">
        <f>(F47*'AU-Route'!$B$18+('AU-Route'!$B$20+'AU-Route'!$B$21+'AU-Route'!$B$22+'AU-Route'!$B$15+'AU-Route'!$B$31+'AU-Route'!$B$38))*(1+Control!$B$13)+Raise!$B$11</f>
        <v/>
      </c>
      <c r="H47" s="91">
        <f>'Compute-Revenue'!$B$31/E47</f>
        <v/>
      </c>
    </row>
    <row r="48"/>
    <row r="49" ht="30" customHeight="1" s="69">
      <c r="A49" s="135" t="inlineStr">
        <is>
          <t>Status: NEEDS FOUNDER DATA. The only figures that close this tab are a site flow/temperature/injectivity test and an ORC vendor curve. Until then BASE 5 MWe NET is an ASSUMPTION 3.4-5.4x Habanero's best sustained circulation.</t>
        </is>
      </c>
    </row>
  </sheetData>
  <mergeCells count="2">
    <mergeCell ref="A3:H3"/>
    <mergeCell ref="A49:H4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66" customWidth="1" style="69" min="1" max="1"/>
    <col width="18" customWidth="1" style="69" min="2" max="2"/>
    <col width="14" customWidth="1" style="69" min="3" max="3"/>
    <col width="12" customWidth="1" style="69" min="4" max="4"/>
    <col width="18" customWidth="1" style="69" min="5" max="5"/>
    <col width="22" customWidth="1" style="69" min="6" max="6"/>
  </cols>
  <sheetData>
    <row r="1">
      <c r="A1" s="100" t="inlineStr">
        <is>
          <t>ARCHEGON  ·  POWER ECONOMICS (PowerCo: wells + ORC, AU route), priced as electricity, separate from the hall</t>
        </is>
      </c>
      <c r="B1" s="101" t="n"/>
      <c r="C1" s="101" t="n"/>
      <c r="D1" s="101" t="n"/>
      <c r="E1" s="101" t="n"/>
      <c r="F1" s="101" t="n"/>
    </row>
    <row r="2"/>
    <row r="3" ht="30" customHeight="1" s="69">
      <c r="A3" s="135" t="inlineStr">
        <is>
          <t>Both reviews asked for two businesses with two P&amp;Ls. PowerCo owns wells and plant and sells energy to DCCo at a TRANSFER PRICE = its levelised cost. WACC and life are ASSUMPTIONS (Rates).</t>
        </is>
      </c>
    </row>
    <row r="4"/>
    <row r="5">
      <c r="A5" s="136" t="inlineStr">
        <is>
          <t>Generation asset</t>
        </is>
      </c>
      <c r="B5" s="137" t="n"/>
      <c r="C5" s="137" t="n"/>
      <c r="D5" s="137" t="n"/>
      <c r="E5" s="137" t="n"/>
      <c r="F5" s="137" t="n"/>
    </row>
    <row r="6">
      <c r="A6" s="113" t="inlineStr">
        <is>
          <t>Generation capex pre-contingency (wells + mob + ORC + brine gathering), A$</t>
        </is>
      </c>
      <c r="B6" s="146">
        <f>'AU-Route'!$B$23</f>
        <v/>
      </c>
      <c r="C6" s="87" t="inlineStr">
        <is>
          <t>AU-Route B23</t>
        </is>
      </c>
    </row>
    <row r="7">
      <c r="A7" s="113" t="inlineStr">
        <is>
          <t>Generation capex incl. contingency, A$</t>
        </is>
      </c>
      <c r="B7" s="146">
        <f>B6*(1+Control!$B$13)</f>
        <v/>
      </c>
      <c r="C7" s="87" t="inlineStr"/>
    </row>
    <row r="8">
      <c r="A8" s="113" t="inlineStr">
        <is>
          <t>Net nameplate (MW)</t>
        </is>
      </c>
      <c r="B8" s="147">
        <f>'AU-Route'!$B$7</f>
        <v/>
      </c>
      <c r="C8" s="87" t="inlineStr">
        <is>
          <t>NET (Definitions)</t>
        </is>
      </c>
    </row>
    <row r="9">
      <c r="A9" s="113" t="inlineStr">
        <is>
          <t>Average net delivered (MW)</t>
        </is>
      </c>
      <c r="B9" s="147">
        <f>B8*Control!$B$16</f>
        <v/>
      </c>
      <c r="C9" s="87" t="inlineStr">
        <is>
          <t>Average, NOT firm</t>
        </is>
      </c>
    </row>
    <row r="10">
      <c r="A10" s="113" t="inlineStr">
        <is>
          <t>Annual energy (MWh)</t>
        </is>
      </c>
      <c r="B10" s="146">
        <f>B9*8760</f>
        <v/>
      </c>
      <c r="C10" s="87" t="inlineStr">
        <is>
          <t>Facility load x 8760 h</t>
        </is>
      </c>
    </row>
    <row r="11">
      <c r="A11" s="113" t="inlineStr">
        <is>
          <t>Plant fixed O&amp;M, A$/yr</t>
        </is>
      </c>
      <c r="B11" s="146">
        <f>'Compute-Revenue'!$B$23</f>
        <v/>
      </c>
      <c r="C11" s="87" t="inlineStr">
        <is>
          <t>Excludes well replacement (RATE_MISSING)</t>
        </is>
      </c>
    </row>
    <row r="12"/>
    <row r="13">
      <c r="A13" s="136" t="inlineStr">
        <is>
          <t>Levelised cost of energy (LCOE) = (capex x CRF + O&amp;M) / MWh</t>
        </is>
      </c>
      <c r="B13" s="137" t="n"/>
      <c r="C13" s="137" t="n"/>
      <c r="D13" s="137" t="n"/>
      <c r="E13" s="137" t="n"/>
      <c r="F13" s="137" t="n"/>
    </row>
    <row r="14">
      <c r="A14" s="102" t="inlineStr">
        <is>
          <t>Case</t>
        </is>
      </c>
      <c r="B14" s="102" t="inlineStr">
        <is>
          <t>Discount rate</t>
        </is>
      </c>
      <c r="C14" s="102" t="inlineStr">
        <is>
          <t>Life (yrs)</t>
        </is>
      </c>
      <c r="D14" s="102" t="inlineStr">
        <is>
          <t>CRF</t>
        </is>
      </c>
      <c r="E14" s="102" t="inlineStr">
        <is>
          <t>LCOE A$/MWh</t>
        </is>
      </c>
      <c r="F14" s="102" t="inlineStr">
        <is>
          <t>Capital + O&amp;M, A$/yr</t>
        </is>
      </c>
    </row>
    <row r="15">
      <c r="A15" s="68" t="inlineStr">
        <is>
          <t>Low</t>
        </is>
      </c>
      <c r="B15" s="145">
        <f>0.06</f>
        <v/>
      </c>
      <c r="C15" s="68">
        <f>Rates!$D$71</f>
        <v/>
      </c>
      <c r="D15" s="148">
        <f>B15/(1-(1+B15)^(-C15))</f>
        <v/>
      </c>
      <c r="E15" s="90">
        <f>F15/$B$10</f>
        <v/>
      </c>
      <c r="F15" s="90">
        <f>$B$7*D15+$B$11</f>
        <v/>
      </c>
    </row>
    <row r="16">
      <c r="A16" s="68" t="inlineStr">
        <is>
          <t>BASE (Rates wacc_base)</t>
        </is>
      </c>
      <c r="B16" s="145">
        <f>Rates!$D$70</f>
        <v/>
      </c>
      <c r="C16" s="68">
        <f>Rates!$D$71</f>
        <v/>
      </c>
      <c r="D16" s="148">
        <f>B16/(1-(1+B16)^(-C16))</f>
        <v/>
      </c>
      <c r="E16" s="90">
        <f>F16/$B$10</f>
        <v/>
      </c>
      <c r="F16" s="90">
        <f>$B$7*D16+$B$11</f>
        <v/>
      </c>
    </row>
    <row r="17">
      <c r="A17" s="68" t="inlineStr">
        <is>
          <t>High</t>
        </is>
      </c>
      <c r="B17" s="145">
        <f>0.10</f>
        <v/>
      </c>
      <c r="C17" s="68">
        <f>Rates!$D$71</f>
        <v/>
      </c>
      <c r="D17" s="148">
        <f>B17/(1-(1+B17)^(-C17))</f>
        <v/>
      </c>
      <c r="E17" s="90">
        <f>F17/$B$10</f>
        <v/>
      </c>
      <c r="F17" s="90">
        <f>$B$7*D17+$B$11</f>
        <v/>
      </c>
    </row>
    <row r="18">
      <c r="A18" s="68" t="inlineStr">
        <is>
          <t>Stress check</t>
        </is>
      </c>
      <c r="B18" s="145">
        <f>0.10</f>
        <v/>
      </c>
      <c r="C18" s="68">
        <f>20</f>
        <v/>
      </c>
      <c r="D18" s="148">
        <f>B18/(1-(1+B18)^(-C18))</f>
        <v/>
      </c>
      <c r="E18" s="90">
        <f>F18/$B$10</f>
        <v/>
      </c>
      <c r="F18" s="90">
        <f>$B$7*D18+$B$11</f>
        <v/>
      </c>
    </row>
    <row r="19"/>
    <row r="20">
      <c r="A20" s="113" t="inlineStr">
        <is>
          <t>LCOE at ACTUAL (Habanero 4) well cost, BASE rate, A$/MWh</t>
        </is>
      </c>
      <c r="B20" s="146">
        <f>((('AU-Route'!$B$10*Rates!$D$9)+'AU-Route'!$B$20+'AU-Route'!$B$21+'AU-Route'!$B$22)*(1+Control!$B$13)*D16+B11)/B10</f>
        <v/>
      </c>
      <c r="C20" s="87" t="inlineStr">
        <is>
          <t>Check: ~A$553</t>
        </is>
      </c>
    </row>
    <row r="21">
      <c r="A21" s="113" t="inlineStr">
        <is>
          <t>Make-up well provision (1 well / N yrs), A$/yr</t>
        </is>
      </c>
      <c r="B21" s="146">
        <f>'AU-Route'!$B$18/Rates!$D$79</f>
        <v/>
      </c>
      <c r="C21" s="87" t="inlineStr">
        <is>
          <t>ASSUMPTION interval; sensitivity only</t>
        </is>
      </c>
    </row>
    <row r="22">
      <c r="A22" s="113" t="inlineStr">
        <is>
          <t>LCOE incl. make-up wells, BASE rate, A$/MWh</t>
        </is>
      </c>
      <c r="B22" s="146">
        <f>(F16+B21)/B10</f>
        <v/>
      </c>
      <c r="C22" s="87" t="inlineStr"/>
    </row>
    <row r="23"/>
    <row r="24">
      <c r="A24" s="136" t="inlineStr">
        <is>
          <t>Transfer price and market comparison</t>
        </is>
      </c>
      <c r="B24" s="137" t="n"/>
      <c r="C24" s="137" t="n"/>
      <c r="D24" s="137" t="n"/>
      <c r="E24" s="137" t="n"/>
      <c r="F24" s="137" t="n"/>
    </row>
    <row r="25">
      <c r="A25" s="113" t="inlineStr">
        <is>
          <t>TRANSFER PRICE to DCCo (= BASE LCOE), A$/MWh</t>
        </is>
      </c>
      <c r="B25" s="146">
        <f>E16</f>
        <v/>
      </c>
      <c r="C25" s="87" t="inlineStr">
        <is>
          <t>Power system recovers its capital at the BASE rate, no profit</t>
        </is>
      </c>
    </row>
    <row r="26">
      <c r="A26" s="113" t="inlineStr">
        <is>
          <t>NEM average wholesale, A$/MWh</t>
        </is>
      </c>
      <c r="B26" s="146">
        <f>Rates!$D$34</f>
        <v/>
      </c>
      <c r="C26" s="87" t="inlineStr">
        <is>
          <t>VERIFIED</t>
        </is>
      </c>
    </row>
    <row r="27">
      <c r="A27" s="113" t="inlineStr">
        <is>
          <t>SA wholesale, A$/MWh</t>
        </is>
      </c>
      <c r="B27" s="146">
        <f>Rates!$D$72</f>
        <v/>
      </c>
      <c r="C27" s="87" t="inlineStr">
        <is>
          <t>VERIFIED</t>
        </is>
      </c>
    </row>
    <row r="28">
      <c r="A28" s="113" t="inlineStr">
        <is>
          <t>Premium over SA wholesale, A$/yr</t>
        </is>
      </c>
      <c r="B28" s="146">
        <f>(B25-B27)*B10</f>
        <v/>
      </c>
      <c r="C28" s="87" t="inlineStr">
        <is>
          <t>What the hall pays for islanded geothermal vs grid wholesale (network/retail charges excluded, so overstated)</t>
        </is>
      </c>
    </row>
    <row r="29">
      <c r="A29" s="113" t="inlineStr">
        <is>
          <t>Generation capital + O&amp;M as share of colo revenue</t>
        </is>
      </c>
      <c r="B29" s="140">
        <f>F16/'Compute-Revenue'!$B$10</f>
        <v/>
      </c>
      <c r="C29" s="87" t="inlineStr">
        <is>
          <t>Check: 83% / 98% / 113% at 6 / 8 / 10%</t>
        </is>
      </c>
    </row>
    <row r="30"/>
    <row r="31">
      <c r="A31" s="136" t="inlineStr">
        <is>
          <t>Power-only fallback (replaces v2 Compute-Revenue!B17)</t>
        </is>
      </c>
      <c r="B31" s="137" t="n"/>
      <c r="C31" s="137" t="n"/>
      <c r="D31" s="137" t="n"/>
      <c r="E31" s="137" t="n"/>
      <c r="F31" s="137" t="n"/>
    </row>
    <row r="32">
      <c r="A32" s="113" t="inlineStr">
        <is>
          <t>AU islanded: revenue if no compute contract lands, A$/yr</t>
        </is>
      </c>
      <c r="B32" s="146">
        <f>0</f>
        <v/>
      </c>
      <c r="C32" s="87" t="inlineStr">
        <is>
          <t>No grid connection = no buyer</t>
        </is>
      </c>
    </row>
    <row r="33">
      <c r="A33" s="113" t="inlineStr">
        <is>
          <t>IF a grid connection were built: export at SA wholesale, A$/yr</t>
        </is>
      </c>
      <c r="B33" s="146">
        <f>B10*Rates!$D$72</f>
        <v/>
      </c>
      <c r="C33" s="87" t="inlineStr">
        <is>
          <t>Connection capex RATE_MISSING; not contracted</t>
        </is>
      </c>
    </row>
    <row r="34">
      <c r="A34" s="113" t="inlineStr">
        <is>
          <t>Curtailable flexible load (e.g. interruptible compute), A$/yr</t>
        </is>
      </c>
      <c r="B34" s="146">
        <f>0</f>
        <v/>
      </c>
      <c r="C34" s="87" t="inlineStr">
        <is>
          <t>RATE_MISSING: needs a tenant price</t>
        </is>
      </c>
    </row>
  </sheetData>
  <mergeCells count="1">
    <mergeCell ref="A3:F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70" customWidth="1" style="69" min="1" max="1"/>
    <col width="18" customWidth="1" style="69" min="2" max="2"/>
    <col width="50" customWidth="1" style="69" min="3" max="3"/>
    <col width="12" customWidth="1" style="69" min="4" max="4"/>
    <col width="12" customWidth="1" style="69" min="5" max="5"/>
    <col width="12" customWidth="1" style="69" min="6" max="6"/>
  </cols>
  <sheetData>
    <row r="1">
      <c r="A1" s="100" t="inlineStr">
        <is>
          <t>ARCHEGON  ·  DATA-CENTRE ECONOMICS (DCCo: the hall), buying power at the transfer price</t>
        </is>
      </c>
      <c r="B1" s="101" t="n"/>
      <c r="C1" s="101" t="n"/>
      <c r="D1" s="101" t="n"/>
      <c r="E1" s="101" t="n"/>
      <c r="F1" s="101" t="n"/>
    </row>
    <row r="2"/>
    <row r="3" ht="30" customHeight="1" s="69">
      <c r="A3" s="135" t="inlineStr">
        <is>
          <t>The hall is a colocation landlord: tenants own the GPUs. It buys energy from PowerCo at the transfer price. Consolidated contribution (bottom) still reconciles to Compute-Revenue!B31.</t>
        </is>
      </c>
    </row>
    <row r="4"/>
    <row r="5">
      <c r="A5" s="113" t="inlineStr">
        <is>
          <t>DC capex incl. contingency, A$</t>
        </is>
      </c>
      <c r="B5" s="146">
        <f>'AU-Route'!$B$31*(1+Control!$B$13)</f>
        <v/>
      </c>
      <c r="C5" s="87" t="inlineStr">
        <is>
          <t>Shell + liquid + remote loading</t>
        </is>
      </c>
    </row>
    <row r="6">
      <c r="A6" s="113" t="inlineStr">
        <is>
          <t>Colo revenue, A$/yr</t>
        </is>
      </c>
      <c r="B6" s="146">
        <f>'Compute-Revenue'!$B$10</f>
        <v/>
      </c>
      <c r="C6" s="87" t="inlineStr">
        <is>
          <t>US$172.5/kW/mo, US 10 MW+ benchmark, full from day one</t>
        </is>
      </c>
    </row>
    <row r="7">
      <c r="A7" s="113" t="inlineStr">
        <is>
          <t>Power bought from PowerCo at transfer price, A$/yr</t>
        </is>
      </c>
      <c r="B7" s="146">
        <f>'Power-Economics'!$B$10*'Power-Economics'!$B$25</f>
        <v/>
      </c>
      <c r="C7" s="87" t="inlineStr"/>
    </row>
    <row r="8">
      <c r="A8" s="113" t="inlineStr">
        <is>
          <t>DC non-energy opex, A$/yr</t>
        </is>
      </c>
      <c r="B8" s="146">
        <f>'Compute-Revenue'!$B$26</f>
        <v/>
      </c>
      <c r="C8" s="87" t="inlineStr">
        <is>
          <t>RATE_MISSING (A$0)</t>
        </is>
      </c>
    </row>
    <row r="9">
      <c r="A9" s="113" t="inlineStr">
        <is>
          <t>DCCo contribution before team, A$/yr</t>
        </is>
      </c>
      <c r="B9" s="146">
        <f>B6-B7-B8</f>
        <v/>
      </c>
      <c r="C9" s="87" t="inlineStr">
        <is>
          <t>What the hall earns once it pays for its power</t>
        </is>
      </c>
    </row>
    <row r="10">
      <c r="A10" s="113" t="inlineStr">
        <is>
          <t>DCCo yield on DC capex</t>
        </is>
      </c>
      <c r="B10" s="141">
        <f>B9/B5</f>
        <v/>
      </c>
      <c r="C10" s="87" t="inlineStr"/>
    </row>
    <row r="11">
      <c r="A11" s="113" t="inlineStr">
        <is>
          <t>Hall yield on DC capex with FREE power (gross, before DC opex)</t>
        </is>
      </c>
      <c r="B11" s="141">
        <f>B6/B5</f>
        <v/>
      </c>
      <c r="C11" s="87" t="inlineStr">
        <is>
          <t>Check: 8.8% ceiling at this site</t>
        </is>
      </c>
    </row>
    <row r="12">
      <c r="A12" s="113" t="inlineStr">
        <is>
          <t>PowerCo margin over its levelised cost, A$/yr</t>
        </is>
      </c>
      <c r="B12" s="146">
        <f>0</f>
        <v/>
      </c>
      <c r="C12" s="87" t="inlineStr">
        <is>
          <t>By construction (transfer = LCOE)</t>
        </is>
      </c>
    </row>
    <row r="13">
      <c r="A13" s="113" t="inlineStr">
        <is>
          <t>Team + overhead, A$/yr</t>
        </is>
      </c>
      <c r="B13" s="146">
        <f>'Compute-Revenue'!$B$27</f>
        <v/>
      </c>
      <c r="C13" s="87" t="inlineStr"/>
    </row>
    <row r="14">
      <c r="A14" s="113" t="inlineStr">
        <is>
          <t>Consolidated contribution (accounting view, capital not charged), A$/yr</t>
        </is>
      </c>
      <c r="B14" s="146">
        <f>'Compute-Revenue'!$B$31</f>
        <v/>
      </c>
      <c r="C14" s="87" t="inlineStr">
        <is>
          <t>Reconciles to v2: A$10.06m</t>
        </is>
      </c>
    </row>
    <row r="15">
      <c r="A15" s="113" t="inlineStr">
        <is>
          <t>Contribution / raise</t>
        </is>
      </c>
      <c r="B15" s="141">
        <f>'Compute-Revenue'!$B$31/Raise!$B$14</f>
        <v/>
      </c>
      <c r="C15" s="87" t="inlineStr">
        <is>
          <t>3.3% - stated openly on slide 13 v3</t>
        </is>
      </c>
    </row>
    <row r="16">
      <c r="A16" s="113" t="inlineStr">
        <is>
          <t>Undiscounted contribution over asset life vs raise</t>
        </is>
      </c>
      <c r="B16" s="146">
        <f>'Compute-Revenue'!$B$31*Rates!$D$71-Raise!$B$14</f>
        <v/>
      </c>
      <c r="C16" s="87" t="inlineStr">
        <is>
          <t>Negative = the ask is not repaid in 25 years</t>
        </is>
      </c>
    </row>
    <row r="17">
      <c r="A17" s="113" t="inlineStr">
        <is>
          <t>Colo rate needed for a 10% contribution yield on the raise, US$/kW/month</t>
        </is>
      </c>
      <c r="B17" s="138">
        <f>(0.1*Raise!$B$14+'Compute-Revenue'!$B$28)/('Compute-Revenue'!$B$6*12)*Rates!$D$4</f>
        <v/>
      </c>
      <c r="C17" s="87" t="inlineStr">
        <is>
          <t>Check: ~US$418 = 2.4x benchmark</t>
        </is>
      </c>
    </row>
    <row r="18">
      <c r="A18" s="113" t="inlineStr">
        <is>
          <t>Contribution with an illustrative remote discount on colo price, A$/yr</t>
        </is>
      </c>
      <c r="B18" s="146">
        <f>'Compute-Revenue'!$B$10*(1-Rates!$D$83)-'Compute-Revenue'!$B$28</f>
        <v/>
      </c>
      <c r="C18" s="87" t="inlineStr">
        <is>
          <t>ASSUMPTION 20% (Rates colo_remote_discount)</t>
        </is>
      </c>
    </row>
    <row r="19"/>
    <row r="20" ht="44" customHeight="1" s="69">
      <c r="A20" s="135" t="inlineStr">
        <is>
          <t>Colo benchmark fit (both reviews): the rate is a US primary-market 10 MW+ asking rate. Its energy basis (included vs pass-through) is UNCONFIRMED. NEEDS DATA: an Australian broker view for an islanded remote site and tenant LOIs with price and energy terms.</t>
        </is>
      </c>
    </row>
    <row r="21" ht="30" customHeight="1" s="69">
      <c r="A21" s="135" t="inlineStr">
        <is>
          <t>ANCHOR comparables (Rates D31:D32) are ~400 MW, 15-20 yr hyperscale leases: they do not transfer to a 5 MW unproven site. Shown for reference only.</t>
        </is>
      </c>
    </row>
  </sheetData>
  <mergeCells count="3">
    <mergeCell ref="A3:F3"/>
    <mergeCell ref="A21:F21"/>
    <mergeCell ref="A20:F2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2" customWidth="1" style="69" min="1" max="1"/>
    <col width="24" customWidth="1" style="69" min="2" max="2"/>
    <col width="24" customWidth="1" style="69" min="3" max="3"/>
    <col width="70" customWidth="1" style="69" min="4" max="4"/>
  </cols>
  <sheetData>
    <row r="1">
      <c r="A1" s="100" t="inlineStr">
        <is>
          <t>ARCHEGON  ·  NZ vs AU on the model's own numbers (stated honestly)</t>
        </is>
      </c>
      <c r="B1" s="101" t="n"/>
      <c r="C1" s="101" t="n"/>
      <c r="D1" s="101" t="n"/>
      <c r="E1" s="101" t="n"/>
      <c r="F1" s="101" t="n"/>
    </row>
    <row r="2"/>
    <row r="3">
      <c r="A3" s="102" t="inlineStr">
        <is>
          <t>Metric</t>
        </is>
      </c>
      <c r="B3" s="102" t="inlineStr">
        <is>
          <t>Australia (drill)</t>
        </is>
      </c>
      <c r="C3" s="102" t="inlineStr">
        <is>
          <t>New Zealand (contract)</t>
        </is>
      </c>
      <c r="D3" s="102" t="inlineStr">
        <is>
          <t>Note</t>
        </is>
      </c>
    </row>
    <row r="4">
      <c r="A4" s="113" t="inlineStr">
        <is>
          <t>Capex, A$</t>
        </is>
      </c>
      <c r="B4" s="90">
        <f>'AU-Route'!$B$43</f>
        <v/>
      </c>
      <c r="C4" s="90">
        <f>Raise!$B$7</f>
        <v/>
      </c>
      <c r="D4" s="87" t="inlineStr"/>
    </row>
    <row r="5">
      <c r="A5" s="113" t="inlineStr">
        <is>
          <t>Runway, A$</t>
        </is>
      </c>
      <c r="B5" s="90">
        <f>Control!$B$15*Control!$B$14</f>
        <v/>
      </c>
      <c r="C5" s="90">
        <f>Control!$B$15*Control!$B$14</f>
        <v/>
      </c>
      <c r="D5" s="87" t="inlineStr">
        <is>
          <t>One team per route</t>
        </is>
      </c>
    </row>
    <row r="6">
      <c r="A6" s="113" t="inlineStr">
        <is>
          <t>Raise, A$</t>
        </is>
      </c>
      <c r="B6" s="90">
        <f>B4+B5</f>
        <v/>
      </c>
      <c r="C6" s="90">
        <f>C4+C5</f>
        <v/>
      </c>
      <c r="D6" s="87" t="inlineStr"/>
    </row>
    <row r="7">
      <c r="A7" s="113" t="inlineStr">
        <is>
          <t>Revenue (colo), A$/yr</t>
        </is>
      </c>
      <c r="B7" s="90">
        <f>'Compute-Revenue'!$B$10</f>
        <v/>
      </c>
      <c r="C7" s="90">
        <f>'Compute-Revenue'!$B$10</f>
        <v/>
      </c>
      <c r="D7" s="87" t="inlineStr">
        <is>
          <t>Same hall</t>
        </is>
      </c>
    </row>
    <row r="8">
      <c r="A8" s="113" t="inlineStr">
        <is>
          <t>Energy / plant cost, A$/yr</t>
        </is>
      </c>
      <c r="B8" s="90">
        <f>'Compute-Revenue'!$B$23</f>
        <v/>
      </c>
      <c r="C8" s="90">
        <f>'Compute-Revenue'!$B$24</f>
        <v/>
      </c>
      <c r="D8" s="87" t="inlineStr">
        <is>
          <t>AU: plant O&amp;M only (capital not charged). NZ: bought at one week of spot.</t>
        </is>
      </c>
    </row>
    <row r="9">
      <c r="A9" s="113" t="inlineStr">
        <is>
          <t>Team, A$/yr</t>
        </is>
      </c>
      <c r="B9" s="90">
        <f>Control!$B$15*12</f>
        <v/>
      </c>
      <c r="C9" s="90">
        <f>Control!$B$15*12</f>
        <v/>
      </c>
      <c r="D9" s="87" t="inlineStr"/>
    </row>
    <row r="10">
      <c r="A10" s="113" t="inlineStr">
        <is>
          <t>Contribution, A$/yr</t>
        </is>
      </c>
      <c r="B10" s="90">
        <f>B7-B8-B9</f>
        <v/>
      </c>
      <c r="C10" s="90">
        <f>C7-C8-C9</f>
        <v/>
      </c>
      <c r="D10" s="87" t="inlineStr"/>
    </row>
    <row r="11">
      <c r="A11" s="113" t="inlineStr">
        <is>
          <t>Contribution / raise</t>
        </is>
      </c>
      <c r="B11" s="91">
        <f>B10/B6</f>
        <v/>
      </c>
      <c r="C11" s="91">
        <f>C10/C6</f>
        <v/>
      </c>
      <c r="D11" s="87" t="inlineStr">
        <is>
          <t>NZ beats AU on these numbers (Check: 5.2% vs 3.3%)</t>
        </is>
      </c>
    </row>
    <row r="12">
      <c r="A12" s="113" t="inlineStr">
        <is>
          <t>Drilling risk carried</t>
        </is>
      </c>
      <c r="B12" s="90" t="inlineStr">
        <is>
          <t>Yes (4 wells)</t>
        </is>
      </c>
      <c r="C12" s="90" t="inlineStr">
        <is>
          <t>None</t>
        </is>
      </c>
      <c r="D12" s="87" t="inlineStr"/>
    </row>
    <row r="13">
      <c r="A13" s="113" t="inlineStr">
        <is>
          <t>What Archegon owns</t>
        </is>
      </c>
      <c r="B13" s="90" t="inlineStr">
        <is>
          <t>A reservoir (option value)</t>
        </is>
      </c>
      <c r="C13" s="90" t="inlineStr">
        <is>
          <t>A contract</t>
        </is>
      </c>
      <c r="D13" s="87" t="inlineStr">
        <is>
          <t>The AU case is an OPTION on a resource; it must be argued with a probability and payoff, not by slide order.</t>
        </is>
      </c>
    </row>
    <row r="14">
      <c r="A14" s="113" t="inlineStr">
        <is>
          <t>NZ power price at which NZ contribution/raise = AU, NZ$/MWh</t>
        </is>
      </c>
      <c r="B14" s="90" t="inlineStr"/>
      <c r="C14" s="90">
        <f>(C7-C9-B11*C6)/('NZ-Route'!$B$42)*Rates!$D$5</f>
        <v/>
      </c>
      <c r="D14" s="87" t="inlineStr">
        <is>
          <t>NZ wins unless contracted power costs more than this</t>
        </is>
      </c>
    </row>
    <row r="15"/>
    <row r="16" ht="44" customHeight="1" s="69">
      <c r="A16" s="135" t="inlineStr">
        <is>
          <t>NZ power price basis (both reviews): NZ$105/MWh is ONE week of spot (17-23 May 2026). NZ prices move with hydrology. NEEDS DATA: an indicative 15-20 yr PPA quote from Contact/Mercury, cross-checked to ASX NZ electricity futures.</t>
        </is>
      </c>
    </row>
  </sheetData>
  <mergeCells count="1">
    <mergeCell ref="A16:D1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62" customWidth="1" style="69" min="1" max="1"/>
    <col width="18" customWidth="1" style="69" min="2" max="2"/>
    <col width="22" customWidth="1" style="69" min="3" max="3"/>
    <col width="22" customWidth="1" style="69" min="4" max="4"/>
    <col width="12" customWidth="1" style="69" min="5" max="5"/>
    <col width="12" customWidth="1" style="69" min="6" max="6"/>
  </cols>
  <sheetData>
    <row r="1">
      <c r="A1" s="100" t="inlineStr">
        <is>
          <t>ARCHEGON  ·  FIRM vs AVERAGE POWER, redundancy, hot day, black start (AU route)</t>
        </is>
      </c>
      <c r="B1" s="101" t="n"/>
      <c r="C1" s="101" t="n"/>
      <c r="D1" s="101" t="n"/>
      <c r="E1" s="101" t="n"/>
      <c r="F1" s="101" t="n"/>
    </row>
    <row r="2"/>
    <row r="3" ht="30" customHeight="1" s="69">
      <c r="A3" s="135" t="inlineStr">
        <is>
          <t>v2 labelled average power "firm". Islanded, with no storage or grid, the 10% of hours not covered by a 0.90 capacity factor are outages. This tab states what is firm today and lists the unpriced cover.</t>
        </is>
      </c>
    </row>
    <row r="4"/>
    <row r="5">
      <c r="A5" s="113" t="inlineStr">
        <is>
          <t>Facility load (MW)</t>
        </is>
      </c>
      <c r="B5" s="147">
        <f>Control!$B$12*Control!$B$17</f>
        <v/>
      </c>
      <c r="C5" s="87" t="inlineStr"/>
    </row>
    <row r="6">
      <c r="A6" s="113" t="inlineStr">
        <is>
          <t>Net nameplate (MW)</t>
        </is>
      </c>
      <c r="B6" s="147">
        <f>'AU-Route'!$B$7</f>
        <v/>
      </c>
      <c r="C6" s="87" t="inlineStr"/>
    </row>
    <row r="7">
      <c r="A7" s="113" t="inlineStr">
        <is>
          <t>Average net (MW) = nameplate x CF</t>
        </is>
      </c>
      <c r="B7" s="147">
        <f>B6*Control!$B$16</f>
        <v/>
      </c>
      <c r="C7" s="87" t="inlineStr">
        <is>
          <t>Average, NOT firm</t>
        </is>
      </c>
    </row>
    <row r="8">
      <c r="A8" s="113" t="inlineStr">
        <is>
          <t>Producers x NET MWe (MW)</t>
        </is>
      </c>
      <c r="B8" s="147">
        <f>'AU-Route'!$B$8*'AU-Route'!$B$6</f>
        <v/>
      </c>
      <c r="C8" s="87" t="inlineStr">
        <is>
          <t>Well capacity</t>
        </is>
      </c>
    </row>
    <row r="9">
      <c r="A9" s="113" t="inlineStr">
        <is>
          <t>Margin of well capacity over nameplate (MW)</t>
        </is>
      </c>
      <c r="B9" s="147">
        <f>B8-B6</f>
        <v/>
      </c>
      <c r="C9" s="87" t="inlineStr">
        <is>
          <t>Decline buffer only once a role is chosen</t>
        </is>
      </c>
    </row>
    <row r="10">
      <c r="A10" s="113" t="inlineStr">
        <is>
          <t>FIRM supply with one producer out (N-1), MW</t>
        </is>
      </c>
      <c r="B10" s="147">
        <f>MIN(B6,('AU-Route'!$B$8-1)*'AU-Route'!$B$6)</f>
        <v/>
      </c>
      <c r="C10" s="87" t="inlineStr">
        <is>
          <t>No plant, ORC or transformer redundancy assumed</t>
        </is>
      </c>
    </row>
    <row r="11">
      <c r="A11" s="113" t="inlineStr">
        <is>
          <t>Firm critical IT under N-1 (MW)</t>
        </is>
      </c>
      <c r="B11" s="147">
        <f>B10/Control!$B$17</f>
        <v/>
      </c>
      <c r="C11" s="87" t="inlineStr">
        <is>
          <t>Check: 4.0 MW</t>
        </is>
      </c>
    </row>
    <row r="12">
      <c r="A12" s="113" t="inlineStr">
        <is>
          <t>Firm IT in whole modules (MW)</t>
        </is>
      </c>
      <c r="B12" s="147">
        <f>FLOOR(B11,Rates!$D$82)</f>
        <v/>
      </c>
      <c r="C12" s="87" t="inlineStr">
        <is>
          <t>3 modules</t>
        </is>
      </c>
    </row>
    <row r="13">
      <c r="A13" s="113" t="inlineStr">
        <is>
          <t>Hours/yr not covered at the capacity factor</t>
        </is>
      </c>
      <c r="B13" s="146">
        <f>(1-Control!$B$16)*8760</f>
        <v/>
      </c>
      <c r="C13" s="87" t="inlineStr">
        <is>
          <t>If outage rather than uniform derate</t>
        </is>
      </c>
    </row>
    <row r="14">
      <c r="A14" s="113" t="inlineStr">
        <is>
          <t>Energy to cover those hours (MWh)</t>
        </is>
      </c>
      <c r="B14" s="146">
        <f>B13*B5</f>
        <v/>
      </c>
      <c r="C14" s="87" t="inlineStr"/>
    </row>
    <row r="15">
      <c r="A15" s="113" t="inlineStr">
        <is>
          <t>Diesel to cover them (litres, illustrative)</t>
        </is>
      </c>
      <c r="B15" s="146">
        <f>B14*1000*Rates!$D$73</f>
        <v/>
      </c>
      <c r="C15" s="87" t="inlineStr">
        <is>
          <t>ASSUMPTION fuel rate; diesel price RATE_MISSING; ends carbon-free for those hours</t>
        </is>
      </c>
    </row>
    <row r="16"/>
    <row r="17">
      <c r="A17" s="136" t="inlineStr">
        <is>
          <t>N-1 on producers: cost to make the wells firm</t>
        </is>
      </c>
      <c r="B17" s="137" t="n"/>
      <c r="C17" s="137" t="n"/>
      <c r="D17" s="137" t="n"/>
      <c r="E17" s="137" t="n"/>
      <c r="F17" s="137" t="n"/>
    </row>
    <row r="18">
      <c r="A18" s="113" t="inlineStr">
        <is>
          <t>Producers for N-1</t>
        </is>
      </c>
      <c r="B18" s="139">
        <f>'AU-Route'!$B$8+1</f>
        <v/>
      </c>
      <c r="C18" s="87" t="inlineStr"/>
    </row>
    <row r="19">
      <c r="A19" s="113" t="inlineStr">
        <is>
          <t>Extra wells (one producer + one injector)</t>
        </is>
      </c>
      <c r="B19" s="146">
        <f>2</f>
        <v/>
      </c>
      <c r="C19" s="87" t="inlineStr"/>
    </row>
    <row r="20">
      <c r="A20" s="113" t="inlineStr">
        <is>
          <t>Extra cost incl. contingency, A$</t>
        </is>
      </c>
      <c r="B20" s="146">
        <f>2*'AU-Route'!$B$18*(1+Control!$B$13)</f>
        <v/>
      </c>
      <c r="C20" s="87" t="inlineStr">
        <is>
          <t>Check: +A$41.25m</t>
        </is>
      </c>
    </row>
    <row r="21">
      <c r="A21" s="113" t="inlineStr">
        <is>
          <t>AU raise with N-1 producers, A$</t>
        </is>
      </c>
      <c r="B21" s="146">
        <f>Raise!$B$14+B20</f>
        <v/>
      </c>
      <c r="C21" s="87" t="inlineStr">
        <is>
          <t>Check: A$348.5m</t>
        </is>
      </c>
    </row>
    <row r="22"/>
    <row r="23">
      <c r="A23" s="136" t="inlineStr">
        <is>
          <t>Firm-power items priced at PUBLIC PROXIES (not in headline Raise; see Proxies for the adjusted raise)</t>
        </is>
      </c>
      <c r="B23" s="137" t="n"/>
      <c r="C23" s="137" t="n"/>
      <c r="D23" s="137" t="n"/>
      <c r="E23" s="137" t="n"/>
      <c r="F23" s="137" t="n"/>
    </row>
    <row r="24">
      <c r="A24" s="113" t="inlineStr">
        <is>
          <t>Grid-forming BESS (frequency control, ride-through)</t>
        </is>
      </c>
      <c r="B24" s="146">
        <f>Proxies!$B$35*(1+Control!$B$13)</f>
        <v/>
      </c>
      <c r="C24" s="87" t="inlineStr">
        <is>
          <t>PUBLIC PROXY: GenCost 2025-26 2 h BESS, incl. contingency</t>
        </is>
      </c>
    </row>
    <row r="25">
      <c r="A25" s="113" t="inlineStr">
        <is>
          <t>Standby generation / local gas for N-1</t>
        </is>
      </c>
      <c r="B25" s="146">
        <f>Proxies!$B$36*(1+Control!$B$13)</f>
        <v/>
      </c>
      <c r="C25" s="87" t="inlineStr">
        <is>
          <t>PUBLIC PROXY: GenCost 2025-26 gas recip, incl. contingency</t>
        </is>
      </c>
    </row>
    <row r="26">
      <c r="A26" s="113" t="inlineStr">
        <is>
          <t>Black-start source for ORC auxiliaries</t>
        </is>
      </c>
      <c r="B26" s="146" t="n">
        <v>0</v>
      </c>
      <c r="C26" s="87" t="inlineStr">
        <is>
          <t>PUBLIC PROXY: no separate figure; covered by BESS + recips</t>
        </is>
      </c>
    </row>
    <row r="27">
      <c r="A27" s="113" t="inlineStr">
        <is>
          <t>Hot-day ORC derate (vendor curve)</t>
        </is>
      </c>
      <c r="B27" s="140">
        <f>Rates!$D$77</f>
        <v/>
      </c>
      <c r="C27" s="87" t="inlineStr"/>
    </row>
    <row r="28"/>
    <row r="29">
      <c r="A29" s="136" t="inlineStr">
        <is>
          <t>Hot day (ILLUSTRATIVE derates, NOT vendor data): how many 1.25 MW modules stay lit at PUE 1.25?</t>
        </is>
      </c>
      <c r="B29" s="137" t="n"/>
      <c r="C29" s="137" t="n"/>
      <c r="D29" s="137" t="n"/>
      <c r="E29" s="137" t="n"/>
      <c r="F29" s="137" t="n"/>
    </row>
    <row r="30">
      <c r="A30" s="102" t="inlineStr">
        <is>
          <t>ORC output loss (illustrative)</t>
        </is>
      </c>
      <c r="B30" s="102" t="inlineStr">
        <is>
          <t>Net available (MW)</t>
        </is>
      </c>
      <c r="C30" s="102" t="inlineStr">
        <is>
          <t>Lit modules, both producers</t>
        </is>
      </c>
      <c r="D30" s="102" t="inlineStr">
        <is>
          <t>Lit modules, one producer out</t>
        </is>
      </c>
    </row>
    <row r="31">
      <c r="A31" s="145" t="n">
        <v>0</v>
      </c>
      <c r="B31" s="123">
        <f>$B$6*(1-A31)</f>
        <v/>
      </c>
      <c r="C31" s="68">
        <f>MIN(4,INT(B31/Control!$B$17/Rates!$D$82+1E-9))</f>
        <v/>
      </c>
      <c r="D31" s="68">
        <f>MIN(4,INT(MIN(B31,('AU-Route'!$B$8-1)*'AU-Route'!$B$6*(1-A31))/Control!$B$17/Rates!$D$82+1E-9))</f>
        <v/>
      </c>
    </row>
    <row r="32">
      <c r="A32" s="145" t="n">
        <v>0.1</v>
      </c>
      <c r="B32" s="123">
        <f>$B$6*(1-A32)</f>
        <v/>
      </c>
      <c r="C32" s="68">
        <f>MIN(4,INT(B32/Control!$B$17/Rates!$D$82+1E-9))</f>
        <v/>
      </c>
      <c r="D32" s="68">
        <f>MIN(4,INT(MIN(B32,('AU-Route'!$B$8-1)*'AU-Route'!$B$6*(1-A32))/Control!$B$17/Rates!$D$82+1E-9))</f>
        <v/>
      </c>
    </row>
    <row r="33">
      <c r="A33" s="145" t="n">
        <v>0.2</v>
      </c>
      <c r="B33" s="123">
        <f>$B$6*(1-A33)</f>
        <v/>
      </c>
      <c r="C33" s="68">
        <f>MIN(4,INT(B33/Control!$B$17/Rates!$D$82+1E-9))</f>
        <v/>
      </c>
      <c r="D33" s="68">
        <f>MIN(4,INT(MIN(B33,('AU-Route'!$B$8-1)*'AU-Route'!$B$6*(1-A33))/Control!$B$17/Rates!$D$82+1E-9))</f>
        <v/>
      </c>
    </row>
    <row r="34">
      <c r="A34" s="145" t="n">
        <v>0.3</v>
      </c>
      <c r="B34" s="123">
        <f>$B$6*(1-A34)</f>
        <v/>
      </c>
      <c r="C34" s="68">
        <f>MIN(4,INT(B34/Control!$B$17/Rates!$D$82+1E-9))</f>
        <v/>
      </c>
      <c r="D34" s="68">
        <f>MIN(4,INT(MIN(B34,('AU-Route'!$B$8-1)*'AU-Route'!$B$6*(1-A34))/Control!$B$17/Rates!$D$82+1E-9))</f>
        <v/>
      </c>
    </row>
    <row r="35"/>
    <row r="36" ht="44" customHeight="1" s="69">
      <c r="A36" s="135" t="inlineStr">
        <is>
          <t>Peak PUE on a 40+ degC day is also higher than the 1.25 annual average (ASSUMPTION) - not modelled. NEEDS DATA: hourly simulation with site weather, ORC derate curve and peak PUE; power-systems study (load steps, frequency control).</t>
        </is>
      </c>
    </row>
    <row r="37"/>
    <row r="38">
      <c r="A38" s="136" t="inlineStr">
        <is>
          <t>Diagram E, corrected cases</t>
        </is>
      </c>
      <c r="B38" s="137" t="n"/>
      <c r="C38" s="137" t="n"/>
      <c r="D38" s="137" t="n"/>
      <c r="E38" s="137" t="n"/>
      <c r="F38" s="137" t="n"/>
    </row>
    <row r="39">
      <c r="A39" s="113" t="inlineStr">
        <is>
          <t>Wells 20% low: well capacity (MW)</t>
        </is>
      </c>
      <c r="B39" s="147">
        <f>B8*0.8</f>
        <v/>
      </c>
      <c r="C39" s="87" t="inlineStr">
        <is>
          <t>8.0 MW still covers 6.94 MW: NO change at the fence</t>
        </is>
      </c>
    </row>
    <row r="40">
      <c r="A40" s="113" t="inlineStr">
        <is>
          <t>Per-producer rating below which supply falls (MW)</t>
        </is>
      </c>
      <c r="B40" s="147">
        <f>'AU-Route'!$B$7/'AU-Route'!$B$8</f>
        <v/>
      </c>
      <c r="C40" s="87" t="inlineStr">
        <is>
          <t>3.47 MWe = 31% low</t>
        </is>
      </c>
    </row>
    <row r="41">
      <c r="A41" s="113" t="inlineStr">
        <is>
          <t>Shortfall threshold vs BASE</t>
        </is>
      </c>
      <c r="B41" s="140">
        <f>1-B40/'AU-Route'!$B$6</f>
        <v/>
      </c>
      <c r="C41" s="87" t="inlineStr"/>
    </row>
    <row r="42">
      <c r="A42" s="113" t="inlineStr">
        <is>
          <t>One producer lost: supply (MW)</t>
        </is>
      </c>
      <c r="B42" s="147">
        <f>B10</f>
        <v/>
      </c>
      <c r="C42" s="87" t="inlineStr">
        <is>
          <t>4.0 MW IT -&gt; 3 modules: the case Diagram E actually draws</t>
        </is>
      </c>
    </row>
    <row r="43">
      <c r="A43" s="113" t="inlineStr">
        <is>
          <t>Base-case margin: 4 modules draw vs average supply (MW)</t>
        </is>
      </c>
      <c r="B43" s="147">
        <f>B7-4*Rates!$D$82*Control!$B$17</f>
        <v/>
      </c>
      <c r="C43" s="87" t="inlineStr">
        <is>
          <t>Zero: any derate sheds a module</t>
        </is>
      </c>
    </row>
  </sheetData>
  <mergeCells count="2">
    <mergeCell ref="A3:F3"/>
    <mergeCell ref="A36:F3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41"/>
  <sheetViews>
    <sheetView workbookViewId="0">
      <selection activeCell="A1" sqref="A1"/>
    </sheetView>
  </sheetViews>
  <sheetFormatPr baseColWidth="8" defaultRowHeight="15"/>
  <cols>
    <col width="28" customWidth="1" style="69" min="1" max="1"/>
    <col width="52" customWidth="1" style="69" min="2" max="2"/>
    <col width="18" customWidth="1" style="69" min="3" max="3"/>
    <col width="18" customWidth="1" style="69" min="4" max="4"/>
    <col width="60" customWidth="1" style="69" min="5" max="5"/>
    <col width="40" customWidth="1" style="69" min="6" max="6"/>
  </cols>
  <sheetData>
    <row r="1">
      <c r="A1" s="100" t="inlineStr">
        <is>
          <t>ARCHEGON  ·  GATED, RESERVOIR-FIRST PLAN with pass/fail criteria (replaces the single A$307m PoC)</t>
        </is>
      </c>
      <c r="B1" s="101" t="n"/>
      <c r="C1" s="101" t="n"/>
      <c r="D1" s="101" t="n"/>
      <c r="E1" s="101" t="n"/>
      <c r="F1" s="101" t="n"/>
    </row>
    <row r="2"/>
    <row r="3">
      <c r="A3" s="102" t="inlineStr">
        <is>
          <t>Gate</t>
        </is>
      </c>
      <c r="B3" s="102" t="inlineStr">
        <is>
          <t>What it buys</t>
        </is>
      </c>
      <c r="C3" s="102" t="inlineStr">
        <is>
          <t>Capital, A$ (derived)</t>
        </is>
      </c>
      <c r="D3" s="102" t="inlineStr">
        <is>
          <t>Cumulative, A$</t>
        </is>
      </c>
      <c r="E3" s="102" t="inlineStr">
        <is>
          <t>Pass / fail criteria</t>
        </is>
      </c>
      <c r="F3" s="102" t="inlineStr">
        <is>
          <t>Status</t>
        </is>
      </c>
    </row>
    <row r="4" ht="70" customHeight="1" s="69">
      <c r="A4" s="103" t="inlineStr">
        <is>
          <t>Gate 0 - SEED (US$10m)</t>
        </is>
      </c>
      <c r="B4" s="103" t="inlineStr">
        <is>
          <t>Tranched seed: engineers/viability, lawyers/government, DC procurement, financing, itemised runway, buffer; Tranche 3 pre-buys Gate 1 long-lead items. See Seed tab.</t>
        </is>
      </c>
      <c r="C4" s="149">
        <f>Seed!$C$7</f>
        <v/>
      </c>
      <c r="D4" s="90">
        <f>C4</f>
        <v/>
      </c>
      <c r="E4" s="103" t="inlineStr">
        <is>
          <t>Signed reservoir-engineer case for flow, temperature, injectivity; AFE in 2027 A$; principal named; LOI with price and energy terms</t>
        </is>
      </c>
      <c r="F4" s="103" t="inlineStr">
        <is>
          <t>NEEDS FOUNDER INPUT: amount = sum of quotes (RATE_MISSING). Not modelled.</t>
        </is>
      </c>
    </row>
    <row r="5" ht="70" customHeight="1" s="69">
      <c r="A5" s="103" t="inlineStr">
        <is>
          <t>Gate 1a - appraisal well (option)</t>
        </is>
      </c>
      <c r="B5" s="103" t="inlineStr">
        <is>
          <t>One deep well: temperature, stress, image logs, injectivity. Cheaper than a doublet.</t>
        </is>
      </c>
      <c r="C5" s="149">
        <f>('AU-Route'!$B$18+Rates!$D$11)*(1+Control!$B$13)+Raise!$B$11</f>
        <v/>
      </c>
      <c r="D5" s="68" t="inlineStr">
        <is>
          <t>n/a (alternative to Gate 1)</t>
        </is>
      </c>
      <c r="E5" s="103" t="inlineStr">
        <is>
          <t>Temperature &gt;= target; stress regime and fracture orientation compatible with the lateral design</t>
        </is>
      </c>
      <c r="F5" s="103" t="inlineStr">
        <is>
          <t>Derived from model rates</t>
        </is>
      </c>
    </row>
    <row r="6" ht="70" customHeight="1" s="69">
      <c r="A6" s="103" t="inlineStr">
        <is>
          <t>Gate 1 - RESERVOIR TEST</t>
        </is>
      </c>
      <c r="B6" s="103" t="inlineStr">
        <is>
          <t>One doublet + 90-180 day circulation test. No plant, no hall.</t>
        </is>
      </c>
      <c r="C6" s="149">
        <f>((2*('AU-Route'!$B$18+Rates!$D$89)+Rates!$D$11)*(1+Control!$B$13)+Raise!$B$11-SUMIF(Seed!$H$31:$H$63,"T3",Seed!$E$31:$E$63))/(1-Seed!$C$15)</f>
        <v/>
      </c>
      <c r="D6" s="90">
        <f>C6</f>
        <v/>
      </c>
      <c r="E6" s="103" t="inlineStr">
        <is>
          <t>v4: incl. stimulation of both wells; less seed Tranche 3 pre-buys; grossed up for the 6% success fee so the test is fully funded.</t>
        </is>
      </c>
      <c r="F6" s="103" t="inlineStr">
        <is>
          <t>Derived. Stimulation/test facilities RATE_MISSING (Rates D78)</t>
        </is>
      </c>
    </row>
    <row r="7" ht="70" customHeight="1" s="69">
      <c r="A7" s="103" t="inlineStr">
        <is>
          <t>Gate 2 - first whole module</t>
        </is>
      </c>
      <c r="B7" s="103" t="inlineStr">
        <is>
          <t>Plant sized to MEASURED flow + one 1.25 MW module, signed tenant</t>
        </is>
      </c>
      <c r="C7" s="149">
        <f>'Funding-Tiers'!$B$28</f>
        <v/>
      </c>
      <c r="D7" s="90">
        <f>C7</f>
        <v/>
      </c>
      <c r="E7" s="103" t="inlineStr">
        <is>
          <t>Metered net power; PUE; tenant paying; N-1 design costed</t>
        </is>
      </c>
      <c r="F7" s="103" t="inlineStr">
        <is>
          <t>Derived (Funding-Tiers B28) incl. the Gate 1 doublet</t>
        </is>
      </c>
    </row>
    <row r="8" ht="70" customHeight="1" s="69">
      <c r="A8" s="103" t="inlineStr">
        <is>
          <t>Gate 3 - 5 MW reference</t>
        </is>
      </c>
      <c r="B8" s="103" t="inlineStr">
        <is>
          <t>Scale to 4 modules</t>
        </is>
      </c>
      <c r="C8" s="149">
        <f>Raise!$B$14</f>
        <v/>
      </c>
      <c r="D8" s="90">
        <f>C8</f>
        <v/>
      </c>
      <c r="E8" s="103" t="inlineStr">
        <is>
          <t>Gate 2 performance holds; firm-power cover priced</t>
        </is>
      </c>
      <c r="F8" s="103" t="inlineStr">
        <is>
          <t>Model reference raise</t>
        </is>
      </c>
    </row>
    <row r="9"/>
    <row r="10" ht="44" customHeight="1" s="69">
      <c r="A10" s="135" t="inlineStr">
        <is>
          <t>Seed (C4) is the A$10m shoestring budget on the Seed tab, above comparable geothermal seed rounds (US$3-6m, Proxies B51:B52). The next round is the Gate 1 reservoir test (C6, ~A$52m model estimate), raised only if the Seed go/no-go gates pass.</t>
        </is>
      </c>
    </row>
    <row r="11" ht="30" customHeight="1" s="69">
      <c r="A11" s="135" t="inlineStr">
        <is>
          <t>Each gate is a separate decision. Later capital is conditional on the previous gate passing; an unproven EGS PoC is not debt-financeable. Capital stack (equity / ARENA / strategic) NEEDS FOUNDER INPUT.</t>
        </is>
      </c>
    </row>
    <row r="12"/>
    <row r="13"/>
    <row r="14">
      <c r="A14" s="89" t="inlineStr">
        <is>
          <t>GATE 1 RESERVOIR TEST: GO / NO-GO LIMITS, checked by an investor-appointed independent engineer. Gate 2 adds a 12-month circulation record before plant capital.</t>
        </is>
      </c>
    </row>
    <row r="15">
      <c r="A15" s="89" t="inlineStr">
        <is>
          <t>Metric</t>
        </is>
      </c>
      <c r="B15" s="89" t="inlineStr">
        <is>
          <t>GO (pass)</t>
        </is>
      </c>
      <c r="C15" s="89" t="inlineStr">
        <is>
          <t>REVIEW (re-scope before Gate 2)</t>
        </is>
      </c>
      <c r="D15" s="89" t="inlineStr">
        <is>
          <t>NO-GO (stop)</t>
        </is>
      </c>
      <c r="E15" s="89" t="inlineStr">
        <is>
          <t>Basis and sources</t>
        </is>
      </c>
    </row>
    <row r="16">
      <c r="A16" s="68" t="inlineStr">
        <is>
          <t>Net capability per producer at measured temperature, sustained 90+ days</t>
        </is>
      </c>
      <c r="B16" s="68">
        <f>"&gt;= "&amp;ROUND('Flow-Basis'!$C$18,0)&amp;"-"&amp;ROUND('Flow-Basis'!$D$18,0)&amp;" kg/s at 215 degC, i.e. &gt;= 5 MWe net per producer"</f>
        <v/>
      </c>
      <c r="C16" s="68" t="inlineStr">
        <is>
          <t>3.47-5 MWe: two producers still cover the plant but the 3.06 MW decline margin shrinks; re-price make-up</t>
        </is>
      </c>
      <c r="D16" s="68" t="inlineStr">
        <is>
          <t>&lt; 3.47 MWe net per producer</t>
        </is>
      </c>
      <c r="E16" s="68" t="inlineStr">
        <is>
          <t>Flow-Basis tab; Firm-Power B8:B9; Habanero best sustained 19 kg/s (2013, ARENA)</t>
        </is>
      </c>
    </row>
    <row r="17">
      <c r="A17" s="68" t="inlineStr">
        <is>
          <t>Thermal decline (degC/yr), from tracer test + calibrated reservoir model, not from the 60-day trend</t>
        </is>
      </c>
      <c r="B17" s="68">
        <f>"Forecast &lt;= "&amp;TEXT(Decline!$C$28,"0.0")&amp;" degC/yr (keeps 4 modules lit 25 yrs on 2 producers)"</f>
        <v/>
      </c>
      <c r="C17" s="68" t="inlineStr">
        <is>
          <t>Above that: price make-up drilling (Headroom) before Gate 2</t>
        </is>
      </c>
      <c r="D17" s="68" t="inlineStr">
        <is>
          <t>Forecast &gt;= 5 degC/yr (Project Red reading) or early tracer breakthrough</t>
        </is>
      </c>
      <c r="E17" s="68" t="inlineStr">
        <is>
          <t>Decline tab threshold; GeoExPro Apr 2026; tracer practice (round-3 review)</t>
        </is>
      </c>
    </row>
    <row r="18">
      <c r="A18" s="68" t="inlineStr">
        <is>
          <t>Long-run monitoring after Gate 1</t>
        </is>
      </c>
      <c r="B18" s="68" t="inlineStr">
        <is>
          <t>12-month circulation record before Gate 2 plant capital; annual tracer + temperature logs</t>
        </is>
      </c>
      <c r="C18" s="68" t="inlineStr">
        <is>
          <t>Trend above forecast: make-up campaign triggered (Headroom b)</t>
        </is>
      </c>
      <c r="D18" s="68" t="inlineStr">
        <is>
          <t>Trend above 5 degC/yr after 12 months</t>
        </is>
      </c>
      <c r="E18" s="68" t="inlineStr">
        <is>
          <t>Staged commitment: plant and hall capital released only after the 12-month record</t>
        </is>
      </c>
    </row>
    <row r="19">
      <c r="A19" s="68" t="inlineStr">
        <is>
          <t>Fluid loss (injected minus produced, % of injected)</t>
        </is>
      </c>
      <c r="B19" s="68" t="inlineStr">
        <is>
          <t>&lt;= 1%</t>
        </is>
      </c>
      <c r="C19" s="68" t="inlineStr">
        <is>
          <t>1-5%: licence and bores sized for it (Water tab)</t>
        </is>
      </c>
      <c r="D19" s="68" t="inlineStr">
        <is>
          <t>&gt; 5% sustained</t>
        </is>
      </c>
      <c r="E19" s="68" t="inlineStr">
        <is>
          <t>Argonne ANL-EVS-14-2; Fenton Hill 7%, Rosemanowes ~20%</t>
        </is>
      </c>
    </row>
    <row r="20">
      <c r="A20" s="68" t="inlineStr">
        <is>
          <t>Flow impedance / pumping parasitic</t>
        </is>
      </c>
      <c r="B20" s="68" t="inlineStr">
        <is>
          <t>Pumping power &lt;= 10% of gross at target flow (ASSUMPTION)</t>
        </is>
      </c>
      <c r="C20" s="68" t="inlineStr">
        <is>
          <t>10-20%: re-price parasitic</t>
        </is>
      </c>
      <c r="D20" s="68" t="inlineStr">
        <is>
          <t>&gt; 20%: flow bought with pressure, not permeability</t>
        </is>
      </c>
      <c r="E20" s="68" t="inlineStr">
        <is>
          <t>Round-3 review: impedance sets the economics</t>
        </is>
      </c>
    </row>
    <row r="21">
      <c r="A21" s="68" t="inlineStr">
        <is>
          <t>Induced seismicity</t>
        </is>
      </c>
      <c r="B21" s="68" t="inlineStr">
        <is>
          <t>Traffic light agreed with the SA regulator, receptor-based (PGV at nearest receptor), Utah FORGE structure as a template</t>
        </is>
      </c>
      <c r="C21" s="68" t="inlineStr">
        <is>
          <t>Amber: pause and flow back, independent review</t>
        </is>
      </c>
      <c r="D21" s="68" t="inlineStr">
        <is>
          <t>Red set by the regulator below the basin record (Habanero 2003 reached ~ML 3.7); two Ambers = no-go</t>
        </is>
      </c>
      <c r="E21" s="68" t="inlineStr">
        <is>
          <t>Utah FORGE TLS v2; Basel 2006; Pohang 2017; Habanero 2003 (Asanuma et al. 2006)</t>
        </is>
      </c>
    </row>
    <row r="22">
      <c r="A22" s="68" t="inlineStr">
        <is>
          <t>Data release</t>
        </is>
      </c>
      <c r="B22" s="68" t="inlineStr">
        <is>
          <t>Flow, temperature, injection, tracer and seismic data verified by the independent engineer and released to investors within 60 days</t>
        </is>
      </c>
      <c r="C22" s="68" t="inlineStr">
        <is>
          <t>-</t>
        </is>
      </c>
      <c r="D22" s="68" t="inlineStr">
        <is>
          <t>Data withheld or unverified</t>
        </is>
      </c>
      <c r="E22" s="68" t="inlineStr">
        <is>
          <t>Lesson from the 2026 disclosure dispute</t>
        </is>
      </c>
    </row>
    <row r="23"/>
    <row r="24">
      <c r="A24" s="68" t="inlineStr">
        <is>
          <t>Any NO-GO stops the project before plant or hall capital. REVIEW results go back to investors with a re-scoped plan before Gate 2 is raised.</t>
        </is>
      </c>
    </row>
    <row r="25"/>
    <row r="26">
      <c r="A26" s="89" t="inlineStr">
        <is>
          <t>FULL PROGRAMME COST: what the 5 MW reference costs once N-1, firm cover, stimulation, the success fee and the seed are priced</t>
        </is>
      </c>
    </row>
    <row r="27">
      <c r="A27" s="68" t="inlineStr">
        <is>
          <t>Headline raise (now includes stimulation of all wells, Rates D78)</t>
        </is>
      </c>
      <c r="C27" s="90">
        <f>Raise!$B$14</f>
        <v/>
      </c>
    </row>
    <row r="28">
      <c r="A28" s="68" t="inlineStr">
        <is>
          <t>N-1 producers: third doublet incl. stimulation and contingency</t>
        </is>
      </c>
      <c r="C28" s="90">
        <f>2*('AU-Route'!$B$18+Rates!$D$89)*(1+Control!$B$13)</f>
        <v/>
      </c>
    </row>
    <row r="29">
      <c r="A29" s="68" t="inlineStr">
        <is>
          <t>N-1 plant: two 50% ORC trains instead of one, incl. contingency</t>
        </is>
      </c>
      <c r="C29" s="90">
        <f>'AU-Route'!$B$21*(Rates!$D$103-1)*(1+Control!$B$13)</f>
        <v/>
      </c>
    </row>
    <row r="30">
      <c r="A30" s="68" t="inlineStr">
        <is>
          <t>Transformer and switchgear N-1</t>
        </is>
      </c>
      <c r="C30" s="90" t="inlineStr">
        <is>
          <t>0</t>
        </is>
      </c>
      <c r="D30" s="68" t="inlineStr">
        <is>
          <t>RATE_MISSING: needs a single-line design</t>
        </is>
      </c>
    </row>
    <row r="31">
      <c r="A31" s="68" t="inlineStr">
        <is>
          <t>Firm cover: battery + standby engines (Proxies B38)</t>
        </is>
      </c>
      <c r="C31" s="90">
        <f>Proxies!$B$38</f>
        <v/>
      </c>
    </row>
    <row r="32">
      <c r="A32" s="68" t="inlineStr">
        <is>
          <t>Success fee on the Gate 1 round</t>
        </is>
      </c>
      <c r="C32" s="90">
        <f>'Gated-Plan'!$C$6*Seed!$C$15</f>
        <v/>
      </c>
    </row>
    <row r="33">
      <c r="A33" s="68" t="inlineStr">
        <is>
          <t>Seed (US$10m)</t>
        </is>
      </c>
      <c r="C33" s="90">
        <f>'Gated-Plan'!$C$4</f>
        <v/>
      </c>
    </row>
    <row r="34">
      <c r="A34" s="68" t="inlineStr">
        <is>
          <t>FULL PROGRAMME, A$</t>
        </is>
      </c>
      <c r="C34" s="90">
        <f>SUM(C27:C33)</f>
        <v/>
      </c>
    </row>
    <row r="35">
      <c r="A35" s="68" t="inlineStr">
        <is>
          <t>Extra capital over the headline raise, A$</t>
        </is>
      </c>
      <c r="C35" s="90">
        <f>C34-C27</f>
        <v/>
      </c>
    </row>
    <row r="36"/>
    <row r="37"/>
    <row r="38">
      <c r="A38" s="68" t="inlineStr">
        <is>
          <t>Year</t>
        </is>
      </c>
      <c r="C38" s="68" t="n">
        <v>0</v>
      </c>
      <c r="D38" s="68" t="n">
        <v>1</v>
      </c>
      <c r="E38" s="68" t="n">
        <v>2</v>
      </c>
      <c r="F38" s="68" t="n">
        <v>3</v>
      </c>
      <c r="G38" s="68" t="n">
        <v>4</v>
      </c>
      <c r="H38" s="68" t="n">
        <v>5</v>
      </c>
      <c r="I38" s="68" t="n">
        <v>6</v>
      </c>
      <c r="J38" s="68" t="n">
        <v>7</v>
      </c>
      <c r="K38" s="68" t="n">
        <v>8</v>
      </c>
      <c r="L38" s="68" t="n">
        <v>9</v>
      </c>
      <c r="M38" s="68" t="n">
        <v>10</v>
      </c>
      <c r="N38" s="68" t="n">
        <v>11</v>
      </c>
      <c r="O38" s="68" t="n">
        <v>12</v>
      </c>
      <c r="P38" s="68" t="n">
        <v>13</v>
      </c>
      <c r="Q38" s="68" t="n">
        <v>14</v>
      </c>
      <c r="R38" s="68" t="n">
        <v>15</v>
      </c>
      <c r="S38" s="68" t="n">
        <v>16</v>
      </c>
      <c r="T38" s="68" t="n">
        <v>17</v>
      </c>
      <c r="U38" s="68" t="n">
        <v>18</v>
      </c>
      <c r="V38" s="68" t="n">
        <v>19</v>
      </c>
      <c r="W38" s="68" t="n">
        <v>20</v>
      </c>
      <c r="X38" s="68" t="n">
        <v>21</v>
      </c>
      <c r="Y38" s="68" t="n">
        <v>22</v>
      </c>
      <c r="Z38" s="68" t="n">
        <v>23</v>
      </c>
      <c r="AA38" s="68" t="n">
        <v>24</v>
      </c>
      <c r="AB38" s="68" t="n">
        <v>25</v>
      </c>
    </row>
    <row r="39">
      <c r="A39" s="68" t="inlineStr">
        <is>
          <t>Colo, full programme</t>
        </is>
      </c>
      <c r="B39" s="91">
        <f>IF(SUM(C39:AB39)&lt;0,"never repays",IFERROR(IRR(C39:AB39),"no IRR"))</f>
        <v/>
      </c>
      <c r="C39" s="68">
        <f>'Sell-Compute'!C64-$C$35</f>
        <v/>
      </c>
      <c r="D39" s="68">
        <f>'Sell-Compute'!D64</f>
        <v/>
      </c>
      <c r="E39" s="68">
        <f>'Sell-Compute'!E64</f>
        <v/>
      </c>
      <c r="F39" s="68">
        <f>'Sell-Compute'!F64</f>
        <v/>
      </c>
      <c r="G39" s="68">
        <f>'Sell-Compute'!G64</f>
        <v/>
      </c>
      <c r="H39" s="68">
        <f>'Sell-Compute'!H64</f>
        <v/>
      </c>
      <c r="I39" s="68">
        <f>'Sell-Compute'!I64</f>
        <v/>
      </c>
      <c r="J39" s="68">
        <f>'Sell-Compute'!J64</f>
        <v/>
      </c>
      <c r="K39" s="68">
        <f>'Sell-Compute'!K64</f>
        <v/>
      </c>
      <c r="L39" s="68">
        <f>'Sell-Compute'!L64</f>
        <v/>
      </c>
      <c r="M39" s="68">
        <f>'Sell-Compute'!M64</f>
        <v/>
      </c>
      <c r="N39" s="68">
        <f>'Sell-Compute'!N64</f>
        <v/>
      </c>
      <c r="O39" s="68">
        <f>'Sell-Compute'!O64</f>
        <v/>
      </c>
      <c r="P39" s="68">
        <f>'Sell-Compute'!P64</f>
        <v/>
      </c>
      <c r="Q39" s="68">
        <f>'Sell-Compute'!Q64</f>
        <v/>
      </c>
      <c r="R39" s="68">
        <f>'Sell-Compute'!R64</f>
        <v/>
      </c>
      <c r="S39" s="68">
        <f>'Sell-Compute'!S64</f>
        <v/>
      </c>
      <c r="T39" s="68">
        <f>'Sell-Compute'!T64</f>
        <v/>
      </c>
      <c r="U39" s="68">
        <f>'Sell-Compute'!U64</f>
        <v/>
      </c>
      <c r="V39" s="68">
        <f>'Sell-Compute'!V64</f>
        <v/>
      </c>
      <c r="W39" s="68">
        <f>'Sell-Compute'!W64</f>
        <v/>
      </c>
      <c r="X39" s="68">
        <f>'Sell-Compute'!X64</f>
        <v/>
      </c>
      <c r="Y39" s="68">
        <f>'Sell-Compute'!Y64</f>
        <v/>
      </c>
      <c r="Z39" s="68">
        <f>'Sell-Compute'!Z64</f>
        <v/>
      </c>
      <c r="AA39" s="68">
        <f>'Sell-Compute'!AA64</f>
        <v/>
      </c>
      <c r="AB39" s="68">
        <f>'Sell-Compute'!AB64</f>
        <v/>
      </c>
    </row>
    <row r="40">
      <c r="A40" s="68" t="inlineStr">
        <is>
          <t>Compute flat, full programme</t>
        </is>
      </c>
      <c r="B40" s="91">
        <f>IF(SUM(C40:AB40)&lt;0,"never repays",IFERROR(IRR(C40:AB40),"no IRR"))</f>
        <v/>
      </c>
      <c r="C40" s="68">
        <f>'Sell-Compute'!C58-$C$35</f>
        <v/>
      </c>
      <c r="D40" s="68">
        <f>'Sell-Compute'!D58</f>
        <v/>
      </c>
      <c r="E40" s="68">
        <f>'Sell-Compute'!E58</f>
        <v/>
      </c>
      <c r="F40" s="68">
        <f>'Sell-Compute'!F58</f>
        <v/>
      </c>
      <c r="G40" s="68">
        <f>'Sell-Compute'!G58</f>
        <v/>
      </c>
      <c r="H40" s="68">
        <f>'Sell-Compute'!H58</f>
        <v/>
      </c>
      <c r="I40" s="68">
        <f>'Sell-Compute'!I58</f>
        <v/>
      </c>
      <c r="J40" s="68">
        <f>'Sell-Compute'!J58</f>
        <v/>
      </c>
      <c r="K40" s="68">
        <f>'Sell-Compute'!K58</f>
        <v/>
      </c>
      <c r="L40" s="68">
        <f>'Sell-Compute'!L58</f>
        <v/>
      </c>
      <c r="M40" s="68">
        <f>'Sell-Compute'!M58</f>
        <v/>
      </c>
      <c r="N40" s="68">
        <f>'Sell-Compute'!N58</f>
        <v/>
      </c>
      <c r="O40" s="68">
        <f>'Sell-Compute'!O58</f>
        <v/>
      </c>
      <c r="P40" s="68">
        <f>'Sell-Compute'!P58</f>
        <v/>
      </c>
      <c r="Q40" s="68">
        <f>'Sell-Compute'!Q58</f>
        <v/>
      </c>
      <c r="R40" s="68">
        <f>'Sell-Compute'!R58</f>
        <v/>
      </c>
      <c r="S40" s="68">
        <f>'Sell-Compute'!S58</f>
        <v/>
      </c>
      <c r="T40" s="68">
        <f>'Sell-Compute'!T58</f>
        <v/>
      </c>
      <c r="U40" s="68">
        <f>'Sell-Compute'!U58</f>
        <v/>
      </c>
      <c r="V40" s="68">
        <f>'Sell-Compute'!V58</f>
        <v/>
      </c>
      <c r="W40" s="68">
        <f>'Sell-Compute'!W58</f>
        <v/>
      </c>
      <c r="X40" s="68">
        <f>'Sell-Compute'!X58</f>
        <v/>
      </c>
      <c r="Y40" s="68">
        <f>'Sell-Compute'!Y58</f>
        <v/>
      </c>
      <c r="Z40" s="68">
        <f>'Sell-Compute'!Z58</f>
        <v/>
      </c>
      <c r="AA40" s="68">
        <f>'Sell-Compute'!AA58</f>
        <v/>
      </c>
      <c r="AB40" s="68">
        <f>'Sell-Compute'!AB58</f>
        <v/>
      </c>
    </row>
    <row r="41">
      <c r="A41" s="68" t="inlineStr">
        <is>
          <t>Compute falling, full programme</t>
        </is>
      </c>
      <c r="B41" s="91">
        <f>IF(SUM(C41:AB41)&lt;0,"never repays",IFERROR(IRR(C41:AB41),"no IRR"))</f>
        <v/>
      </c>
      <c r="C41" s="68">
        <f>'Sell-Compute'!C57-$C$35</f>
        <v/>
      </c>
      <c r="D41" s="68">
        <f>'Sell-Compute'!D57</f>
        <v/>
      </c>
      <c r="E41" s="68">
        <f>'Sell-Compute'!E57</f>
        <v/>
      </c>
      <c r="F41" s="68">
        <f>'Sell-Compute'!F57</f>
        <v/>
      </c>
      <c r="G41" s="68">
        <f>'Sell-Compute'!G57</f>
        <v/>
      </c>
      <c r="H41" s="68">
        <f>'Sell-Compute'!H57</f>
        <v/>
      </c>
      <c r="I41" s="68">
        <f>'Sell-Compute'!I57</f>
        <v/>
      </c>
      <c r="J41" s="68">
        <f>'Sell-Compute'!J57</f>
        <v/>
      </c>
      <c r="K41" s="68">
        <f>'Sell-Compute'!K57</f>
        <v/>
      </c>
      <c r="L41" s="68">
        <f>'Sell-Compute'!L57</f>
        <v/>
      </c>
      <c r="M41" s="68">
        <f>'Sell-Compute'!M57</f>
        <v/>
      </c>
      <c r="N41" s="68">
        <f>'Sell-Compute'!N57</f>
        <v/>
      </c>
      <c r="O41" s="68">
        <f>'Sell-Compute'!O57</f>
        <v/>
      </c>
      <c r="P41" s="68">
        <f>'Sell-Compute'!P57</f>
        <v/>
      </c>
      <c r="Q41" s="68">
        <f>'Sell-Compute'!Q57</f>
        <v/>
      </c>
      <c r="R41" s="68">
        <f>'Sell-Compute'!R57</f>
        <v/>
      </c>
      <c r="S41" s="68">
        <f>'Sell-Compute'!S57</f>
        <v/>
      </c>
      <c r="T41" s="68">
        <f>'Sell-Compute'!T57</f>
        <v/>
      </c>
      <c r="U41" s="68">
        <f>'Sell-Compute'!U57</f>
        <v/>
      </c>
      <c r="V41" s="68">
        <f>'Sell-Compute'!V57</f>
        <v/>
      </c>
      <c r="W41" s="68">
        <f>'Sell-Compute'!W57</f>
        <v/>
      </c>
      <c r="X41" s="68">
        <f>'Sell-Compute'!X57</f>
        <v/>
      </c>
      <c r="Y41" s="68">
        <f>'Sell-Compute'!Y57</f>
        <v/>
      </c>
      <c r="Z41" s="68">
        <f>'Sell-Compute'!Z57</f>
        <v/>
      </c>
      <c r="AA41" s="68">
        <f>'Sell-Compute'!AA57</f>
        <v/>
      </c>
      <c r="AB41" s="68">
        <f>'Sell-Compute'!AB57</f>
        <v/>
      </c>
    </row>
  </sheetData>
  <mergeCells count="2">
    <mergeCell ref="A11:F11"/>
    <mergeCell ref="A10:F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N43"/>
  <sheetViews>
    <sheetView workbookViewId="0">
      <selection activeCell="A1" sqref="A1"/>
    </sheetView>
  </sheetViews>
  <sheetFormatPr baseColWidth="8" defaultRowHeight="15"/>
  <cols>
    <col width="62" customWidth="1" style="69" min="1" max="1"/>
    <col width="16" customWidth="1" style="69" min="2" max="2"/>
    <col width="12" customWidth="1" style="69" min="3" max="3"/>
    <col outlineLevel="1" width="12" customWidth="1" style="69" min="4" max="4"/>
    <col outlineLevel="1" width="12" customWidth="1" style="69" min="5" max="5"/>
    <col outlineLevel="1" width="12" customWidth="1" style="69" min="6" max="6"/>
    <col outlineLevel="1" width="12" customWidth="1" style="69" min="7" max="7"/>
    <col outlineLevel="1" width="12" customWidth="1" style="69" min="8" max="8"/>
    <col outlineLevel="1" width="12" customWidth="1" style="69" min="9" max="9"/>
    <col outlineLevel="1" width="12" customWidth="1" style="69" min="10" max="10"/>
    <col outlineLevel="1" width="12" customWidth="1" style="69" min="11" max="11"/>
    <col outlineLevel="1" width="12" customWidth="1" style="69" min="12" max="12"/>
    <col outlineLevel="1" width="12" customWidth="1" style="69" min="13" max="13"/>
    <col outlineLevel="1" width="12" customWidth="1" style="69" min="14" max="14"/>
    <col outlineLevel="1" width="12" customWidth="1" style="69" min="15" max="15"/>
    <col outlineLevel="1" width="12" customWidth="1" style="69" min="16" max="16"/>
    <col outlineLevel="1" width="12" customWidth="1" style="69" min="17" max="17"/>
    <col outlineLevel="1" width="12" customWidth="1" style="69" min="18" max="18"/>
    <col outlineLevel="1" width="12" customWidth="1" style="69" min="19" max="19"/>
    <col outlineLevel="1" width="12" customWidth="1" style="69" min="20" max="20"/>
    <col outlineLevel="1" width="12" customWidth="1" style="69" min="21" max="21"/>
    <col outlineLevel="1" width="12" customWidth="1" style="69" min="22" max="22"/>
    <col outlineLevel="1" width="12" customWidth="1" style="69" min="23" max="23"/>
    <col outlineLevel="1" width="12" customWidth="1" style="69" min="24" max="24"/>
    <col outlineLevel="1" width="12" customWidth="1" style="69" min="25" max="25"/>
    <col outlineLevel="1" width="12" customWidth="1" style="69" min="26" max="26"/>
    <col outlineLevel="1" width="12" customWidth="1" style="69" min="27" max="27"/>
    <col outlineLevel="1" width="12" customWidth="1" style="69" min="28" max="28"/>
    <col outlineLevel="1" width="12" customWidth="1" style="69" min="29" max="29"/>
    <col outlineLevel="1" width="12" customWidth="1" style="69" min="30" max="30"/>
    <col outlineLevel="1" width="12" customWidth="1" style="69" min="31" max="31"/>
    <col outlineLevel="1" width="12" customWidth="1" style="69" min="32" max="32"/>
    <col outlineLevel="1" width="12" customWidth="1" style="69" min="33" max="33"/>
    <col outlineLevel="1" width="12" customWidth="1" style="69" min="34" max="34"/>
    <col outlineLevel="1" width="12" customWidth="1" style="69" min="35" max="35"/>
    <col outlineLevel="1" width="12" customWidth="1" style="69" min="36" max="36"/>
    <col outlineLevel="1" width="12" customWidth="1" style="69" min="37" max="37"/>
    <col outlineLevel="1" width="12" customWidth="1" style="69" min="38" max="38"/>
    <col outlineLevel="1" width="12" customWidth="1" style="69" min="39" max="39"/>
    <col outlineLevel="1" width="12" customWidth="1" style="69" min="40" max="40"/>
    <col outlineLevel="1" width="12" customWidth="1" style="69" min="41" max="41"/>
    <col outlineLevel="1" width="12" customWidth="1" style="69" min="42" max="42"/>
    <col outlineLevel="1" width="12" customWidth="1" style="69" min="43" max="43"/>
    <col width="12" customWidth="1" style="69" min="44" max="44"/>
    <col width="12" customWidth="1" style="69" min="45" max="45"/>
    <col width="12" customWidth="1" style="69" min="46" max="46"/>
    <col width="12" customWidth="1" style="69" min="47" max="47"/>
    <col width="12" customWidth="1" style="69" min="48" max="48"/>
    <col width="12" customWidth="1" style="69" min="49" max="49"/>
    <col width="12" customWidth="1" style="69" min="50" max="50"/>
    <col width="12" customWidth="1" style="69" min="51" max="51"/>
    <col width="12" customWidth="1" style="69" min="52" max="52"/>
    <col width="12" customWidth="1" style="69" min="53" max="53"/>
    <col width="12" customWidth="1" style="69" min="54" max="54"/>
    <col width="12" customWidth="1" style="69" min="55" max="55"/>
    <col width="12" customWidth="1" style="69" min="56" max="56"/>
    <col width="12" customWidth="1" style="69" min="57" max="57"/>
    <col width="12" customWidth="1" style="69" min="58" max="58"/>
    <col width="12" customWidth="1" style="69" min="59" max="59"/>
    <col width="12" customWidth="1" style="69" min="60" max="60"/>
    <col width="12" customWidth="1" style="69" min="61" max="61"/>
    <col width="12" customWidth="1" style="69" min="62" max="62"/>
    <col width="12" customWidth="1" style="69" min="63" max="63"/>
    <col width="12" customWidth="1" style="69" min="64" max="64"/>
    <col width="12" customWidth="1" style="69" min="65" max="65"/>
    <col width="60" customWidth="1" style="69" min="66" max="66"/>
  </cols>
  <sheetData>
    <row r="1">
      <c r="A1" s="100" t="inlineStr">
        <is>
          <t>ARCHEGON  ·  FUNDING TIERS v3: what A$50m to A$500m buys (AU route), WHOLE 1.25 MW modules, value-optimised</t>
        </is>
      </c>
      <c r="B1" s="101" t="n"/>
      <c r="C1" s="101" t="n"/>
      <c r="D1" s="101" t="n"/>
      <c r="E1" s="101" t="n"/>
      <c r="F1" s="101" t="n"/>
      <c r="G1" s="101" t="n"/>
      <c r="H1" s="101" t="n"/>
      <c r="I1" s="101" t="n"/>
      <c r="J1" s="101" t="n"/>
      <c r="K1" s="101" t="n"/>
      <c r="L1" s="101" t="n"/>
    </row>
    <row r="2"/>
    <row r="3" ht="58" customHeight="1" s="69">
      <c r="A3" s="135" t="inlineStr">
        <is>
          <t>v3 fixes: (1) IT is built in whole 1.25 MW modules; (2) for each tier the optimiser picks the producer count with the best contribution per dollar COMMITTED, and leaves the rest undrawn instead of buying a doublet for a sliver of MW; (3) "firm" relabelled AVERAGE; (4) "minimum viable PoC" relabelled OPERATING BREAK-EVEN; (5) land+legals link now includes brine gathering and fibre; opex includes well replacement and DC opex lines (RATE_MISSING, A$0). ILLUSTRATIVE, NOT AN OFFER.</t>
        </is>
      </c>
    </row>
    <row r="4"/>
    <row r="5"/>
    <row r="6">
      <c r="A6" s="113" t="inlineStr">
        <is>
          <t>FX AUD-&gt;USD</t>
        </is>
      </c>
      <c r="B6" s="148">
        <f>Rates!$D$4</f>
        <v/>
      </c>
    </row>
    <row r="7">
      <c r="A7" s="113" t="inlineStr">
        <is>
          <t>NET MWe per producer (scenario)</t>
        </is>
      </c>
      <c r="B7" s="143">
        <f>'AU-Route'!$B$6</f>
        <v/>
      </c>
    </row>
    <row r="8">
      <c r="A8" s="113" t="inlineStr">
        <is>
          <t>Cost per well, A$</t>
        </is>
      </c>
      <c r="B8" s="90">
        <f>'AU-Route'!$B$18</f>
        <v/>
      </c>
    </row>
    <row r="9">
      <c r="A9" s="113" t="inlineStr">
        <is>
          <t>Rig mobilisation, A$</t>
        </is>
      </c>
      <c r="B9" s="90">
        <f>Rates!$D$11</f>
        <v/>
      </c>
    </row>
    <row r="10">
      <c r="A10" s="113" t="inlineStr">
        <is>
          <t>ORC plant, A$ per kW NET</t>
        </is>
      </c>
      <c r="B10" s="90">
        <f>Rates!$D$15/Rates!$D$4</f>
        <v/>
      </c>
    </row>
    <row r="11">
      <c r="A11" s="113" t="inlineStr">
        <is>
          <t>DC modules, A$ per MW IT</t>
        </is>
      </c>
      <c r="B11" s="90">
        <f>(Rates!$D$21+IF(Control!$B$8="LIQUID",Rates!$D$22,0))/Rates!$D$4*IF(Control!$B$9="ON",Rates!$D$24,1)</f>
        <v/>
      </c>
    </row>
    <row r="12">
      <c r="A12" s="113" t="inlineStr">
        <is>
          <t>IT fit-out, A$ per MW IT (BAREMETAL only)</t>
        </is>
      </c>
      <c r="B12" s="90">
        <f>IF(Control!$B$5="BAREMETAL",Rates!$D$28/Rates!$D$4,0)</f>
        <v/>
      </c>
    </row>
    <row r="13">
      <c r="A13" s="113" t="inlineStr">
        <is>
          <t>PUE</t>
        </is>
      </c>
      <c r="B13" s="123">
        <f>Control!$B$17</f>
        <v/>
      </c>
    </row>
    <row r="14">
      <c r="A14" s="113" t="inlineStr">
        <is>
          <t>Capacity factor</t>
        </is>
      </c>
      <c r="B14" s="145">
        <f>Control!$B$16</f>
        <v/>
      </c>
    </row>
    <row r="15">
      <c r="A15" s="113" t="inlineStr">
        <is>
          <t>Contingency</t>
        </is>
      </c>
      <c r="B15" s="145">
        <f>Control!$B$13</f>
        <v/>
      </c>
    </row>
    <row r="16">
      <c r="A16" s="113" t="inlineStr">
        <is>
          <t>Runway, A$</t>
        </is>
      </c>
      <c r="B16" s="90">
        <f>Control!$B$15*Control!$B$14</f>
        <v/>
      </c>
    </row>
    <row r="17">
      <c r="A17" s="113" t="inlineStr">
        <is>
          <t>Capex per MW IT excl. wells, pre-contingency, A$</t>
        </is>
      </c>
      <c r="B17" s="90">
        <f>B10*1000*B13/B14+B11+B12</f>
        <v/>
      </c>
    </row>
    <row r="18">
      <c r="A18" s="113" t="inlineStr">
        <is>
          <t>Revenue per MW IT per year, A$ (COLO / ANCHOR / BAREMETAL=0)</t>
        </is>
      </c>
      <c r="B18" s="90">
        <f>IF(Control!$B$5="COLO",Rates!$D$29*12*1000,IF(Control!$B$5="ANCHOR",Rates!$D$31,0))/Rates!$D$4</f>
        <v/>
      </c>
    </row>
    <row r="19">
      <c r="A19" s="113" t="inlineStr">
        <is>
          <t>Plant O&amp;M + DC opex per MW IT per year, A$</t>
        </is>
      </c>
      <c r="B19" s="90">
        <f>Rates!$D$16*1000*B13/B14/Rates!$D$4+Rates!$D$43/Rates!$D$4</f>
        <v/>
      </c>
    </row>
    <row r="20">
      <c r="A20" s="113" t="inlineStr">
        <is>
          <t>Fixed opex per year (team + well replacement), A$</t>
        </is>
      </c>
      <c r="B20" s="90">
        <f>Control!$B$15*12+Rates!$D$42</f>
        <v/>
      </c>
    </row>
    <row r="21">
      <c r="A21" s="113" t="inlineStr">
        <is>
          <t>Module step, MW IT</t>
        </is>
      </c>
      <c r="B21" s="123">
        <f>Rates!$D$82</f>
        <v/>
      </c>
    </row>
    <row r="22">
      <c r="A22" s="113" t="inlineStr">
        <is>
          <t>Land + legals + brine gathering + fibre (RATE_MISSING), A$</t>
        </is>
      </c>
      <c r="B22" s="90">
        <f>'AU-Route'!$B$15+'AU-Route'!$B$38+'AU-Route'!$B$22+'AU-Route'!$B$29</f>
        <v/>
      </c>
    </row>
    <row r="23">
      <c r="A23" s="113" t="inlineStr">
        <is>
          <t>OPERATING BREAK-EVEN IT, continuous (MW) - theoretical</t>
        </is>
      </c>
      <c r="B23" s="150">
        <f>IF(B18-B19&lt;=0,"n/a",B20/(B18-B19))</f>
        <v/>
      </c>
    </row>
    <row r="24">
      <c r="A24" s="113" t="inlineStr">
        <is>
          <t>Producers at break-even</t>
        </is>
      </c>
      <c r="B24" s="144">
        <f>IF(ISNUMBER(B23),ROUNDUP(ROUND(B23*B13/B14/B7,6),0),"n/a")</f>
        <v/>
      </c>
    </row>
    <row r="25">
      <c r="A25" s="102" t="inlineStr">
        <is>
          <t>OPERATING BREAK-EVEN HALL, A$ (v2 "minimum viable PoC": NOT viable)</t>
        </is>
      </c>
      <c r="B25" s="90">
        <f>IF(ISNUMBER(B23),(2*B24*B8+B9+B17*B23+B22)*(1+B15)+B16,"n/a")</f>
        <v/>
      </c>
    </row>
    <row r="26">
      <c r="A26" s="113" t="inlineStr">
        <is>
          <t>Modules needed to break even (whole)</t>
        </is>
      </c>
      <c r="B26" s="144">
        <f>IF(ISNUMBER(B23),ROUNDUP(B23/B21,0),"n/a")</f>
        <v/>
      </c>
    </row>
    <row r="27">
      <c r="A27" s="113" t="inlineStr">
        <is>
          <t>Producers for one whole module</t>
        </is>
      </c>
      <c r="B27" s="144">
        <f>ROUNDUP(ROUND(B21*B13/B14/B7,6),0)</f>
        <v/>
      </c>
    </row>
    <row r="28">
      <c r="A28" s="102" t="inlineStr">
        <is>
          <t>SMALLEST WHOLE-MODULE BUILD (1 x 1.25 MW), A$</t>
        </is>
      </c>
      <c r="B28" s="90">
        <f>(2*B27*B8+B9+B17*B21+B22)*(1+B15)+B16</f>
        <v/>
      </c>
    </row>
    <row r="29">
      <c r="A29" s="102" t="inlineStr">
        <is>
          <t>RESERVOIR-TEST TRANCHE (doublet, no plant/hall), A$</t>
        </is>
      </c>
      <c r="B29" s="90">
        <f>'Gated-Plan'!$C$6</f>
        <v/>
      </c>
    </row>
    <row r="30"/>
    <row r="31" ht="48" customHeight="1" s="69">
      <c r="A31" s="151" t="inlineStr">
        <is>
          <t>Funding A$</t>
        </is>
      </c>
      <c r="B31" s="151" t="inlineStr">
        <is>
          <t>Funding US$</t>
        </is>
      </c>
      <c r="C31" s="151" t="inlineStr">
        <is>
          <t>Budget pre-contingency</t>
        </is>
      </c>
      <c r="D31" s="151" t="inlineStr">
        <is>
          <t>IT n=1</t>
        </is>
      </c>
      <c r="E31" s="151" t="inlineStr">
        <is>
          <t>IT n=2</t>
        </is>
      </c>
      <c r="F31" s="151" t="inlineStr">
        <is>
          <t>IT n=3</t>
        </is>
      </c>
      <c r="G31" s="151" t="inlineStr">
        <is>
          <t>IT n=4</t>
        </is>
      </c>
      <c r="H31" s="151" t="inlineStr">
        <is>
          <t>IT n=5</t>
        </is>
      </c>
      <c r="I31" s="151" t="inlineStr">
        <is>
          <t>IT n=6</t>
        </is>
      </c>
      <c r="J31" s="151" t="inlineStr">
        <is>
          <t>IT n=7</t>
        </is>
      </c>
      <c r="K31" s="151" t="inlineStr">
        <is>
          <t>IT n=8</t>
        </is>
      </c>
      <c r="L31" s="151" t="inlineStr">
        <is>
          <t>IT n=9</t>
        </is>
      </c>
      <c r="M31" s="151" t="inlineStr">
        <is>
          <t>IT n=10</t>
        </is>
      </c>
      <c r="N31" s="151" t="inlineStr">
        <is>
          <t>Committed n=1</t>
        </is>
      </c>
      <c r="O31" s="151" t="inlineStr">
        <is>
          <t>Committed n=2</t>
        </is>
      </c>
      <c r="P31" s="151" t="inlineStr">
        <is>
          <t>Committed n=3</t>
        </is>
      </c>
      <c r="Q31" s="151" t="inlineStr">
        <is>
          <t>Committed n=4</t>
        </is>
      </c>
      <c r="R31" s="151" t="inlineStr">
        <is>
          <t>Committed n=5</t>
        </is>
      </c>
      <c r="S31" s="151" t="inlineStr">
        <is>
          <t>Committed n=6</t>
        </is>
      </c>
      <c r="T31" s="151" t="inlineStr">
        <is>
          <t>Committed n=7</t>
        </is>
      </c>
      <c r="U31" s="151" t="inlineStr">
        <is>
          <t>Committed n=8</t>
        </is>
      </c>
      <c r="V31" s="151" t="inlineStr">
        <is>
          <t>Committed n=9</t>
        </is>
      </c>
      <c r="W31" s="151" t="inlineStr">
        <is>
          <t>Committed n=10</t>
        </is>
      </c>
      <c r="X31" s="151" t="inlineStr">
        <is>
          <t>Contrib n=1</t>
        </is>
      </c>
      <c r="Y31" s="151" t="inlineStr">
        <is>
          <t>Contrib n=2</t>
        </is>
      </c>
      <c r="Z31" s="151" t="inlineStr">
        <is>
          <t>Contrib n=3</t>
        </is>
      </c>
      <c r="AA31" s="151" t="inlineStr">
        <is>
          <t>Contrib n=4</t>
        </is>
      </c>
      <c r="AB31" s="151" t="inlineStr">
        <is>
          <t>Contrib n=5</t>
        </is>
      </c>
      <c r="AC31" s="151" t="inlineStr">
        <is>
          <t>Contrib n=6</t>
        </is>
      </c>
      <c r="AD31" s="151" t="inlineStr">
        <is>
          <t>Contrib n=7</t>
        </is>
      </c>
      <c r="AE31" s="151" t="inlineStr">
        <is>
          <t>Contrib n=8</t>
        </is>
      </c>
      <c r="AF31" s="151" t="inlineStr">
        <is>
          <t>Contrib n=9</t>
        </is>
      </c>
      <c r="AG31" s="151" t="inlineStr">
        <is>
          <t>Contrib n=10</t>
        </is>
      </c>
      <c r="AH31" s="151" t="inlineStr">
        <is>
          <t>Ratio n=1</t>
        </is>
      </c>
      <c r="AI31" s="151" t="inlineStr">
        <is>
          <t>Ratio n=2</t>
        </is>
      </c>
      <c r="AJ31" s="151" t="inlineStr">
        <is>
          <t>Ratio n=3</t>
        </is>
      </c>
      <c r="AK31" s="151" t="inlineStr">
        <is>
          <t>Ratio n=4</t>
        </is>
      </c>
      <c r="AL31" s="151" t="inlineStr">
        <is>
          <t>Ratio n=5</t>
        </is>
      </c>
      <c r="AM31" s="151" t="inlineStr">
        <is>
          <t>Ratio n=6</t>
        </is>
      </c>
      <c r="AN31" s="151" t="inlineStr">
        <is>
          <t>Ratio n=7</t>
        </is>
      </c>
      <c r="AO31" s="151" t="inlineStr">
        <is>
          <t>Ratio n=8</t>
        </is>
      </c>
      <c r="AP31" s="151" t="inlineStr">
        <is>
          <t>Ratio n=9</t>
        </is>
      </c>
      <c r="AQ31" s="151" t="inlineStr">
        <is>
          <t>Ratio n=10</t>
        </is>
      </c>
      <c r="AR31" s="151" t="inlineStr">
        <is>
          <t>Best ratio</t>
        </is>
      </c>
      <c r="AS31" s="151" t="inlineStr">
        <is>
          <t>Producers (chosen)</t>
        </is>
      </c>
      <c r="AT31" s="151" t="inlineStr">
        <is>
          <t>IT MW (whole modules)</t>
        </is>
      </c>
      <c r="AU31" s="151" t="inlineStr">
        <is>
          <t>Modules</t>
        </is>
      </c>
      <c r="AV31" s="151" t="inlineStr">
        <is>
          <t>Total wells</t>
        </is>
      </c>
      <c r="AW31" s="151" t="inlineStr">
        <is>
          <t>Net nameplate MW</t>
        </is>
      </c>
      <c r="AX31" s="151" t="inlineStr">
        <is>
          <t>AVERAGE MW at fence (not firm)</t>
        </is>
      </c>
      <c r="AY31" s="151" t="inlineStr">
        <is>
          <t>Well capacity MW</t>
        </is>
      </c>
      <c r="AZ31" s="151" t="inlineStr">
        <is>
          <t>GB200 racks (complete)</t>
        </is>
      </c>
      <c r="BA31" s="151" t="inlineStr">
        <is>
          <t>Wells + mob</t>
        </is>
      </c>
      <c r="BB31" s="151" t="inlineStr">
        <is>
          <t>ORC plant</t>
        </is>
      </c>
      <c r="BC31" s="151" t="inlineStr">
        <is>
          <t>DC modules</t>
        </is>
      </c>
      <c r="BD31" s="151" t="inlineStr">
        <is>
          <t>IT fit-out</t>
        </is>
      </c>
      <c r="BE31" s="151" t="inlineStr">
        <is>
          <t>Unpriced lines (A$0)</t>
        </is>
      </c>
      <c r="BF31" s="151" t="inlineStr">
        <is>
          <t>Contingency</t>
        </is>
      </c>
      <c r="BG31" s="151" t="inlineStr">
        <is>
          <t>Runway</t>
        </is>
      </c>
      <c r="BH31" s="151" t="inlineStr">
        <is>
          <t>Committed</t>
        </is>
      </c>
      <c r="BI31" s="151" t="inlineStr">
        <is>
          <t>Undrawn</t>
        </is>
      </c>
      <c r="BJ31" s="151" t="inlineStr">
        <is>
          <t>Revenue/yr</t>
        </is>
      </c>
      <c r="BK31" s="151" t="inlineStr">
        <is>
          <t>Opex/yr</t>
        </is>
      </c>
      <c r="BL31" s="151" t="inlineStr">
        <is>
          <t>Contribution/yr</t>
        </is>
      </c>
      <c r="BM31" s="151" t="inlineStr">
        <is>
          <t>Contribution / committed</t>
        </is>
      </c>
      <c r="BN31" s="151" t="inlineStr">
        <is>
          <t>Status</t>
        </is>
      </c>
    </row>
    <row r="32">
      <c r="A32" s="90" t="n">
        <v>50000000</v>
      </c>
      <c r="B32" s="90">
        <f>A32*$B$6</f>
        <v/>
      </c>
      <c r="C32" s="90">
        <f>MAX(0,(A32-$B$16)/(1+$B$15))</f>
        <v/>
      </c>
      <c r="D32" s="123">
        <f>MAX(0,FLOOR(MIN(1*$B$7*$B$14/$B$13,(C32-2*1*$B$8-$B$9-$B$22)/$B$17)+1E-9,$B$21))</f>
        <v/>
      </c>
      <c r="E32" s="123">
        <f>MAX(0,FLOOR(MIN(2*$B$7*$B$14/$B$13,(C32-2*2*$B$8-$B$9-$B$22)/$B$17)+1E-9,$B$21))</f>
        <v/>
      </c>
      <c r="F32" s="123">
        <f>MAX(0,FLOOR(MIN(3*$B$7*$B$14/$B$13,(C32-2*3*$B$8-$B$9-$B$22)/$B$17)+1E-9,$B$21))</f>
        <v/>
      </c>
      <c r="G32" s="123">
        <f>MAX(0,FLOOR(MIN(4*$B$7*$B$14/$B$13,(C32-2*4*$B$8-$B$9-$B$22)/$B$17)+1E-9,$B$21))</f>
        <v/>
      </c>
      <c r="H32" s="123">
        <f>MAX(0,FLOOR(MIN(5*$B$7*$B$14/$B$13,(C32-2*5*$B$8-$B$9-$B$22)/$B$17)+1E-9,$B$21))</f>
        <v/>
      </c>
      <c r="I32" s="123">
        <f>MAX(0,FLOOR(MIN(6*$B$7*$B$14/$B$13,(C32-2*6*$B$8-$B$9-$B$22)/$B$17)+1E-9,$B$21))</f>
        <v/>
      </c>
      <c r="J32" s="123">
        <f>MAX(0,FLOOR(MIN(7*$B$7*$B$14/$B$13,(C32-2*7*$B$8-$B$9-$B$22)/$B$17)+1E-9,$B$21))</f>
        <v/>
      </c>
      <c r="K32" s="123">
        <f>MAX(0,FLOOR(MIN(8*$B$7*$B$14/$B$13,(C32-2*8*$B$8-$B$9-$B$22)/$B$17)+1E-9,$B$21))</f>
        <v/>
      </c>
      <c r="L32" s="123">
        <f>MAX(0,FLOOR(MIN(9*$B$7*$B$14/$B$13,(C32-2*9*$B$8-$B$9-$B$22)/$B$17)+1E-9,$B$21))</f>
        <v/>
      </c>
      <c r="M32" s="123">
        <f>MAX(0,FLOOR(MIN(10*$B$7*$B$14/$B$13,(C32-2*10*$B$8-$B$9-$B$22)/$B$17)+1E-9,$B$21))</f>
        <v/>
      </c>
      <c r="N32" s="90">
        <f>IF(D32&gt;0,(2*1*$B$8+$B$9+$B$22+$B$17*D32)*(1+$B$15)+$B$16,0)</f>
        <v/>
      </c>
      <c r="O32" s="90">
        <f>IF(E32&gt;0,(2*2*$B$8+$B$9+$B$22+$B$17*E32)*(1+$B$15)+$B$16,0)</f>
        <v/>
      </c>
      <c r="P32" s="90">
        <f>IF(F32&gt;0,(2*3*$B$8+$B$9+$B$22+$B$17*F32)*(1+$B$15)+$B$16,0)</f>
        <v/>
      </c>
      <c r="Q32" s="90">
        <f>IF(G32&gt;0,(2*4*$B$8+$B$9+$B$22+$B$17*G32)*(1+$B$15)+$B$16,0)</f>
        <v/>
      </c>
      <c r="R32" s="90">
        <f>IF(H32&gt;0,(2*5*$B$8+$B$9+$B$22+$B$17*H32)*(1+$B$15)+$B$16,0)</f>
        <v/>
      </c>
      <c r="S32" s="90">
        <f>IF(I32&gt;0,(2*6*$B$8+$B$9+$B$22+$B$17*I32)*(1+$B$15)+$B$16,0)</f>
        <v/>
      </c>
      <c r="T32" s="90">
        <f>IF(J32&gt;0,(2*7*$B$8+$B$9+$B$22+$B$17*J32)*(1+$B$15)+$B$16,0)</f>
        <v/>
      </c>
      <c r="U32" s="90">
        <f>IF(K32&gt;0,(2*8*$B$8+$B$9+$B$22+$B$17*K32)*(1+$B$15)+$B$16,0)</f>
        <v/>
      </c>
      <c r="V32" s="90">
        <f>IF(L32&gt;0,(2*9*$B$8+$B$9+$B$22+$B$17*L32)*(1+$B$15)+$B$16,0)</f>
        <v/>
      </c>
      <c r="W32" s="90">
        <f>IF(M32&gt;0,(2*10*$B$8+$B$9+$B$22+$B$17*M32)*(1+$B$15)+$B$16,0)</f>
        <v/>
      </c>
      <c r="X32" s="90">
        <f>IF(D32&gt;0,D32*($B$18-$B$19)-$B$20,0)</f>
        <v/>
      </c>
      <c r="Y32" s="90">
        <f>IF(E32&gt;0,E32*($B$18-$B$19)-$B$20,0)</f>
        <v/>
      </c>
      <c r="Z32" s="90">
        <f>IF(F32&gt;0,F32*($B$18-$B$19)-$B$20,0)</f>
        <v/>
      </c>
      <c r="AA32" s="90">
        <f>IF(G32&gt;0,G32*($B$18-$B$19)-$B$20,0)</f>
        <v/>
      </c>
      <c r="AB32" s="90">
        <f>IF(H32&gt;0,H32*($B$18-$B$19)-$B$20,0)</f>
        <v/>
      </c>
      <c r="AC32" s="90">
        <f>IF(I32&gt;0,I32*($B$18-$B$19)-$B$20,0)</f>
        <v/>
      </c>
      <c r="AD32" s="90">
        <f>IF(J32&gt;0,J32*($B$18-$B$19)-$B$20,0)</f>
        <v/>
      </c>
      <c r="AE32" s="90">
        <f>IF(K32&gt;0,K32*($B$18-$B$19)-$B$20,0)</f>
        <v/>
      </c>
      <c r="AF32" s="90">
        <f>IF(L32&gt;0,L32*($B$18-$B$19)-$B$20,0)</f>
        <v/>
      </c>
      <c r="AG32" s="90">
        <f>IF(M32&gt;0,M32*($B$18-$B$19)-$B$20,0)</f>
        <v/>
      </c>
      <c r="AH32" s="91">
        <f>IF(D32&gt;0,X32/N32,-99)</f>
        <v/>
      </c>
      <c r="AI32" s="91">
        <f>IF(E32&gt;0,Y32/O32,-99)</f>
        <v/>
      </c>
      <c r="AJ32" s="91">
        <f>IF(F32&gt;0,Z32/P32,-99)</f>
        <v/>
      </c>
      <c r="AK32" s="91">
        <f>IF(G32&gt;0,AA32/Q32,-99)</f>
        <v/>
      </c>
      <c r="AL32" s="91">
        <f>IF(H32&gt;0,AB32/R32,-99)</f>
        <v/>
      </c>
      <c r="AM32" s="91">
        <f>IF(I32&gt;0,AC32/S32,-99)</f>
        <v/>
      </c>
      <c r="AN32" s="91">
        <f>IF(J32&gt;0,AD32/T32,-99)</f>
        <v/>
      </c>
      <c r="AO32" s="91">
        <f>IF(K32&gt;0,AE32/U32,-99)</f>
        <v/>
      </c>
      <c r="AP32" s="91">
        <f>IF(L32&gt;0,AF32/V32,-99)</f>
        <v/>
      </c>
      <c r="AQ32" s="91">
        <f>IF(M32&gt;0,AG32/W32,-99)</f>
        <v/>
      </c>
      <c r="AR32" s="68">
        <f>MAX(AH32:AQ32)</f>
        <v/>
      </c>
      <c r="AS32" s="68">
        <f>IF(AR32=-99,0,MATCH(AR32,AH32:AQ32,0))</f>
        <v/>
      </c>
      <c r="AT32" s="123">
        <f>IF(AS32=0,0,INDEX(D32:M32,AS32))</f>
        <v/>
      </c>
      <c r="AU32" s="68">
        <f>ROUND(AT32/$B$21,0)</f>
        <v/>
      </c>
      <c r="AV32" s="68">
        <f>2*AS32</f>
        <v/>
      </c>
      <c r="AW32" s="123">
        <f>AT32*$B$13/$B$14</f>
        <v/>
      </c>
      <c r="AX32" s="123">
        <f>AW32*$B$14</f>
        <v/>
      </c>
      <c r="AY32" s="68">
        <f>AS32*$B$7</f>
        <v/>
      </c>
      <c r="AZ32" s="68">
        <f>ROUNDDOWN(AT32*1000/Rates!$D$27,0)</f>
        <v/>
      </c>
      <c r="BA32" s="90">
        <f>IF(AS32=0,0,2*AS32*$B$8+$B$9)</f>
        <v/>
      </c>
      <c r="BB32" s="90">
        <f>AW32*1000*$B$10</f>
        <v/>
      </c>
      <c r="BC32" s="90">
        <f>AT32*$B$11</f>
        <v/>
      </c>
      <c r="BD32" s="90">
        <f>AT32*$B$12</f>
        <v/>
      </c>
      <c r="BE32" s="90">
        <f>IF(AS32=0,0,$B$22)</f>
        <v/>
      </c>
      <c r="BF32" s="90">
        <f>(BA32+BB32+BC32+BD32+BE32)*$B$15</f>
        <v/>
      </c>
      <c r="BG32" s="90">
        <f>IF(AS32=0,0,$B$16)</f>
        <v/>
      </c>
      <c r="BH32" s="90">
        <f>BA32+BB32+BC32+BD32+BE32+BF32+BG32</f>
        <v/>
      </c>
      <c r="BI32" s="90">
        <f>A32-BH32</f>
        <v/>
      </c>
      <c r="BJ32" s="90">
        <f>AT32*$B$18</f>
        <v/>
      </c>
      <c r="BK32" s="90">
        <f>IF(AS32=0,0,AT32*$B$19+$B$20)</f>
        <v/>
      </c>
      <c r="BL32" s="90">
        <f>BJ32-BK32</f>
        <v/>
      </c>
      <c r="BM32" s="91">
        <f>IF(BH32&gt;0,BL32/BH32,0)</f>
        <v/>
      </c>
      <c r="BN32" s="68">
        <f>IF(AS32=0,IF(A32&gt;=$B$29,"RESERVOIR TEST ONLY: funds a doublet test, not a powered module","BELOW A DOUBLET: appraisal well at most"),IF(BL32&lt;0,"Builds whole modules but contribution is negative",IF(AT32&lt;Control!$B$12,"Operating break-even or better, below the 5 MW reference (not a return)","At/above the 5 MW reference (not a return)")))</f>
        <v/>
      </c>
    </row>
    <row r="33">
      <c r="A33" s="90" t="n">
        <v>100000000</v>
      </c>
      <c r="B33" s="90">
        <f>A33*$B$6</f>
        <v/>
      </c>
      <c r="C33" s="90">
        <f>MAX(0,(A33-$B$16)/(1+$B$15))</f>
        <v/>
      </c>
      <c r="D33" s="123">
        <f>MAX(0,FLOOR(MIN(1*$B$7*$B$14/$B$13,(C33-2*1*$B$8-$B$9-$B$22)/$B$17)+1E-9,$B$21))</f>
        <v/>
      </c>
      <c r="E33" s="123">
        <f>MAX(0,FLOOR(MIN(2*$B$7*$B$14/$B$13,(C33-2*2*$B$8-$B$9-$B$22)/$B$17)+1E-9,$B$21))</f>
        <v/>
      </c>
      <c r="F33" s="123">
        <f>MAX(0,FLOOR(MIN(3*$B$7*$B$14/$B$13,(C33-2*3*$B$8-$B$9-$B$22)/$B$17)+1E-9,$B$21))</f>
        <v/>
      </c>
      <c r="G33" s="123">
        <f>MAX(0,FLOOR(MIN(4*$B$7*$B$14/$B$13,(C33-2*4*$B$8-$B$9-$B$22)/$B$17)+1E-9,$B$21))</f>
        <v/>
      </c>
      <c r="H33" s="123">
        <f>MAX(0,FLOOR(MIN(5*$B$7*$B$14/$B$13,(C33-2*5*$B$8-$B$9-$B$22)/$B$17)+1E-9,$B$21))</f>
        <v/>
      </c>
      <c r="I33" s="123">
        <f>MAX(0,FLOOR(MIN(6*$B$7*$B$14/$B$13,(C33-2*6*$B$8-$B$9-$B$22)/$B$17)+1E-9,$B$21))</f>
        <v/>
      </c>
      <c r="J33" s="123">
        <f>MAX(0,FLOOR(MIN(7*$B$7*$B$14/$B$13,(C33-2*7*$B$8-$B$9-$B$22)/$B$17)+1E-9,$B$21))</f>
        <v/>
      </c>
      <c r="K33" s="123">
        <f>MAX(0,FLOOR(MIN(8*$B$7*$B$14/$B$13,(C33-2*8*$B$8-$B$9-$B$22)/$B$17)+1E-9,$B$21))</f>
        <v/>
      </c>
      <c r="L33" s="123">
        <f>MAX(0,FLOOR(MIN(9*$B$7*$B$14/$B$13,(C33-2*9*$B$8-$B$9-$B$22)/$B$17)+1E-9,$B$21))</f>
        <v/>
      </c>
      <c r="M33" s="123">
        <f>MAX(0,FLOOR(MIN(10*$B$7*$B$14/$B$13,(C33-2*10*$B$8-$B$9-$B$22)/$B$17)+1E-9,$B$21))</f>
        <v/>
      </c>
      <c r="N33" s="90">
        <f>IF(D33&gt;0,(2*1*$B$8+$B$9+$B$22+$B$17*D33)*(1+$B$15)+$B$16,0)</f>
        <v/>
      </c>
      <c r="O33" s="90">
        <f>IF(E33&gt;0,(2*2*$B$8+$B$9+$B$22+$B$17*E33)*(1+$B$15)+$B$16,0)</f>
        <v/>
      </c>
      <c r="P33" s="90">
        <f>IF(F33&gt;0,(2*3*$B$8+$B$9+$B$22+$B$17*F33)*(1+$B$15)+$B$16,0)</f>
        <v/>
      </c>
      <c r="Q33" s="90">
        <f>IF(G33&gt;0,(2*4*$B$8+$B$9+$B$22+$B$17*G33)*(1+$B$15)+$B$16,0)</f>
        <v/>
      </c>
      <c r="R33" s="90">
        <f>IF(H33&gt;0,(2*5*$B$8+$B$9+$B$22+$B$17*H33)*(1+$B$15)+$B$16,0)</f>
        <v/>
      </c>
      <c r="S33" s="90">
        <f>IF(I33&gt;0,(2*6*$B$8+$B$9+$B$22+$B$17*I33)*(1+$B$15)+$B$16,0)</f>
        <v/>
      </c>
      <c r="T33" s="90">
        <f>IF(J33&gt;0,(2*7*$B$8+$B$9+$B$22+$B$17*J33)*(1+$B$15)+$B$16,0)</f>
        <v/>
      </c>
      <c r="U33" s="90">
        <f>IF(K33&gt;0,(2*8*$B$8+$B$9+$B$22+$B$17*K33)*(1+$B$15)+$B$16,0)</f>
        <v/>
      </c>
      <c r="V33" s="90">
        <f>IF(L33&gt;0,(2*9*$B$8+$B$9+$B$22+$B$17*L33)*(1+$B$15)+$B$16,0)</f>
        <v/>
      </c>
      <c r="W33" s="90">
        <f>IF(M33&gt;0,(2*10*$B$8+$B$9+$B$22+$B$17*M33)*(1+$B$15)+$B$16,0)</f>
        <v/>
      </c>
      <c r="X33" s="90">
        <f>IF(D33&gt;0,D33*($B$18-$B$19)-$B$20,0)</f>
        <v/>
      </c>
      <c r="Y33" s="90">
        <f>IF(E33&gt;0,E33*($B$18-$B$19)-$B$20,0)</f>
        <v/>
      </c>
      <c r="Z33" s="90">
        <f>IF(F33&gt;0,F33*($B$18-$B$19)-$B$20,0)</f>
        <v/>
      </c>
      <c r="AA33" s="90">
        <f>IF(G33&gt;0,G33*($B$18-$B$19)-$B$20,0)</f>
        <v/>
      </c>
      <c r="AB33" s="90">
        <f>IF(H33&gt;0,H33*($B$18-$B$19)-$B$20,0)</f>
        <v/>
      </c>
      <c r="AC33" s="90">
        <f>IF(I33&gt;0,I33*($B$18-$B$19)-$B$20,0)</f>
        <v/>
      </c>
      <c r="AD33" s="90">
        <f>IF(J33&gt;0,J33*($B$18-$B$19)-$B$20,0)</f>
        <v/>
      </c>
      <c r="AE33" s="90">
        <f>IF(K33&gt;0,K33*($B$18-$B$19)-$B$20,0)</f>
        <v/>
      </c>
      <c r="AF33" s="90">
        <f>IF(L33&gt;0,L33*($B$18-$B$19)-$B$20,0)</f>
        <v/>
      </c>
      <c r="AG33" s="90">
        <f>IF(M33&gt;0,M33*($B$18-$B$19)-$B$20,0)</f>
        <v/>
      </c>
      <c r="AH33" s="91">
        <f>IF(D33&gt;0,X33/N33,-99)</f>
        <v/>
      </c>
      <c r="AI33" s="91">
        <f>IF(E33&gt;0,Y33/O33,-99)</f>
        <v/>
      </c>
      <c r="AJ33" s="91">
        <f>IF(F33&gt;0,Z33/P33,-99)</f>
        <v/>
      </c>
      <c r="AK33" s="91">
        <f>IF(G33&gt;0,AA33/Q33,-99)</f>
        <v/>
      </c>
      <c r="AL33" s="91">
        <f>IF(H33&gt;0,AB33/R33,-99)</f>
        <v/>
      </c>
      <c r="AM33" s="91">
        <f>IF(I33&gt;0,AC33/S33,-99)</f>
        <v/>
      </c>
      <c r="AN33" s="91">
        <f>IF(J33&gt;0,AD33/T33,-99)</f>
        <v/>
      </c>
      <c r="AO33" s="91">
        <f>IF(K33&gt;0,AE33/U33,-99)</f>
        <v/>
      </c>
      <c r="AP33" s="91">
        <f>IF(L33&gt;0,AF33/V33,-99)</f>
        <v/>
      </c>
      <c r="AQ33" s="91">
        <f>IF(M33&gt;0,AG33/W33,-99)</f>
        <v/>
      </c>
      <c r="AR33" s="68">
        <f>MAX(AH33:AQ33)</f>
        <v/>
      </c>
      <c r="AS33" s="68">
        <f>IF(AR33=-99,0,MATCH(AR33,AH33:AQ33,0))</f>
        <v/>
      </c>
      <c r="AT33" s="123">
        <f>IF(AS33=0,0,INDEX(D33:M33,AS33))</f>
        <v/>
      </c>
      <c r="AU33" s="68">
        <f>ROUND(AT33/$B$21,0)</f>
        <v/>
      </c>
      <c r="AV33" s="68">
        <f>2*AS33</f>
        <v/>
      </c>
      <c r="AW33" s="123">
        <f>AT33*$B$13/$B$14</f>
        <v/>
      </c>
      <c r="AX33" s="123">
        <f>AW33*$B$14</f>
        <v/>
      </c>
      <c r="AY33" s="68">
        <f>AS33*$B$7</f>
        <v/>
      </c>
      <c r="AZ33" s="68">
        <f>ROUNDDOWN(AT33*1000/Rates!$D$27,0)</f>
        <v/>
      </c>
      <c r="BA33" s="90">
        <f>IF(AS33=0,0,2*AS33*$B$8+$B$9)</f>
        <v/>
      </c>
      <c r="BB33" s="90">
        <f>AW33*1000*$B$10</f>
        <v/>
      </c>
      <c r="BC33" s="90">
        <f>AT33*$B$11</f>
        <v/>
      </c>
      <c r="BD33" s="90">
        <f>AT33*$B$12</f>
        <v/>
      </c>
      <c r="BE33" s="90">
        <f>IF(AS33=0,0,$B$22)</f>
        <v/>
      </c>
      <c r="BF33" s="90">
        <f>(BA33+BB33+BC33+BD33+BE33)*$B$15</f>
        <v/>
      </c>
      <c r="BG33" s="90">
        <f>IF(AS33=0,0,$B$16)</f>
        <v/>
      </c>
      <c r="BH33" s="90">
        <f>BA33+BB33+BC33+BD33+BE33+BF33+BG33</f>
        <v/>
      </c>
      <c r="BI33" s="90">
        <f>A33-BH33</f>
        <v/>
      </c>
      <c r="BJ33" s="90">
        <f>AT33*$B$18</f>
        <v/>
      </c>
      <c r="BK33" s="90">
        <f>IF(AS33=0,0,AT33*$B$19+$B$20)</f>
        <v/>
      </c>
      <c r="BL33" s="90">
        <f>BJ33-BK33</f>
        <v/>
      </c>
      <c r="BM33" s="91">
        <f>IF(BH33&gt;0,BL33/BH33,0)</f>
        <v/>
      </c>
      <c r="BN33" s="68">
        <f>IF(AS33=0,IF(A33&gt;=$B$29,"RESERVOIR TEST ONLY: funds a doublet test, not a powered module","BELOW A DOUBLET: appraisal well at most"),IF(BL33&lt;0,"Builds whole modules but contribution is negative",IF(AT33&lt;Control!$B$12,"Operating break-even or better, below the 5 MW reference (not a return)","At/above the 5 MW reference (not a return)")))</f>
        <v/>
      </c>
    </row>
    <row r="34">
      <c r="A34" s="90" t="n">
        <v>150000000</v>
      </c>
      <c r="B34" s="90">
        <f>A34*$B$6</f>
        <v/>
      </c>
      <c r="C34" s="90">
        <f>MAX(0,(A34-$B$16)/(1+$B$15))</f>
        <v/>
      </c>
      <c r="D34" s="123">
        <f>MAX(0,FLOOR(MIN(1*$B$7*$B$14/$B$13,(C34-2*1*$B$8-$B$9-$B$22)/$B$17)+1E-9,$B$21))</f>
        <v/>
      </c>
      <c r="E34" s="123">
        <f>MAX(0,FLOOR(MIN(2*$B$7*$B$14/$B$13,(C34-2*2*$B$8-$B$9-$B$22)/$B$17)+1E-9,$B$21))</f>
        <v/>
      </c>
      <c r="F34" s="123">
        <f>MAX(0,FLOOR(MIN(3*$B$7*$B$14/$B$13,(C34-2*3*$B$8-$B$9-$B$22)/$B$17)+1E-9,$B$21))</f>
        <v/>
      </c>
      <c r="G34" s="123">
        <f>MAX(0,FLOOR(MIN(4*$B$7*$B$14/$B$13,(C34-2*4*$B$8-$B$9-$B$22)/$B$17)+1E-9,$B$21))</f>
        <v/>
      </c>
      <c r="H34" s="123">
        <f>MAX(0,FLOOR(MIN(5*$B$7*$B$14/$B$13,(C34-2*5*$B$8-$B$9-$B$22)/$B$17)+1E-9,$B$21))</f>
        <v/>
      </c>
      <c r="I34" s="123">
        <f>MAX(0,FLOOR(MIN(6*$B$7*$B$14/$B$13,(C34-2*6*$B$8-$B$9-$B$22)/$B$17)+1E-9,$B$21))</f>
        <v/>
      </c>
      <c r="J34" s="123">
        <f>MAX(0,FLOOR(MIN(7*$B$7*$B$14/$B$13,(C34-2*7*$B$8-$B$9-$B$22)/$B$17)+1E-9,$B$21))</f>
        <v/>
      </c>
      <c r="K34" s="123">
        <f>MAX(0,FLOOR(MIN(8*$B$7*$B$14/$B$13,(C34-2*8*$B$8-$B$9-$B$22)/$B$17)+1E-9,$B$21))</f>
        <v/>
      </c>
      <c r="L34" s="123">
        <f>MAX(0,FLOOR(MIN(9*$B$7*$B$14/$B$13,(C34-2*9*$B$8-$B$9-$B$22)/$B$17)+1E-9,$B$21))</f>
        <v/>
      </c>
      <c r="M34" s="123">
        <f>MAX(0,FLOOR(MIN(10*$B$7*$B$14/$B$13,(C34-2*10*$B$8-$B$9-$B$22)/$B$17)+1E-9,$B$21))</f>
        <v/>
      </c>
      <c r="N34" s="90">
        <f>IF(D34&gt;0,(2*1*$B$8+$B$9+$B$22+$B$17*D34)*(1+$B$15)+$B$16,0)</f>
        <v/>
      </c>
      <c r="O34" s="90">
        <f>IF(E34&gt;0,(2*2*$B$8+$B$9+$B$22+$B$17*E34)*(1+$B$15)+$B$16,0)</f>
        <v/>
      </c>
      <c r="P34" s="90">
        <f>IF(F34&gt;0,(2*3*$B$8+$B$9+$B$22+$B$17*F34)*(1+$B$15)+$B$16,0)</f>
        <v/>
      </c>
      <c r="Q34" s="90">
        <f>IF(G34&gt;0,(2*4*$B$8+$B$9+$B$22+$B$17*G34)*(1+$B$15)+$B$16,0)</f>
        <v/>
      </c>
      <c r="R34" s="90">
        <f>IF(H34&gt;0,(2*5*$B$8+$B$9+$B$22+$B$17*H34)*(1+$B$15)+$B$16,0)</f>
        <v/>
      </c>
      <c r="S34" s="90">
        <f>IF(I34&gt;0,(2*6*$B$8+$B$9+$B$22+$B$17*I34)*(1+$B$15)+$B$16,0)</f>
        <v/>
      </c>
      <c r="T34" s="90">
        <f>IF(J34&gt;0,(2*7*$B$8+$B$9+$B$22+$B$17*J34)*(1+$B$15)+$B$16,0)</f>
        <v/>
      </c>
      <c r="U34" s="90">
        <f>IF(K34&gt;0,(2*8*$B$8+$B$9+$B$22+$B$17*K34)*(1+$B$15)+$B$16,0)</f>
        <v/>
      </c>
      <c r="V34" s="90">
        <f>IF(L34&gt;0,(2*9*$B$8+$B$9+$B$22+$B$17*L34)*(1+$B$15)+$B$16,0)</f>
        <v/>
      </c>
      <c r="W34" s="90">
        <f>IF(M34&gt;0,(2*10*$B$8+$B$9+$B$22+$B$17*M34)*(1+$B$15)+$B$16,0)</f>
        <v/>
      </c>
      <c r="X34" s="90">
        <f>IF(D34&gt;0,D34*($B$18-$B$19)-$B$20,0)</f>
        <v/>
      </c>
      <c r="Y34" s="90">
        <f>IF(E34&gt;0,E34*($B$18-$B$19)-$B$20,0)</f>
        <v/>
      </c>
      <c r="Z34" s="90">
        <f>IF(F34&gt;0,F34*($B$18-$B$19)-$B$20,0)</f>
        <v/>
      </c>
      <c r="AA34" s="90">
        <f>IF(G34&gt;0,G34*($B$18-$B$19)-$B$20,0)</f>
        <v/>
      </c>
      <c r="AB34" s="90">
        <f>IF(H34&gt;0,H34*($B$18-$B$19)-$B$20,0)</f>
        <v/>
      </c>
      <c r="AC34" s="90">
        <f>IF(I34&gt;0,I34*($B$18-$B$19)-$B$20,0)</f>
        <v/>
      </c>
      <c r="AD34" s="90">
        <f>IF(J34&gt;0,J34*($B$18-$B$19)-$B$20,0)</f>
        <v/>
      </c>
      <c r="AE34" s="90">
        <f>IF(K34&gt;0,K34*($B$18-$B$19)-$B$20,0)</f>
        <v/>
      </c>
      <c r="AF34" s="90">
        <f>IF(L34&gt;0,L34*($B$18-$B$19)-$B$20,0)</f>
        <v/>
      </c>
      <c r="AG34" s="90">
        <f>IF(M34&gt;0,M34*($B$18-$B$19)-$B$20,0)</f>
        <v/>
      </c>
      <c r="AH34" s="91">
        <f>IF(D34&gt;0,X34/N34,-99)</f>
        <v/>
      </c>
      <c r="AI34" s="91">
        <f>IF(E34&gt;0,Y34/O34,-99)</f>
        <v/>
      </c>
      <c r="AJ34" s="91">
        <f>IF(F34&gt;0,Z34/P34,-99)</f>
        <v/>
      </c>
      <c r="AK34" s="91">
        <f>IF(G34&gt;0,AA34/Q34,-99)</f>
        <v/>
      </c>
      <c r="AL34" s="91">
        <f>IF(H34&gt;0,AB34/R34,-99)</f>
        <v/>
      </c>
      <c r="AM34" s="91">
        <f>IF(I34&gt;0,AC34/S34,-99)</f>
        <v/>
      </c>
      <c r="AN34" s="91">
        <f>IF(J34&gt;0,AD34/T34,-99)</f>
        <v/>
      </c>
      <c r="AO34" s="91">
        <f>IF(K34&gt;0,AE34/U34,-99)</f>
        <v/>
      </c>
      <c r="AP34" s="91">
        <f>IF(L34&gt;0,AF34/V34,-99)</f>
        <v/>
      </c>
      <c r="AQ34" s="91">
        <f>IF(M34&gt;0,AG34/W34,-99)</f>
        <v/>
      </c>
      <c r="AR34" s="68">
        <f>MAX(AH34:AQ34)</f>
        <v/>
      </c>
      <c r="AS34" s="68">
        <f>IF(AR34=-99,0,MATCH(AR34,AH34:AQ34,0))</f>
        <v/>
      </c>
      <c r="AT34" s="123">
        <f>IF(AS34=0,0,INDEX(D34:M34,AS34))</f>
        <v/>
      </c>
      <c r="AU34" s="68">
        <f>ROUND(AT34/$B$21,0)</f>
        <v/>
      </c>
      <c r="AV34" s="68">
        <f>2*AS34</f>
        <v/>
      </c>
      <c r="AW34" s="123">
        <f>AT34*$B$13/$B$14</f>
        <v/>
      </c>
      <c r="AX34" s="123">
        <f>AW34*$B$14</f>
        <v/>
      </c>
      <c r="AY34" s="68">
        <f>AS34*$B$7</f>
        <v/>
      </c>
      <c r="AZ34" s="68">
        <f>ROUNDDOWN(AT34*1000/Rates!$D$27,0)</f>
        <v/>
      </c>
      <c r="BA34" s="90">
        <f>IF(AS34=0,0,2*AS34*$B$8+$B$9)</f>
        <v/>
      </c>
      <c r="BB34" s="90">
        <f>AW34*1000*$B$10</f>
        <v/>
      </c>
      <c r="BC34" s="90">
        <f>AT34*$B$11</f>
        <v/>
      </c>
      <c r="BD34" s="90">
        <f>AT34*$B$12</f>
        <v/>
      </c>
      <c r="BE34" s="90">
        <f>IF(AS34=0,0,$B$22)</f>
        <v/>
      </c>
      <c r="BF34" s="90">
        <f>(BA34+BB34+BC34+BD34+BE34)*$B$15</f>
        <v/>
      </c>
      <c r="BG34" s="90">
        <f>IF(AS34=0,0,$B$16)</f>
        <v/>
      </c>
      <c r="BH34" s="90">
        <f>BA34+BB34+BC34+BD34+BE34+BF34+BG34</f>
        <v/>
      </c>
      <c r="BI34" s="90">
        <f>A34-BH34</f>
        <v/>
      </c>
      <c r="BJ34" s="90">
        <f>AT34*$B$18</f>
        <v/>
      </c>
      <c r="BK34" s="90">
        <f>IF(AS34=0,0,AT34*$B$19+$B$20)</f>
        <v/>
      </c>
      <c r="BL34" s="90">
        <f>BJ34-BK34</f>
        <v/>
      </c>
      <c r="BM34" s="91">
        <f>IF(BH34&gt;0,BL34/BH34,0)</f>
        <v/>
      </c>
      <c r="BN34" s="68">
        <f>IF(AS34=0,IF(A34&gt;=$B$29,"RESERVOIR TEST ONLY: funds a doublet test, not a powered module","BELOW A DOUBLET: appraisal well at most"),IF(BL34&lt;0,"Builds whole modules but contribution is negative",IF(AT34&lt;Control!$B$12,"Operating break-even or better, below the 5 MW reference (not a return)","At/above the 5 MW reference (not a return)")))</f>
        <v/>
      </c>
    </row>
    <row r="35">
      <c r="A35" s="90" t="n">
        <v>200000000</v>
      </c>
      <c r="B35" s="90">
        <f>A35*$B$6</f>
        <v/>
      </c>
      <c r="C35" s="90">
        <f>MAX(0,(A35-$B$16)/(1+$B$15))</f>
        <v/>
      </c>
      <c r="D35" s="123">
        <f>MAX(0,FLOOR(MIN(1*$B$7*$B$14/$B$13,(C35-2*1*$B$8-$B$9-$B$22)/$B$17)+1E-9,$B$21))</f>
        <v/>
      </c>
      <c r="E35" s="123">
        <f>MAX(0,FLOOR(MIN(2*$B$7*$B$14/$B$13,(C35-2*2*$B$8-$B$9-$B$22)/$B$17)+1E-9,$B$21))</f>
        <v/>
      </c>
      <c r="F35" s="123">
        <f>MAX(0,FLOOR(MIN(3*$B$7*$B$14/$B$13,(C35-2*3*$B$8-$B$9-$B$22)/$B$17)+1E-9,$B$21))</f>
        <v/>
      </c>
      <c r="G35" s="123">
        <f>MAX(0,FLOOR(MIN(4*$B$7*$B$14/$B$13,(C35-2*4*$B$8-$B$9-$B$22)/$B$17)+1E-9,$B$21))</f>
        <v/>
      </c>
      <c r="H35" s="123">
        <f>MAX(0,FLOOR(MIN(5*$B$7*$B$14/$B$13,(C35-2*5*$B$8-$B$9-$B$22)/$B$17)+1E-9,$B$21))</f>
        <v/>
      </c>
      <c r="I35" s="123">
        <f>MAX(0,FLOOR(MIN(6*$B$7*$B$14/$B$13,(C35-2*6*$B$8-$B$9-$B$22)/$B$17)+1E-9,$B$21))</f>
        <v/>
      </c>
      <c r="J35" s="123">
        <f>MAX(0,FLOOR(MIN(7*$B$7*$B$14/$B$13,(C35-2*7*$B$8-$B$9-$B$22)/$B$17)+1E-9,$B$21))</f>
        <v/>
      </c>
      <c r="K35" s="123">
        <f>MAX(0,FLOOR(MIN(8*$B$7*$B$14/$B$13,(C35-2*8*$B$8-$B$9-$B$22)/$B$17)+1E-9,$B$21))</f>
        <v/>
      </c>
      <c r="L35" s="123">
        <f>MAX(0,FLOOR(MIN(9*$B$7*$B$14/$B$13,(C35-2*9*$B$8-$B$9-$B$22)/$B$17)+1E-9,$B$21))</f>
        <v/>
      </c>
      <c r="M35" s="123">
        <f>MAX(0,FLOOR(MIN(10*$B$7*$B$14/$B$13,(C35-2*10*$B$8-$B$9-$B$22)/$B$17)+1E-9,$B$21))</f>
        <v/>
      </c>
      <c r="N35" s="90">
        <f>IF(D35&gt;0,(2*1*$B$8+$B$9+$B$22+$B$17*D35)*(1+$B$15)+$B$16,0)</f>
        <v/>
      </c>
      <c r="O35" s="90">
        <f>IF(E35&gt;0,(2*2*$B$8+$B$9+$B$22+$B$17*E35)*(1+$B$15)+$B$16,0)</f>
        <v/>
      </c>
      <c r="P35" s="90">
        <f>IF(F35&gt;0,(2*3*$B$8+$B$9+$B$22+$B$17*F35)*(1+$B$15)+$B$16,0)</f>
        <v/>
      </c>
      <c r="Q35" s="90">
        <f>IF(G35&gt;0,(2*4*$B$8+$B$9+$B$22+$B$17*G35)*(1+$B$15)+$B$16,0)</f>
        <v/>
      </c>
      <c r="R35" s="90">
        <f>IF(H35&gt;0,(2*5*$B$8+$B$9+$B$22+$B$17*H35)*(1+$B$15)+$B$16,0)</f>
        <v/>
      </c>
      <c r="S35" s="90">
        <f>IF(I35&gt;0,(2*6*$B$8+$B$9+$B$22+$B$17*I35)*(1+$B$15)+$B$16,0)</f>
        <v/>
      </c>
      <c r="T35" s="90">
        <f>IF(J35&gt;0,(2*7*$B$8+$B$9+$B$22+$B$17*J35)*(1+$B$15)+$B$16,0)</f>
        <v/>
      </c>
      <c r="U35" s="90">
        <f>IF(K35&gt;0,(2*8*$B$8+$B$9+$B$22+$B$17*K35)*(1+$B$15)+$B$16,0)</f>
        <v/>
      </c>
      <c r="V35" s="90">
        <f>IF(L35&gt;0,(2*9*$B$8+$B$9+$B$22+$B$17*L35)*(1+$B$15)+$B$16,0)</f>
        <v/>
      </c>
      <c r="W35" s="90">
        <f>IF(M35&gt;0,(2*10*$B$8+$B$9+$B$22+$B$17*M35)*(1+$B$15)+$B$16,0)</f>
        <v/>
      </c>
      <c r="X35" s="90">
        <f>IF(D35&gt;0,D35*($B$18-$B$19)-$B$20,0)</f>
        <v/>
      </c>
      <c r="Y35" s="90">
        <f>IF(E35&gt;0,E35*($B$18-$B$19)-$B$20,0)</f>
        <v/>
      </c>
      <c r="Z35" s="90">
        <f>IF(F35&gt;0,F35*($B$18-$B$19)-$B$20,0)</f>
        <v/>
      </c>
      <c r="AA35" s="90">
        <f>IF(G35&gt;0,G35*($B$18-$B$19)-$B$20,0)</f>
        <v/>
      </c>
      <c r="AB35" s="90">
        <f>IF(H35&gt;0,H35*($B$18-$B$19)-$B$20,0)</f>
        <v/>
      </c>
      <c r="AC35" s="90">
        <f>IF(I35&gt;0,I35*($B$18-$B$19)-$B$20,0)</f>
        <v/>
      </c>
      <c r="AD35" s="90">
        <f>IF(J35&gt;0,J35*($B$18-$B$19)-$B$20,0)</f>
        <v/>
      </c>
      <c r="AE35" s="90">
        <f>IF(K35&gt;0,K35*($B$18-$B$19)-$B$20,0)</f>
        <v/>
      </c>
      <c r="AF35" s="90">
        <f>IF(L35&gt;0,L35*($B$18-$B$19)-$B$20,0)</f>
        <v/>
      </c>
      <c r="AG35" s="90">
        <f>IF(M35&gt;0,M35*($B$18-$B$19)-$B$20,0)</f>
        <v/>
      </c>
      <c r="AH35" s="91">
        <f>IF(D35&gt;0,X35/N35,-99)</f>
        <v/>
      </c>
      <c r="AI35" s="91">
        <f>IF(E35&gt;0,Y35/O35,-99)</f>
        <v/>
      </c>
      <c r="AJ35" s="91">
        <f>IF(F35&gt;0,Z35/P35,-99)</f>
        <v/>
      </c>
      <c r="AK35" s="91">
        <f>IF(G35&gt;0,AA35/Q35,-99)</f>
        <v/>
      </c>
      <c r="AL35" s="91">
        <f>IF(H35&gt;0,AB35/R35,-99)</f>
        <v/>
      </c>
      <c r="AM35" s="91">
        <f>IF(I35&gt;0,AC35/S35,-99)</f>
        <v/>
      </c>
      <c r="AN35" s="91">
        <f>IF(J35&gt;0,AD35/T35,-99)</f>
        <v/>
      </c>
      <c r="AO35" s="91">
        <f>IF(K35&gt;0,AE35/U35,-99)</f>
        <v/>
      </c>
      <c r="AP35" s="91">
        <f>IF(L35&gt;0,AF35/V35,-99)</f>
        <v/>
      </c>
      <c r="AQ35" s="91">
        <f>IF(M35&gt;0,AG35/W35,-99)</f>
        <v/>
      </c>
      <c r="AR35" s="68">
        <f>MAX(AH35:AQ35)</f>
        <v/>
      </c>
      <c r="AS35" s="68">
        <f>IF(AR35=-99,0,MATCH(AR35,AH35:AQ35,0))</f>
        <v/>
      </c>
      <c r="AT35" s="123">
        <f>IF(AS35=0,0,INDEX(D35:M35,AS35))</f>
        <v/>
      </c>
      <c r="AU35" s="68">
        <f>ROUND(AT35/$B$21,0)</f>
        <v/>
      </c>
      <c r="AV35" s="68">
        <f>2*AS35</f>
        <v/>
      </c>
      <c r="AW35" s="123">
        <f>AT35*$B$13/$B$14</f>
        <v/>
      </c>
      <c r="AX35" s="123">
        <f>AW35*$B$14</f>
        <v/>
      </c>
      <c r="AY35" s="68">
        <f>AS35*$B$7</f>
        <v/>
      </c>
      <c r="AZ35" s="68">
        <f>ROUNDDOWN(AT35*1000/Rates!$D$27,0)</f>
        <v/>
      </c>
      <c r="BA35" s="90">
        <f>IF(AS35=0,0,2*AS35*$B$8+$B$9)</f>
        <v/>
      </c>
      <c r="BB35" s="90">
        <f>AW35*1000*$B$10</f>
        <v/>
      </c>
      <c r="BC35" s="90">
        <f>AT35*$B$11</f>
        <v/>
      </c>
      <c r="BD35" s="90">
        <f>AT35*$B$12</f>
        <v/>
      </c>
      <c r="BE35" s="90">
        <f>IF(AS35=0,0,$B$22)</f>
        <v/>
      </c>
      <c r="BF35" s="90">
        <f>(BA35+BB35+BC35+BD35+BE35)*$B$15</f>
        <v/>
      </c>
      <c r="BG35" s="90">
        <f>IF(AS35=0,0,$B$16)</f>
        <v/>
      </c>
      <c r="BH35" s="90">
        <f>BA35+BB35+BC35+BD35+BE35+BF35+BG35</f>
        <v/>
      </c>
      <c r="BI35" s="90">
        <f>A35-BH35</f>
        <v/>
      </c>
      <c r="BJ35" s="90">
        <f>AT35*$B$18</f>
        <v/>
      </c>
      <c r="BK35" s="90">
        <f>IF(AS35=0,0,AT35*$B$19+$B$20)</f>
        <v/>
      </c>
      <c r="BL35" s="90">
        <f>BJ35-BK35</f>
        <v/>
      </c>
      <c r="BM35" s="91">
        <f>IF(BH35&gt;0,BL35/BH35,0)</f>
        <v/>
      </c>
      <c r="BN35" s="68">
        <f>IF(AS35=0,IF(A35&gt;=$B$29,"RESERVOIR TEST ONLY: funds a doublet test, not a powered module","BELOW A DOUBLET: appraisal well at most"),IF(BL35&lt;0,"Builds whole modules but contribution is negative",IF(AT35&lt;Control!$B$12,"Operating break-even or better, below the 5 MW reference (not a return)","At/above the 5 MW reference (not a return)")))</f>
        <v/>
      </c>
    </row>
    <row r="36">
      <c r="A36" s="90" t="n">
        <v>250000000</v>
      </c>
      <c r="B36" s="90">
        <f>A36*$B$6</f>
        <v/>
      </c>
      <c r="C36" s="90">
        <f>MAX(0,(A36-$B$16)/(1+$B$15))</f>
        <v/>
      </c>
      <c r="D36" s="123">
        <f>MAX(0,FLOOR(MIN(1*$B$7*$B$14/$B$13,(C36-2*1*$B$8-$B$9-$B$22)/$B$17)+1E-9,$B$21))</f>
        <v/>
      </c>
      <c r="E36" s="123">
        <f>MAX(0,FLOOR(MIN(2*$B$7*$B$14/$B$13,(C36-2*2*$B$8-$B$9-$B$22)/$B$17)+1E-9,$B$21))</f>
        <v/>
      </c>
      <c r="F36" s="123">
        <f>MAX(0,FLOOR(MIN(3*$B$7*$B$14/$B$13,(C36-2*3*$B$8-$B$9-$B$22)/$B$17)+1E-9,$B$21))</f>
        <v/>
      </c>
      <c r="G36" s="123">
        <f>MAX(0,FLOOR(MIN(4*$B$7*$B$14/$B$13,(C36-2*4*$B$8-$B$9-$B$22)/$B$17)+1E-9,$B$21))</f>
        <v/>
      </c>
      <c r="H36" s="123">
        <f>MAX(0,FLOOR(MIN(5*$B$7*$B$14/$B$13,(C36-2*5*$B$8-$B$9-$B$22)/$B$17)+1E-9,$B$21))</f>
        <v/>
      </c>
      <c r="I36" s="123">
        <f>MAX(0,FLOOR(MIN(6*$B$7*$B$14/$B$13,(C36-2*6*$B$8-$B$9-$B$22)/$B$17)+1E-9,$B$21))</f>
        <v/>
      </c>
      <c r="J36" s="123">
        <f>MAX(0,FLOOR(MIN(7*$B$7*$B$14/$B$13,(C36-2*7*$B$8-$B$9-$B$22)/$B$17)+1E-9,$B$21))</f>
        <v/>
      </c>
      <c r="K36" s="123">
        <f>MAX(0,FLOOR(MIN(8*$B$7*$B$14/$B$13,(C36-2*8*$B$8-$B$9-$B$22)/$B$17)+1E-9,$B$21))</f>
        <v/>
      </c>
      <c r="L36" s="123">
        <f>MAX(0,FLOOR(MIN(9*$B$7*$B$14/$B$13,(C36-2*9*$B$8-$B$9-$B$22)/$B$17)+1E-9,$B$21))</f>
        <v/>
      </c>
      <c r="M36" s="123">
        <f>MAX(0,FLOOR(MIN(10*$B$7*$B$14/$B$13,(C36-2*10*$B$8-$B$9-$B$22)/$B$17)+1E-9,$B$21))</f>
        <v/>
      </c>
      <c r="N36" s="90">
        <f>IF(D36&gt;0,(2*1*$B$8+$B$9+$B$22+$B$17*D36)*(1+$B$15)+$B$16,0)</f>
        <v/>
      </c>
      <c r="O36" s="90">
        <f>IF(E36&gt;0,(2*2*$B$8+$B$9+$B$22+$B$17*E36)*(1+$B$15)+$B$16,0)</f>
        <v/>
      </c>
      <c r="P36" s="90">
        <f>IF(F36&gt;0,(2*3*$B$8+$B$9+$B$22+$B$17*F36)*(1+$B$15)+$B$16,0)</f>
        <v/>
      </c>
      <c r="Q36" s="90">
        <f>IF(G36&gt;0,(2*4*$B$8+$B$9+$B$22+$B$17*G36)*(1+$B$15)+$B$16,0)</f>
        <v/>
      </c>
      <c r="R36" s="90">
        <f>IF(H36&gt;0,(2*5*$B$8+$B$9+$B$22+$B$17*H36)*(1+$B$15)+$B$16,0)</f>
        <v/>
      </c>
      <c r="S36" s="90">
        <f>IF(I36&gt;0,(2*6*$B$8+$B$9+$B$22+$B$17*I36)*(1+$B$15)+$B$16,0)</f>
        <v/>
      </c>
      <c r="T36" s="90">
        <f>IF(J36&gt;0,(2*7*$B$8+$B$9+$B$22+$B$17*J36)*(1+$B$15)+$B$16,0)</f>
        <v/>
      </c>
      <c r="U36" s="90">
        <f>IF(K36&gt;0,(2*8*$B$8+$B$9+$B$22+$B$17*K36)*(1+$B$15)+$B$16,0)</f>
        <v/>
      </c>
      <c r="V36" s="90">
        <f>IF(L36&gt;0,(2*9*$B$8+$B$9+$B$22+$B$17*L36)*(1+$B$15)+$B$16,0)</f>
        <v/>
      </c>
      <c r="W36" s="90">
        <f>IF(M36&gt;0,(2*10*$B$8+$B$9+$B$22+$B$17*M36)*(1+$B$15)+$B$16,0)</f>
        <v/>
      </c>
      <c r="X36" s="90">
        <f>IF(D36&gt;0,D36*($B$18-$B$19)-$B$20,0)</f>
        <v/>
      </c>
      <c r="Y36" s="90">
        <f>IF(E36&gt;0,E36*($B$18-$B$19)-$B$20,0)</f>
        <v/>
      </c>
      <c r="Z36" s="90">
        <f>IF(F36&gt;0,F36*($B$18-$B$19)-$B$20,0)</f>
        <v/>
      </c>
      <c r="AA36" s="90">
        <f>IF(G36&gt;0,G36*($B$18-$B$19)-$B$20,0)</f>
        <v/>
      </c>
      <c r="AB36" s="90">
        <f>IF(H36&gt;0,H36*($B$18-$B$19)-$B$20,0)</f>
        <v/>
      </c>
      <c r="AC36" s="90">
        <f>IF(I36&gt;0,I36*($B$18-$B$19)-$B$20,0)</f>
        <v/>
      </c>
      <c r="AD36" s="90">
        <f>IF(J36&gt;0,J36*($B$18-$B$19)-$B$20,0)</f>
        <v/>
      </c>
      <c r="AE36" s="90">
        <f>IF(K36&gt;0,K36*($B$18-$B$19)-$B$20,0)</f>
        <v/>
      </c>
      <c r="AF36" s="90">
        <f>IF(L36&gt;0,L36*($B$18-$B$19)-$B$20,0)</f>
        <v/>
      </c>
      <c r="AG36" s="90">
        <f>IF(M36&gt;0,M36*($B$18-$B$19)-$B$20,0)</f>
        <v/>
      </c>
      <c r="AH36" s="91">
        <f>IF(D36&gt;0,X36/N36,-99)</f>
        <v/>
      </c>
      <c r="AI36" s="91">
        <f>IF(E36&gt;0,Y36/O36,-99)</f>
        <v/>
      </c>
      <c r="AJ36" s="91">
        <f>IF(F36&gt;0,Z36/P36,-99)</f>
        <v/>
      </c>
      <c r="AK36" s="91">
        <f>IF(G36&gt;0,AA36/Q36,-99)</f>
        <v/>
      </c>
      <c r="AL36" s="91">
        <f>IF(H36&gt;0,AB36/R36,-99)</f>
        <v/>
      </c>
      <c r="AM36" s="91">
        <f>IF(I36&gt;0,AC36/S36,-99)</f>
        <v/>
      </c>
      <c r="AN36" s="91">
        <f>IF(J36&gt;0,AD36/T36,-99)</f>
        <v/>
      </c>
      <c r="AO36" s="91">
        <f>IF(K36&gt;0,AE36/U36,-99)</f>
        <v/>
      </c>
      <c r="AP36" s="91">
        <f>IF(L36&gt;0,AF36/V36,-99)</f>
        <v/>
      </c>
      <c r="AQ36" s="91">
        <f>IF(M36&gt;0,AG36/W36,-99)</f>
        <v/>
      </c>
      <c r="AR36" s="68">
        <f>MAX(AH36:AQ36)</f>
        <v/>
      </c>
      <c r="AS36" s="68">
        <f>IF(AR36=-99,0,MATCH(AR36,AH36:AQ36,0))</f>
        <v/>
      </c>
      <c r="AT36" s="123">
        <f>IF(AS36=0,0,INDEX(D36:M36,AS36))</f>
        <v/>
      </c>
      <c r="AU36" s="68">
        <f>ROUND(AT36/$B$21,0)</f>
        <v/>
      </c>
      <c r="AV36" s="68">
        <f>2*AS36</f>
        <v/>
      </c>
      <c r="AW36" s="123">
        <f>AT36*$B$13/$B$14</f>
        <v/>
      </c>
      <c r="AX36" s="123">
        <f>AW36*$B$14</f>
        <v/>
      </c>
      <c r="AY36" s="68">
        <f>AS36*$B$7</f>
        <v/>
      </c>
      <c r="AZ36" s="68">
        <f>ROUNDDOWN(AT36*1000/Rates!$D$27,0)</f>
        <v/>
      </c>
      <c r="BA36" s="90">
        <f>IF(AS36=0,0,2*AS36*$B$8+$B$9)</f>
        <v/>
      </c>
      <c r="BB36" s="90">
        <f>AW36*1000*$B$10</f>
        <v/>
      </c>
      <c r="BC36" s="90">
        <f>AT36*$B$11</f>
        <v/>
      </c>
      <c r="BD36" s="90">
        <f>AT36*$B$12</f>
        <v/>
      </c>
      <c r="BE36" s="90">
        <f>IF(AS36=0,0,$B$22)</f>
        <v/>
      </c>
      <c r="BF36" s="90">
        <f>(BA36+BB36+BC36+BD36+BE36)*$B$15</f>
        <v/>
      </c>
      <c r="BG36" s="90">
        <f>IF(AS36=0,0,$B$16)</f>
        <v/>
      </c>
      <c r="BH36" s="90">
        <f>BA36+BB36+BC36+BD36+BE36+BF36+BG36</f>
        <v/>
      </c>
      <c r="BI36" s="90">
        <f>A36-BH36</f>
        <v/>
      </c>
      <c r="BJ36" s="90">
        <f>AT36*$B$18</f>
        <v/>
      </c>
      <c r="BK36" s="90">
        <f>IF(AS36=0,0,AT36*$B$19+$B$20)</f>
        <v/>
      </c>
      <c r="BL36" s="90">
        <f>BJ36-BK36</f>
        <v/>
      </c>
      <c r="BM36" s="91">
        <f>IF(BH36&gt;0,BL36/BH36,0)</f>
        <v/>
      </c>
      <c r="BN36" s="68">
        <f>IF(AS36=0,IF(A36&gt;=$B$29,"RESERVOIR TEST ONLY: funds a doublet test, not a powered module","BELOW A DOUBLET: appraisal well at most"),IF(BL36&lt;0,"Builds whole modules but contribution is negative",IF(AT36&lt;Control!$B$12,"Operating break-even or better, below the 5 MW reference (not a return)","At/above the 5 MW reference (not a return)")))</f>
        <v/>
      </c>
    </row>
    <row r="37">
      <c r="A37" s="90" t="n">
        <v>300000000</v>
      </c>
      <c r="B37" s="90">
        <f>A37*$B$6</f>
        <v/>
      </c>
      <c r="C37" s="90">
        <f>MAX(0,(A37-$B$16)/(1+$B$15))</f>
        <v/>
      </c>
      <c r="D37" s="123">
        <f>MAX(0,FLOOR(MIN(1*$B$7*$B$14/$B$13,(C37-2*1*$B$8-$B$9-$B$22)/$B$17)+1E-9,$B$21))</f>
        <v/>
      </c>
      <c r="E37" s="123">
        <f>MAX(0,FLOOR(MIN(2*$B$7*$B$14/$B$13,(C37-2*2*$B$8-$B$9-$B$22)/$B$17)+1E-9,$B$21))</f>
        <v/>
      </c>
      <c r="F37" s="123">
        <f>MAX(0,FLOOR(MIN(3*$B$7*$B$14/$B$13,(C37-2*3*$B$8-$B$9-$B$22)/$B$17)+1E-9,$B$21))</f>
        <v/>
      </c>
      <c r="G37" s="123">
        <f>MAX(0,FLOOR(MIN(4*$B$7*$B$14/$B$13,(C37-2*4*$B$8-$B$9-$B$22)/$B$17)+1E-9,$B$21))</f>
        <v/>
      </c>
      <c r="H37" s="123">
        <f>MAX(0,FLOOR(MIN(5*$B$7*$B$14/$B$13,(C37-2*5*$B$8-$B$9-$B$22)/$B$17)+1E-9,$B$21))</f>
        <v/>
      </c>
      <c r="I37" s="123">
        <f>MAX(0,FLOOR(MIN(6*$B$7*$B$14/$B$13,(C37-2*6*$B$8-$B$9-$B$22)/$B$17)+1E-9,$B$21))</f>
        <v/>
      </c>
      <c r="J37" s="123">
        <f>MAX(0,FLOOR(MIN(7*$B$7*$B$14/$B$13,(C37-2*7*$B$8-$B$9-$B$22)/$B$17)+1E-9,$B$21))</f>
        <v/>
      </c>
      <c r="K37" s="123">
        <f>MAX(0,FLOOR(MIN(8*$B$7*$B$14/$B$13,(C37-2*8*$B$8-$B$9-$B$22)/$B$17)+1E-9,$B$21))</f>
        <v/>
      </c>
      <c r="L37" s="123">
        <f>MAX(0,FLOOR(MIN(9*$B$7*$B$14/$B$13,(C37-2*9*$B$8-$B$9-$B$22)/$B$17)+1E-9,$B$21))</f>
        <v/>
      </c>
      <c r="M37" s="123">
        <f>MAX(0,FLOOR(MIN(10*$B$7*$B$14/$B$13,(C37-2*10*$B$8-$B$9-$B$22)/$B$17)+1E-9,$B$21))</f>
        <v/>
      </c>
      <c r="N37" s="90">
        <f>IF(D37&gt;0,(2*1*$B$8+$B$9+$B$22+$B$17*D37)*(1+$B$15)+$B$16,0)</f>
        <v/>
      </c>
      <c r="O37" s="90">
        <f>IF(E37&gt;0,(2*2*$B$8+$B$9+$B$22+$B$17*E37)*(1+$B$15)+$B$16,0)</f>
        <v/>
      </c>
      <c r="P37" s="90">
        <f>IF(F37&gt;0,(2*3*$B$8+$B$9+$B$22+$B$17*F37)*(1+$B$15)+$B$16,0)</f>
        <v/>
      </c>
      <c r="Q37" s="90">
        <f>IF(G37&gt;0,(2*4*$B$8+$B$9+$B$22+$B$17*G37)*(1+$B$15)+$B$16,0)</f>
        <v/>
      </c>
      <c r="R37" s="90">
        <f>IF(H37&gt;0,(2*5*$B$8+$B$9+$B$22+$B$17*H37)*(1+$B$15)+$B$16,0)</f>
        <v/>
      </c>
      <c r="S37" s="90">
        <f>IF(I37&gt;0,(2*6*$B$8+$B$9+$B$22+$B$17*I37)*(1+$B$15)+$B$16,0)</f>
        <v/>
      </c>
      <c r="T37" s="90">
        <f>IF(J37&gt;0,(2*7*$B$8+$B$9+$B$22+$B$17*J37)*(1+$B$15)+$B$16,0)</f>
        <v/>
      </c>
      <c r="U37" s="90">
        <f>IF(K37&gt;0,(2*8*$B$8+$B$9+$B$22+$B$17*K37)*(1+$B$15)+$B$16,0)</f>
        <v/>
      </c>
      <c r="V37" s="90">
        <f>IF(L37&gt;0,(2*9*$B$8+$B$9+$B$22+$B$17*L37)*(1+$B$15)+$B$16,0)</f>
        <v/>
      </c>
      <c r="W37" s="90">
        <f>IF(M37&gt;0,(2*10*$B$8+$B$9+$B$22+$B$17*M37)*(1+$B$15)+$B$16,0)</f>
        <v/>
      </c>
      <c r="X37" s="90">
        <f>IF(D37&gt;0,D37*($B$18-$B$19)-$B$20,0)</f>
        <v/>
      </c>
      <c r="Y37" s="90">
        <f>IF(E37&gt;0,E37*($B$18-$B$19)-$B$20,0)</f>
        <v/>
      </c>
      <c r="Z37" s="90">
        <f>IF(F37&gt;0,F37*($B$18-$B$19)-$B$20,0)</f>
        <v/>
      </c>
      <c r="AA37" s="90">
        <f>IF(G37&gt;0,G37*($B$18-$B$19)-$B$20,0)</f>
        <v/>
      </c>
      <c r="AB37" s="90">
        <f>IF(H37&gt;0,H37*($B$18-$B$19)-$B$20,0)</f>
        <v/>
      </c>
      <c r="AC37" s="90">
        <f>IF(I37&gt;0,I37*($B$18-$B$19)-$B$20,0)</f>
        <v/>
      </c>
      <c r="AD37" s="90">
        <f>IF(J37&gt;0,J37*($B$18-$B$19)-$B$20,0)</f>
        <v/>
      </c>
      <c r="AE37" s="90">
        <f>IF(K37&gt;0,K37*($B$18-$B$19)-$B$20,0)</f>
        <v/>
      </c>
      <c r="AF37" s="90">
        <f>IF(L37&gt;0,L37*($B$18-$B$19)-$B$20,0)</f>
        <v/>
      </c>
      <c r="AG37" s="90">
        <f>IF(M37&gt;0,M37*($B$18-$B$19)-$B$20,0)</f>
        <v/>
      </c>
      <c r="AH37" s="91">
        <f>IF(D37&gt;0,X37/N37,-99)</f>
        <v/>
      </c>
      <c r="AI37" s="91">
        <f>IF(E37&gt;0,Y37/O37,-99)</f>
        <v/>
      </c>
      <c r="AJ37" s="91">
        <f>IF(F37&gt;0,Z37/P37,-99)</f>
        <v/>
      </c>
      <c r="AK37" s="91">
        <f>IF(G37&gt;0,AA37/Q37,-99)</f>
        <v/>
      </c>
      <c r="AL37" s="91">
        <f>IF(H37&gt;0,AB37/R37,-99)</f>
        <v/>
      </c>
      <c r="AM37" s="91">
        <f>IF(I37&gt;0,AC37/S37,-99)</f>
        <v/>
      </c>
      <c r="AN37" s="91">
        <f>IF(J37&gt;0,AD37/T37,-99)</f>
        <v/>
      </c>
      <c r="AO37" s="91">
        <f>IF(K37&gt;0,AE37/U37,-99)</f>
        <v/>
      </c>
      <c r="AP37" s="91">
        <f>IF(L37&gt;0,AF37/V37,-99)</f>
        <v/>
      </c>
      <c r="AQ37" s="91">
        <f>IF(M37&gt;0,AG37/W37,-99)</f>
        <v/>
      </c>
      <c r="AR37" s="68">
        <f>MAX(AH37:AQ37)</f>
        <v/>
      </c>
      <c r="AS37" s="68">
        <f>IF(AR37=-99,0,MATCH(AR37,AH37:AQ37,0))</f>
        <v/>
      </c>
      <c r="AT37" s="123">
        <f>IF(AS37=0,0,INDEX(D37:M37,AS37))</f>
        <v/>
      </c>
      <c r="AU37" s="68">
        <f>ROUND(AT37/$B$21,0)</f>
        <v/>
      </c>
      <c r="AV37" s="68">
        <f>2*AS37</f>
        <v/>
      </c>
      <c r="AW37" s="123">
        <f>AT37*$B$13/$B$14</f>
        <v/>
      </c>
      <c r="AX37" s="123">
        <f>AW37*$B$14</f>
        <v/>
      </c>
      <c r="AY37" s="68">
        <f>AS37*$B$7</f>
        <v/>
      </c>
      <c r="AZ37" s="68">
        <f>ROUNDDOWN(AT37*1000/Rates!$D$27,0)</f>
        <v/>
      </c>
      <c r="BA37" s="90">
        <f>IF(AS37=0,0,2*AS37*$B$8+$B$9)</f>
        <v/>
      </c>
      <c r="BB37" s="90">
        <f>AW37*1000*$B$10</f>
        <v/>
      </c>
      <c r="BC37" s="90">
        <f>AT37*$B$11</f>
        <v/>
      </c>
      <c r="BD37" s="90">
        <f>AT37*$B$12</f>
        <v/>
      </c>
      <c r="BE37" s="90">
        <f>IF(AS37=0,0,$B$22)</f>
        <v/>
      </c>
      <c r="BF37" s="90">
        <f>(BA37+BB37+BC37+BD37+BE37)*$B$15</f>
        <v/>
      </c>
      <c r="BG37" s="90">
        <f>IF(AS37=0,0,$B$16)</f>
        <v/>
      </c>
      <c r="BH37" s="90">
        <f>BA37+BB37+BC37+BD37+BE37+BF37+BG37</f>
        <v/>
      </c>
      <c r="BI37" s="90">
        <f>A37-BH37</f>
        <v/>
      </c>
      <c r="BJ37" s="90">
        <f>AT37*$B$18</f>
        <v/>
      </c>
      <c r="BK37" s="90">
        <f>IF(AS37=0,0,AT37*$B$19+$B$20)</f>
        <v/>
      </c>
      <c r="BL37" s="90">
        <f>BJ37-BK37</f>
        <v/>
      </c>
      <c r="BM37" s="91">
        <f>IF(BH37&gt;0,BL37/BH37,0)</f>
        <v/>
      </c>
      <c r="BN37" s="68">
        <f>IF(AS37=0,IF(A37&gt;=$B$29,"RESERVOIR TEST ONLY: funds a doublet test, not a powered module","BELOW A DOUBLET: appraisal well at most"),IF(BL37&lt;0,"Builds whole modules but contribution is negative",IF(AT37&lt;Control!$B$12,"Operating break-even or better, below the 5 MW reference (not a return)","At/above the 5 MW reference (not a return)")))</f>
        <v/>
      </c>
    </row>
    <row r="38">
      <c r="A38" s="90" t="n">
        <v>350000000</v>
      </c>
      <c r="B38" s="90">
        <f>A38*$B$6</f>
        <v/>
      </c>
      <c r="C38" s="90">
        <f>MAX(0,(A38-$B$16)/(1+$B$15))</f>
        <v/>
      </c>
      <c r="D38" s="123">
        <f>MAX(0,FLOOR(MIN(1*$B$7*$B$14/$B$13,(C38-2*1*$B$8-$B$9-$B$22)/$B$17)+1E-9,$B$21))</f>
        <v/>
      </c>
      <c r="E38" s="123">
        <f>MAX(0,FLOOR(MIN(2*$B$7*$B$14/$B$13,(C38-2*2*$B$8-$B$9-$B$22)/$B$17)+1E-9,$B$21))</f>
        <v/>
      </c>
      <c r="F38" s="123">
        <f>MAX(0,FLOOR(MIN(3*$B$7*$B$14/$B$13,(C38-2*3*$B$8-$B$9-$B$22)/$B$17)+1E-9,$B$21))</f>
        <v/>
      </c>
      <c r="G38" s="123">
        <f>MAX(0,FLOOR(MIN(4*$B$7*$B$14/$B$13,(C38-2*4*$B$8-$B$9-$B$22)/$B$17)+1E-9,$B$21))</f>
        <v/>
      </c>
      <c r="H38" s="123">
        <f>MAX(0,FLOOR(MIN(5*$B$7*$B$14/$B$13,(C38-2*5*$B$8-$B$9-$B$22)/$B$17)+1E-9,$B$21))</f>
        <v/>
      </c>
      <c r="I38" s="123">
        <f>MAX(0,FLOOR(MIN(6*$B$7*$B$14/$B$13,(C38-2*6*$B$8-$B$9-$B$22)/$B$17)+1E-9,$B$21))</f>
        <v/>
      </c>
      <c r="J38" s="123">
        <f>MAX(0,FLOOR(MIN(7*$B$7*$B$14/$B$13,(C38-2*7*$B$8-$B$9-$B$22)/$B$17)+1E-9,$B$21))</f>
        <v/>
      </c>
      <c r="K38" s="123">
        <f>MAX(0,FLOOR(MIN(8*$B$7*$B$14/$B$13,(C38-2*8*$B$8-$B$9-$B$22)/$B$17)+1E-9,$B$21))</f>
        <v/>
      </c>
      <c r="L38" s="123">
        <f>MAX(0,FLOOR(MIN(9*$B$7*$B$14/$B$13,(C38-2*9*$B$8-$B$9-$B$22)/$B$17)+1E-9,$B$21))</f>
        <v/>
      </c>
      <c r="M38" s="123">
        <f>MAX(0,FLOOR(MIN(10*$B$7*$B$14/$B$13,(C38-2*10*$B$8-$B$9-$B$22)/$B$17)+1E-9,$B$21))</f>
        <v/>
      </c>
      <c r="N38" s="90">
        <f>IF(D38&gt;0,(2*1*$B$8+$B$9+$B$22+$B$17*D38)*(1+$B$15)+$B$16,0)</f>
        <v/>
      </c>
      <c r="O38" s="90">
        <f>IF(E38&gt;0,(2*2*$B$8+$B$9+$B$22+$B$17*E38)*(1+$B$15)+$B$16,0)</f>
        <v/>
      </c>
      <c r="P38" s="90">
        <f>IF(F38&gt;0,(2*3*$B$8+$B$9+$B$22+$B$17*F38)*(1+$B$15)+$B$16,0)</f>
        <v/>
      </c>
      <c r="Q38" s="90">
        <f>IF(G38&gt;0,(2*4*$B$8+$B$9+$B$22+$B$17*G38)*(1+$B$15)+$B$16,0)</f>
        <v/>
      </c>
      <c r="R38" s="90">
        <f>IF(H38&gt;0,(2*5*$B$8+$B$9+$B$22+$B$17*H38)*(1+$B$15)+$B$16,0)</f>
        <v/>
      </c>
      <c r="S38" s="90">
        <f>IF(I38&gt;0,(2*6*$B$8+$B$9+$B$22+$B$17*I38)*(1+$B$15)+$B$16,0)</f>
        <v/>
      </c>
      <c r="T38" s="90">
        <f>IF(J38&gt;0,(2*7*$B$8+$B$9+$B$22+$B$17*J38)*(1+$B$15)+$B$16,0)</f>
        <v/>
      </c>
      <c r="U38" s="90">
        <f>IF(K38&gt;0,(2*8*$B$8+$B$9+$B$22+$B$17*K38)*(1+$B$15)+$B$16,0)</f>
        <v/>
      </c>
      <c r="V38" s="90">
        <f>IF(L38&gt;0,(2*9*$B$8+$B$9+$B$22+$B$17*L38)*(1+$B$15)+$B$16,0)</f>
        <v/>
      </c>
      <c r="W38" s="90">
        <f>IF(M38&gt;0,(2*10*$B$8+$B$9+$B$22+$B$17*M38)*(1+$B$15)+$B$16,0)</f>
        <v/>
      </c>
      <c r="X38" s="90">
        <f>IF(D38&gt;0,D38*($B$18-$B$19)-$B$20,0)</f>
        <v/>
      </c>
      <c r="Y38" s="90">
        <f>IF(E38&gt;0,E38*($B$18-$B$19)-$B$20,0)</f>
        <v/>
      </c>
      <c r="Z38" s="90">
        <f>IF(F38&gt;0,F38*($B$18-$B$19)-$B$20,0)</f>
        <v/>
      </c>
      <c r="AA38" s="90">
        <f>IF(G38&gt;0,G38*($B$18-$B$19)-$B$20,0)</f>
        <v/>
      </c>
      <c r="AB38" s="90">
        <f>IF(H38&gt;0,H38*($B$18-$B$19)-$B$20,0)</f>
        <v/>
      </c>
      <c r="AC38" s="90">
        <f>IF(I38&gt;0,I38*($B$18-$B$19)-$B$20,0)</f>
        <v/>
      </c>
      <c r="AD38" s="90">
        <f>IF(J38&gt;0,J38*($B$18-$B$19)-$B$20,0)</f>
        <v/>
      </c>
      <c r="AE38" s="90">
        <f>IF(K38&gt;0,K38*($B$18-$B$19)-$B$20,0)</f>
        <v/>
      </c>
      <c r="AF38" s="90">
        <f>IF(L38&gt;0,L38*($B$18-$B$19)-$B$20,0)</f>
        <v/>
      </c>
      <c r="AG38" s="90">
        <f>IF(M38&gt;0,M38*($B$18-$B$19)-$B$20,0)</f>
        <v/>
      </c>
      <c r="AH38" s="91">
        <f>IF(D38&gt;0,X38/N38,-99)</f>
        <v/>
      </c>
      <c r="AI38" s="91">
        <f>IF(E38&gt;0,Y38/O38,-99)</f>
        <v/>
      </c>
      <c r="AJ38" s="91">
        <f>IF(F38&gt;0,Z38/P38,-99)</f>
        <v/>
      </c>
      <c r="AK38" s="91">
        <f>IF(G38&gt;0,AA38/Q38,-99)</f>
        <v/>
      </c>
      <c r="AL38" s="91">
        <f>IF(H38&gt;0,AB38/R38,-99)</f>
        <v/>
      </c>
      <c r="AM38" s="91">
        <f>IF(I38&gt;0,AC38/S38,-99)</f>
        <v/>
      </c>
      <c r="AN38" s="91">
        <f>IF(J38&gt;0,AD38/T38,-99)</f>
        <v/>
      </c>
      <c r="AO38" s="91">
        <f>IF(K38&gt;0,AE38/U38,-99)</f>
        <v/>
      </c>
      <c r="AP38" s="91">
        <f>IF(L38&gt;0,AF38/V38,-99)</f>
        <v/>
      </c>
      <c r="AQ38" s="91">
        <f>IF(M38&gt;0,AG38/W38,-99)</f>
        <v/>
      </c>
      <c r="AR38" s="68">
        <f>MAX(AH38:AQ38)</f>
        <v/>
      </c>
      <c r="AS38" s="68">
        <f>IF(AR38=-99,0,MATCH(AR38,AH38:AQ38,0))</f>
        <v/>
      </c>
      <c r="AT38" s="123">
        <f>IF(AS38=0,0,INDEX(D38:M38,AS38))</f>
        <v/>
      </c>
      <c r="AU38" s="68">
        <f>ROUND(AT38/$B$21,0)</f>
        <v/>
      </c>
      <c r="AV38" s="68">
        <f>2*AS38</f>
        <v/>
      </c>
      <c r="AW38" s="123">
        <f>AT38*$B$13/$B$14</f>
        <v/>
      </c>
      <c r="AX38" s="123">
        <f>AW38*$B$14</f>
        <v/>
      </c>
      <c r="AY38" s="68">
        <f>AS38*$B$7</f>
        <v/>
      </c>
      <c r="AZ38" s="68">
        <f>ROUNDDOWN(AT38*1000/Rates!$D$27,0)</f>
        <v/>
      </c>
      <c r="BA38" s="90">
        <f>IF(AS38=0,0,2*AS38*$B$8+$B$9)</f>
        <v/>
      </c>
      <c r="BB38" s="90">
        <f>AW38*1000*$B$10</f>
        <v/>
      </c>
      <c r="BC38" s="90">
        <f>AT38*$B$11</f>
        <v/>
      </c>
      <c r="BD38" s="90">
        <f>AT38*$B$12</f>
        <v/>
      </c>
      <c r="BE38" s="90">
        <f>IF(AS38=0,0,$B$22)</f>
        <v/>
      </c>
      <c r="BF38" s="90">
        <f>(BA38+BB38+BC38+BD38+BE38)*$B$15</f>
        <v/>
      </c>
      <c r="BG38" s="90">
        <f>IF(AS38=0,0,$B$16)</f>
        <v/>
      </c>
      <c r="BH38" s="90">
        <f>BA38+BB38+BC38+BD38+BE38+BF38+BG38</f>
        <v/>
      </c>
      <c r="BI38" s="90">
        <f>A38-BH38</f>
        <v/>
      </c>
      <c r="BJ38" s="90">
        <f>AT38*$B$18</f>
        <v/>
      </c>
      <c r="BK38" s="90">
        <f>IF(AS38=0,0,AT38*$B$19+$B$20)</f>
        <v/>
      </c>
      <c r="BL38" s="90">
        <f>BJ38-BK38</f>
        <v/>
      </c>
      <c r="BM38" s="91">
        <f>IF(BH38&gt;0,BL38/BH38,0)</f>
        <v/>
      </c>
      <c r="BN38" s="68">
        <f>IF(AS38=0,IF(A38&gt;=$B$29,"RESERVOIR TEST ONLY: funds a doublet test, not a powered module","BELOW A DOUBLET: appraisal well at most"),IF(BL38&lt;0,"Builds whole modules but contribution is negative",IF(AT38&lt;Control!$B$12,"Operating break-even or better, below the 5 MW reference (not a return)","At/above the 5 MW reference (not a return)")))</f>
        <v/>
      </c>
    </row>
    <row r="39">
      <c r="A39" s="90" t="n">
        <v>400000000</v>
      </c>
      <c r="B39" s="90">
        <f>A39*$B$6</f>
        <v/>
      </c>
      <c r="C39" s="90">
        <f>MAX(0,(A39-$B$16)/(1+$B$15))</f>
        <v/>
      </c>
      <c r="D39" s="123">
        <f>MAX(0,FLOOR(MIN(1*$B$7*$B$14/$B$13,(C39-2*1*$B$8-$B$9-$B$22)/$B$17)+1E-9,$B$21))</f>
        <v/>
      </c>
      <c r="E39" s="123">
        <f>MAX(0,FLOOR(MIN(2*$B$7*$B$14/$B$13,(C39-2*2*$B$8-$B$9-$B$22)/$B$17)+1E-9,$B$21))</f>
        <v/>
      </c>
      <c r="F39" s="123">
        <f>MAX(0,FLOOR(MIN(3*$B$7*$B$14/$B$13,(C39-2*3*$B$8-$B$9-$B$22)/$B$17)+1E-9,$B$21))</f>
        <v/>
      </c>
      <c r="G39" s="123">
        <f>MAX(0,FLOOR(MIN(4*$B$7*$B$14/$B$13,(C39-2*4*$B$8-$B$9-$B$22)/$B$17)+1E-9,$B$21))</f>
        <v/>
      </c>
      <c r="H39" s="123">
        <f>MAX(0,FLOOR(MIN(5*$B$7*$B$14/$B$13,(C39-2*5*$B$8-$B$9-$B$22)/$B$17)+1E-9,$B$21))</f>
        <v/>
      </c>
      <c r="I39" s="123">
        <f>MAX(0,FLOOR(MIN(6*$B$7*$B$14/$B$13,(C39-2*6*$B$8-$B$9-$B$22)/$B$17)+1E-9,$B$21))</f>
        <v/>
      </c>
      <c r="J39" s="123">
        <f>MAX(0,FLOOR(MIN(7*$B$7*$B$14/$B$13,(C39-2*7*$B$8-$B$9-$B$22)/$B$17)+1E-9,$B$21))</f>
        <v/>
      </c>
      <c r="K39" s="123">
        <f>MAX(0,FLOOR(MIN(8*$B$7*$B$14/$B$13,(C39-2*8*$B$8-$B$9-$B$22)/$B$17)+1E-9,$B$21))</f>
        <v/>
      </c>
      <c r="L39" s="123">
        <f>MAX(0,FLOOR(MIN(9*$B$7*$B$14/$B$13,(C39-2*9*$B$8-$B$9-$B$22)/$B$17)+1E-9,$B$21))</f>
        <v/>
      </c>
      <c r="M39" s="123">
        <f>MAX(0,FLOOR(MIN(10*$B$7*$B$14/$B$13,(C39-2*10*$B$8-$B$9-$B$22)/$B$17)+1E-9,$B$21))</f>
        <v/>
      </c>
      <c r="N39" s="90">
        <f>IF(D39&gt;0,(2*1*$B$8+$B$9+$B$22+$B$17*D39)*(1+$B$15)+$B$16,0)</f>
        <v/>
      </c>
      <c r="O39" s="90">
        <f>IF(E39&gt;0,(2*2*$B$8+$B$9+$B$22+$B$17*E39)*(1+$B$15)+$B$16,0)</f>
        <v/>
      </c>
      <c r="P39" s="90">
        <f>IF(F39&gt;0,(2*3*$B$8+$B$9+$B$22+$B$17*F39)*(1+$B$15)+$B$16,0)</f>
        <v/>
      </c>
      <c r="Q39" s="90">
        <f>IF(G39&gt;0,(2*4*$B$8+$B$9+$B$22+$B$17*G39)*(1+$B$15)+$B$16,0)</f>
        <v/>
      </c>
      <c r="R39" s="90">
        <f>IF(H39&gt;0,(2*5*$B$8+$B$9+$B$22+$B$17*H39)*(1+$B$15)+$B$16,0)</f>
        <v/>
      </c>
      <c r="S39" s="90">
        <f>IF(I39&gt;0,(2*6*$B$8+$B$9+$B$22+$B$17*I39)*(1+$B$15)+$B$16,0)</f>
        <v/>
      </c>
      <c r="T39" s="90">
        <f>IF(J39&gt;0,(2*7*$B$8+$B$9+$B$22+$B$17*J39)*(1+$B$15)+$B$16,0)</f>
        <v/>
      </c>
      <c r="U39" s="90">
        <f>IF(K39&gt;0,(2*8*$B$8+$B$9+$B$22+$B$17*K39)*(1+$B$15)+$B$16,0)</f>
        <v/>
      </c>
      <c r="V39" s="90">
        <f>IF(L39&gt;0,(2*9*$B$8+$B$9+$B$22+$B$17*L39)*(1+$B$15)+$B$16,0)</f>
        <v/>
      </c>
      <c r="W39" s="90">
        <f>IF(M39&gt;0,(2*10*$B$8+$B$9+$B$22+$B$17*M39)*(1+$B$15)+$B$16,0)</f>
        <v/>
      </c>
      <c r="X39" s="90">
        <f>IF(D39&gt;0,D39*($B$18-$B$19)-$B$20,0)</f>
        <v/>
      </c>
      <c r="Y39" s="90">
        <f>IF(E39&gt;0,E39*($B$18-$B$19)-$B$20,0)</f>
        <v/>
      </c>
      <c r="Z39" s="90">
        <f>IF(F39&gt;0,F39*($B$18-$B$19)-$B$20,0)</f>
        <v/>
      </c>
      <c r="AA39" s="90">
        <f>IF(G39&gt;0,G39*($B$18-$B$19)-$B$20,0)</f>
        <v/>
      </c>
      <c r="AB39" s="90">
        <f>IF(H39&gt;0,H39*($B$18-$B$19)-$B$20,0)</f>
        <v/>
      </c>
      <c r="AC39" s="90">
        <f>IF(I39&gt;0,I39*($B$18-$B$19)-$B$20,0)</f>
        <v/>
      </c>
      <c r="AD39" s="90">
        <f>IF(J39&gt;0,J39*($B$18-$B$19)-$B$20,0)</f>
        <v/>
      </c>
      <c r="AE39" s="90">
        <f>IF(K39&gt;0,K39*($B$18-$B$19)-$B$20,0)</f>
        <v/>
      </c>
      <c r="AF39" s="90">
        <f>IF(L39&gt;0,L39*($B$18-$B$19)-$B$20,0)</f>
        <v/>
      </c>
      <c r="AG39" s="90">
        <f>IF(M39&gt;0,M39*($B$18-$B$19)-$B$20,0)</f>
        <v/>
      </c>
      <c r="AH39" s="91">
        <f>IF(D39&gt;0,X39/N39,-99)</f>
        <v/>
      </c>
      <c r="AI39" s="91">
        <f>IF(E39&gt;0,Y39/O39,-99)</f>
        <v/>
      </c>
      <c r="AJ39" s="91">
        <f>IF(F39&gt;0,Z39/P39,-99)</f>
        <v/>
      </c>
      <c r="AK39" s="91">
        <f>IF(G39&gt;0,AA39/Q39,-99)</f>
        <v/>
      </c>
      <c r="AL39" s="91">
        <f>IF(H39&gt;0,AB39/R39,-99)</f>
        <v/>
      </c>
      <c r="AM39" s="91">
        <f>IF(I39&gt;0,AC39/S39,-99)</f>
        <v/>
      </c>
      <c r="AN39" s="91">
        <f>IF(J39&gt;0,AD39/T39,-99)</f>
        <v/>
      </c>
      <c r="AO39" s="91">
        <f>IF(K39&gt;0,AE39/U39,-99)</f>
        <v/>
      </c>
      <c r="AP39" s="91">
        <f>IF(L39&gt;0,AF39/V39,-99)</f>
        <v/>
      </c>
      <c r="AQ39" s="91">
        <f>IF(M39&gt;0,AG39/W39,-99)</f>
        <v/>
      </c>
      <c r="AR39" s="68">
        <f>MAX(AH39:AQ39)</f>
        <v/>
      </c>
      <c r="AS39" s="68">
        <f>IF(AR39=-99,0,MATCH(AR39,AH39:AQ39,0))</f>
        <v/>
      </c>
      <c r="AT39" s="123">
        <f>IF(AS39=0,0,INDEX(D39:M39,AS39))</f>
        <v/>
      </c>
      <c r="AU39" s="68">
        <f>ROUND(AT39/$B$21,0)</f>
        <v/>
      </c>
      <c r="AV39" s="68">
        <f>2*AS39</f>
        <v/>
      </c>
      <c r="AW39" s="123">
        <f>AT39*$B$13/$B$14</f>
        <v/>
      </c>
      <c r="AX39" s="123">
        <f>AW39*$B$14</f>
        <v/>
      </c>
      <c r="AY39" s="68">
        <f>AS39*$B$7</f>
        <v/>
      </c>
      <c r="AZ39" s="68">
        <f>ROUNDDOWN(AT39*1000/Rates!$D$27,0)</f>
        <v/>
      </c>
      <c r="BA39" s="90">
        <f>IF(AS39=0,0,2*AS39*$B$8+$B$9)</f>
        <v/>
      </c>
      <c r="BB39" s="90">
        <f>AW39*1000*$B$10</f>
        <v/>
      </c>
      <c r="BC39" s="90">
        <f>AT39*$B$11</f>
        <v/>
      </c>
      <c r="BD39" s="90">
        <f>AT39*$B$12</f>
        <v/>
      </c>
      <c r="BE39" s="90">
        <f>IF(AS39=0,0,$B$22)</f>
        <v/>
      </c>
      <c r="BF39" s="90">
        <f>(BA39+BB39+BC39+BD39+BE39)*$B$15</f>
        <v/>
      </c>
      <c r="BG39" s="90">
        <f>IF(AS39=0,0,$B$16)</f>
        <v/>
      </c>
      <c r="BH39" s="90">
        <f>BA39+BB39+BC39+BD39+BE39+BF39+BG39</f>
        <v/>
      </c>
      <c r="BI39" s="90">
        <f>A39-BH39</f>
        <v/>
      </c>
      <c r="BJ39" s="90">
        <f>AT39*$B$18</f>
        <v/>
      </c>
      <c r="BK39" s="90">
        <f>IF(AS39=0,0,AT39*$B$19+$B$20)</f>
        <v/>
      </c>
      <c r="BL39" s="90">
        <f>BJ39-BK39</f>
        <v/>
      </c>
      <c r="BM39" s="91">
        <f>IF(BH39&gt;0,BL39/BH39,0)</f>
        <v/>
      </c>
      <c r="BN39" s="68">
        <f>IF(AS39=0,IF(A39&gt;=$B$29,"RESERVOIR TEST ONLY: funds a doublet test, not a powered module","BELOW A DOUBLET: appraisal well at most"),IF(BL39&lt;0,"Builds whole modules but contribution is negative",IF(AT39&lt;Control!$B$12,"Operating break-even or better, below the 5 MW reference (not a return)","At/above the 5 MW reference (not a return)")))</f>
        <v/>
      </c>
    </row>
    <row r="40">
      <c r="A40" s="90" t="n">
        <v>450000000</v>
      </c>
      <c r="B40" s="90">
        <f>A40*$B$6</f>
        <v/>
      </c>
      <c r="C40" s="90">
        <f>MAX(0,(A40-$B$16)/(1+$B$15))</f>
        <v/>
      </c>
      <c r="D40" s="123">
        <f>MAX(0,FLOOR(MIN(1*$B$7*$B$14/$B$13,(C40-2*1*$B$8-$B$9-$B$22)/$B$17)+1E-9,$B$21))</f>
        <v/>
      </c>
      <c r="E40" s="123">
        <f>MAX(0,FLOOR(MIN(2*$B$7*$B$14/$B$13,(C40-2*2*$B$8-$B$9-$B$22)/$B$17)+1E-9,$B$21))</f>
        <v/>
      </c>
      <c r="F40" s="123">
        <f>MAX(0,FLOOR(MIN(3*$B$7*$B$14/$B$13,(C40-2*3*$B$8-$B$9-$B$22)/$B$17)+1E-9,$B$21))</f>
        <v/>
      </c>
      <c r="G40" s="123">
        <f>MAX(0,FLOOR(MIN(4*$B$7*$B$14/$B$13,(C40-2*4*$B$8-$B$9-$B$22)/$B$17)+1E-9,$B$21))</f>
        <v/>
      </c>
      <c r="H40" s="123">
        <f>MAX(0,FLOOR(MIN(5*$B$7*$B$14/$B$13,(C40-2*5*$B$8-$B$9-$B$22)/$B$17)+1E-9,$B$21))</f>
        <v/>
      </c>
      <c r="I40" s="123">
        <f>MAX(0,FLOOR(MIN(6*$B$7*$B$14/$B$13,(C40-2*6*$B$8-$B$9-$B$22)/$B$17)+1E-9,$B$21))</f>
        <v/>
      </c>
      <c r="J40" s="123">
        <f>MAX(0,FLOOR(MIN(7*$B$7*$B$14/$B$13,(C40-2*7*$B$8-$B$9-$B$22)/$B$17)+1E-9,$B$21))</f>
        <v/>
      </c>
      <c r="K40" s="123">
        <f>MAX(0,FLOOR(MIN(8*$B$7*$B$14/$B$13,(C40-2*8*$B$8-$B$9-$B$22)/$B$17)+1E-9,$B$21))</f>
        <v/>
      </c>
      <c r="L40" s="123">
        <f>MAX(0,FLOOR(MIN(9*$B$7*$B$14/$B$13,(C40-2*9*$B$8-$B$9-$B$22)/$B$17)+1E-9,$B$21))</f>
        <v/>
      </c>
      <c r="M40" s="123">
        <f>MAX(0,FLOOR(MIN(10*$B$7*$B$14/$B$13,(C40-2*10*$B$8-$B$9-$B$22)/$B$17)+1E-9,$B$21))</f>
        <v/>
      </c>
      <c r="N40" s="90">
        <f>IF(D40&gt;0,(2*1*$B$8+$B$9+$B$22+$B$17*D40)*(1+$B$15)+$B$16,0)</f>
        <v/>
      </c>
      <c r="O40" s="90">
        <f>IF(E40&gt;0,(2*2*$B$8+$B$9+$B$22+$B$17*E40)*(1+$B$15)+$B$16,0)</f>
        <v/>
      </c>
      <c r="P40" s="90">
        <f>IF(F40&gt;0,(2*3*$B$8+$B$9+$B$22+$B$17*F40)*(1+$B$15)+$B$16,0)</f>
        <v/>
      </c>
      <c r="Q40" s="90">
        <f>IF(G40&gt;0,(2*4*$B$8+$B$9+$B$22+$B$17*G40)*(1+$B$15)+$B$16,0)</f>
        <v/>
      </c>
      <c r="R40" s="90">
        <f>IF(H40&gt;0,(2*5*$B$8+$B$9+$B$22+$B$17*H40)*(1+$B$15)+$B$16,0)</f>
        <v/>
      </c>
      <c r="S40" s="90">
        <f>IF(I40&gt;0,(2*6*$B$8+$B$9+$B$22+$B$17*I40)*(1+$B$15)+$B$16,0)</f>
        <v/>
      </c>
      <c r="T40" s="90">
        <f>IF(J40&gt;0,(2*7*$B$8+$B$9+$B$22+$B$17*J40)*(1+$B$15)+$B$16,0)</f>
        <v/>
      </c>
      <c r="U40" s="90">
        <f>IF(K40&gt;0,(2*8*$B$8+$B$9+$B$22+$B$17*K40)*(1+$B$15)+$B$16,0)</f>
        <v/>
      </c>
      <c r="V40" s="90">
        <f>IF(L40&gt;0,(2*9*$B$8+$B$9+$B$22+$B$17*L40)*(1+$B$15)+$B$16,0)</f>
        <v/>
      </c>
      <c r="W40" s="90">
        <f>IF(M40&gt;0,(2*10*$B$8+$B$9+$B$22+$B$17*M40)*(1+$B$15)+$B$16,0)</f>
        <v/>
      </c>
      <c r="X40" s="90">
        <f>IF(D40&gt;0,D40*($B$18-$B$19)-$B$20,0)</f>
        <v/>
      </c>
      <c r="Y40" s="90">
        <f>IF(E40&gt;0,E40*($B$18-$B$19)-$B$20,0)</f>
        <v/>
      </c>
      <c r="Z40" s="90">
        <f>IF(F40&gt;0,F40*($B$18-$B$19)-$B$20,0)</f>
        <v/>
      </c>
      <c r="AA40" s="90">
        <f>IF(G40&gt;0,G40*($B$18-$B$19)-$B$20,0)</f>
        <v/>
      </c>
      <c r="AB40" s="90">
        <f>IF(H40&gt;0,H40*($B$18-$B$19)-$B$20,0)</f>
        <v/>
      </c>
      <c r="AC40" s="90">
        <f>IF(I40&gt;0,I40*($B$18-$B$19)-$B$20,0)</f>
        <v/>
      </c>
      <c r="AD40" s="90">
        <f>IF(J40&gt;0,J40*($B$18-$B$19)-$B$20,0)</f>
        <v/>
      </c>
      <c r="AE40" s="90">
        <f>IF(K40&gt;0,K40*($B$18-$B$19)-$B$20,0)</f>
        <v/>
      </c>
      <c r="AF40" s="90">
        <f>IF(L40&gt;0,L40*($B$18-$B$19)-$B$20,0)</f>
        <v/>
      </c>
      <c r="AG40" s="90">
        <f>IF(M40&gt;0,M40*($B$18-$B$19)-$B$20,0)</f>
        <v/>
      </c>
      <c r="AH40" s="91">
        <f>IF(D40&gt;0,X40/N40,-99)</f>
        <v/>
      </c>
      <c r="AI40" s="91">
        <f>IF(E40&gt;0,Y40/O40,-99)</f>
        <v/>
      </c>
      <c r="AJ40" s="91">
        <f>IF(F40&gt;0,Z40/P40,-99)</f>
        <v/>
      </c>
      <c r="AK40" s="91">
        <f>IF(G40&gt;0,AA40/Q40,-99)</f>
        <v/>
      </c>
      <c r="AL40" s="91">
        <f>IF(H40&gt;0,AB40/R40,-99)</f>
        <v/>
      </c>
      <c r="AM40" s="91">
        <f>IF(I40&gt;0,AC40/S40,-99)</f>
        <v/>
      </c>
      <c r="AN40" s="91">
        <f>IF(J40&gt;0,AD40/T40,-99)</f>
        <v/>
      </c>
      <c r="AO40" s="91">
        <f>IF(K40&gt;0,AE40/U40,-99)</f>
        <v/>
      </c>
      <c r="AP40" s="91">
        <f>IF(L40&gt;0,AF40/V40,-99)</f>
        <v/>
      </c>
      <c r="AQ40" s="91">
        <f>IF(M40&gt;0,AG40/W40,-99)</f>
        <v/>
      </c>
      <c r="AR40" s="68">
        <f>MAX(AH40:AQ40)</f>
        <v/>
      </c>
      <c r="AS40" s="68">
        <f>IF(AR40=-99,0,MATCH(AR40,AH40:AQ40,0))</f>
        <v/>
      </c>
      <c r="AT40" s="123">
        <f>IF(AS40=0,0,INDEX(D40:M40,AS40))</f>
        <v/>
      </c>
      <c r="AU40" s="68">
        <f>ROUND(AT40/$B$21,0)</f>
        <v/>
      </c>
      <c r="AV40" s="68">
        <f>2*AS40</f>
        <v/>
      </c>
      <c r="AW40" s="123">
        <f>AT40*$B$13/$B$14</f>
        <v/>
      </c>
      <c r="AX40" s="123">
        <f>AW40*$B$14</f>
        <v/>
      </c>
      <c r="AY40" s="68">
        <f>AS40*$B$7</f>
        <v/>
      </c>
      <c r="AZ40" s="68">
        <f>ROUNDDOWN(AT40*1000/Rates!$D$27,0)</f>
        <v/>
      </c>
      <c r="BA40" s="90">
        <f>IF(AS40=0,0,2*AS40*$B$8+$B$9)</f>
        <v/>
      </c>
      <c r="BB40" s="90">
        <f>AW40*1000*$B$10</f>
        <v/>
      </c>
      <c r="BC40" s="90">
        <f>AT40*$B$11</f>
        <v/>
      </c>
      <c r="BD40" s="90">
        <f>AT40*$B$12</f>
        <v/>
      </c>
      <c r="BE40" s="90">
        <f>IF(AS40=0,0,$B$22)</f>
        <v/>
      </c>
      <c r="BF40" s="90">
        <f>(BA40+BB40+BC40+BD40+BE40)*$B$15</f>
        <v/>
      </c>
      <c r="BG40" s="90">
        <f>IF(AS40=0,0,$B$16)</f>
        <v/>
      </c>
      <c r="BH40" s="90">
        <f>BA40+BB40+BC40+BD40+BE40+BF40+BG40</f>
        <v/>
      </c>
      <c r="BI40" s="90">
        <f>A40-BH40</f>
        <v/>
      </c>
      <c r="BJ40" s="90">
        <f>AT40*$B$18</f>
        <v/>
      </c>
      <c r="BK40" s="90">
        <f>IF(AS40=0,0,AT40*$B$19+$B$20)</f>
        <v/>
      </c>
      <c r="BL40" s="90">
        <f>BJ40-BK40</f>
        <v/>
      </c>
      <c r="BM40" s="91">
        <f>IF(BH40&gt;0,BL40/BH40,0)</f>
        <v/>
      </c>
      <c r="BN40" s="68">
        <f>IF(AS40=0,IF(A40&gt;=$B$29,"RESERVOIR TEST ONLY: funds a doublet test, not a powered module","BELOW A DOUBLET: appraisal well at most"),IF(BL40&lt;0,"Builds whole modules but contribution is negative",IF(AT40&lt;Control!$B$12,"Operating break-even or better, below the 5 MW reference (not a return)","At/above the 5 MW reference (not a return)")))</f>
        <v/>
      </c>
    </row>
    <row r="41">
      <c r="A41" s="90" t="n">
        <v>500000000</v>
      </c>
      <c r="B41" s="90">
        <f>A41*$B$6</f>
        <v/>
      </c>
      <c r="C41" s="90">
        <f>MAX(0,(A41-$B$16)/(1+$B$15))</f>
        <v/>
      </c>
      <c r="D41" s="123">
        <f>MAX(0,FLOOR(MIN(1*$B$7*$B$14/$B$13,(C41-2*1*$B$8-$B$9-$B$22)/$B$17)+1E-9,$B$21))</f>
        <v/>
      </c>
      <c r="E41" s="123">
        <f>MAX(0,FLOOR(MIN(2*$B$7*$B$14/$B$13,(C41-2*2*$B$8-$B$9-$B$22)/$B$17)+1E-9,$B$21))</f>
        <v/>
      </c>
      <c r="F41" s="123">
        <f>MAX(0,FLOOR(MIN(3*$B$7*$B$14/$B$13,(C41-2*3*$B$8-$B$9-$B$22)/$B$17)+1E-9,$B$21))</f>
        <v/>
      </c>
      <c r="G41" s="123">
        <f>MAX(0,FLOOR(MIN(4*$B$7*$B$14/$B$13,(C41-2*4*$B$8-$B$9-$B$22)/$B$17)+1E-9,$B$21))</f>
        <v/>
      </c>
      <c r="H41" s="123">
        <f>MAX(0,FLOOR(MIN(5*$B$7*$B$14/$B$13,(C41-2*5*$B$8-$B$9-$B$22)/$B$17)+1E-9,$B$21))</f>
        <v/>
      </c>
      <c r="I41" s="123">
        <f>MAX(0,FLOOR(MIN(6*$B$7*$B$14/$B$13,(C41-2*6*$B$8-$B$9-$B$22)/$B$17)+1E-9,$B$21))</f>
        <v/>
      </c>
      <c r="J41" s="123">
        <f>MAX(0,FLOOR(MIN(7*$B$7*$B$14/$B$13,(C41-2*7*$B$8-$B$9-$B$22)/$B$17)+1E-9,$B$21))</f>
        <v/>
      </c>
      <c r="K41" s="123">
        <f>MAX(0,FLOOR(MIN(8*$B$7*$B$14/$B$13,(C41-2*8*$B$8-$B$9-$B$22)/$B$17)+1E-9,$B$21))</f>
        <v/>
      </c>
      <c r="L41" s="123">
        <f>MAX(0,FLOOR(MIN(9*$B$7*$B$14/$B$13,(C41-2*9*$B$8-$B$9-$B$22)/$B$17)+1E-9,$B$21))</f>
        <v/>
      </c>
      <c r="M41" s="123">
        <f>MAX(0,FLOOR(MIN(10*$B$7*$B$14/$B$13,(C41-2*10*$B$8-$B$9-$B$22)/$B$17)+1E-9,$B$21))</f>
        <v/>
      </c>
      <c r="N41" s="90">
        <f>IF(D41&gt;0,(2*1*$B$8+$B$9+$B$22+$B$17*D41)*(1+$B$15)+$B$16,0)</f>
        <v/>
      </c>
      <c r="O41" s="90">
        <f>IF(E41&gt;0,(2*2*$B$8+$B$9+$B$22+$B$17*E41)*(1+$B$15)+$B$16,0)</f>
        <v/>
      </c>
      <c r="P41" s="90">
        <f>IF(F41&gt;0,(2*3*$B$8+$B$9+$B$22+$B$17*F41)*(1+$B$15)+$B$16,0)</f>
        <v/>
      </c>
      <c r="Q41" s="90">
        <f>IF(G41&gt;0,(2*4*$B$8+$B$9+$B$22+$B$17*G41)*(1+$B$15)+$B$16,0)</f>
        <v/>
      </c>
      <c r="R41" s="90">
        <f>IF(H41&gt;0,(2*5*$B$8+$B$9+$B$22+$B$17*H41)*(1+$B$15)+$B$16,0)</f>
        <v/>
      </c>
      <c r="S41" s="90">
        <f>IF(I41&gt;0,(2*6*$B$8+$B$9+$B$22+$B$17*I41)*(1+$B$15)+$B$16,0)</f>
        <v/>
      </c>
      <c r="T41" s="90">
        <f>IF(J41&gt;0,(2*7*$B$8+$B$9+$B$22+$B$17*J41)*(1+$B$15)+$B$16,0)</f>
        <v/>
      </c>
      <c r="U41" s="90">
        <f>IF(K41&gt;0,(2*8*$B$8+$B$9+$B$22+$B$17*K41)*(1+$B$15)+$B$16,0)</f>
        <v/>
      </c>
      <c r="V41" s="90">
        <f>IF(L41&gt;0,(2*9*$B$8+$B$9+$B$22+$B$17*L41)*(1+$B$15)+$B$16,0)</f>
        <v/>
      </c>
      <c r="W41" s="90">
        <f>IF(M41&gt;0,(2*10*$B$8+$B$9+$B$22+$B$17*M41)*(1+$B$15)+$B$16,0)</f>
        <v/>
      </c>
      <c r="X41" s="90">
        <f>IF(D41&gt;0,D41*($B$18-$B$19)-$B$20,0)</f>
        <v/>
      </c>
      <c r="Y41" s="90">
        <f>IF(E41&gt;0,E41*($B$18-$B$19)-$B$20,0)</f>
        <v/>
      </c>
      <c r="Z41" s="90">
        <f>IF(F41&gt;0,F41*($B$18-$B$19)-$B$20,0)</f>
        <v/>
      </c>
      <c r="AA41" s="90">
        <f>IF(G41&gt;0,G41*($B$18-$B$19)-$B$20,0)</f>
        <v/>
      </c>
      <c r="AB41" s="90">
        <f>IF(H41&gt;0,H41*($B$18-$B$19)-$B$20,0)</f>
        <v/>
      </c>
      <c r="AC41" s="90">
        <f>IF(I41&gt;0,I41*($B$18-$B$19)-$B$20,0)</f>
        <v/>
      </c>
      <c r="AD41" s="90">
        <f>IF(J41&gt;0,J41*($B$18-$B$19)-$B$20,0)</f>
        <v/>
      </c>
      <c r="AE41" s="90">
        <f>IF(K41&gt;0,K41*($B$18-$B$19)-$B$20,0)</f>
        <v/>
      </c>
      <c r="AF41" s="90">
        <f>IF(L41&gt;0,L41*($B$18-$B$19)-$B$20,0)</f>
        <v/>
      </c>
      <c r="AG41" s="90">
        <f>IF(M41&gt;0,M41*($B$18-$B$19)-$B$20,0)</f>
        <v/>
      </c>
      <c r="AH41" s="91">
        <f>IF(D41&gt;0,X41/N41,-99)</f>
        <v/>
      </c>
      <c r="AI41" s="91">
        <f>IF(E41&gt;0,Y41/O41,-99)</f>
        <v/>
      </c>
      <c r="AJ41" s="91">
        <f>IF(F41&gt;0,Z41/P41,-99)</f>
        <v/>
      </c>
      <c r="AK41" s="91">
        <f>IF(G41&gt;0,AA41/Q41,-99)</f>
        <v/>
      </c>
      <c r="AL41" s="91">
        <f>IF(H41&gt;0,AB41/R41,-99)</f>
        <v/>
      </c>
      <c r="AM41" s="91">
        <f>IF(I41&gt;0,AC41/S41,-99)</f>
        <v/>
      </c>
      <c r="AN41" s="91">
        <f>IF(J41&gt;0,AD41/T41,-99)</f>
        <v/>
      </c>
      <c r="AO41" s="91">
        <f>IF(K41&gt;0,AE41/U41,-99)</f>
        <v/>
      </c>
      <c r="AP41" s="91">
        <f>IF(L41&gt;0,AF41/V41,-99)</f>
        <v/>
      </c>
      <c r="AQ41" s="91">
        <f>IF(M41&gt;0,AG41/W41,-99)</f>
        <v/>
      </c>
      <c r="AR41" s="68">
        <f>MAX(AH41:AQ41)</f>
        <v/>
      </c>
      <c r="AS41" s="68">
        <f>IF(AR41=-99,0,MATCH(AR41,AH41:AQ41,0))</f>
        <v/>
      </c>
      <c r="AT41" s="123">
        <f>IF(AS41=0,0,INDEX(D41:M41,AS41))</f>
        <v/>
      </c>
      <c r="AU41" s="68">
        <f>ROUND(AT41/$B$21,0)</f>
        <v/>
      </c>
      <c r="AV41" s="68">
        <f>2*AS41</f>
        <v/>
      </c>
      <c r="AW41" s="123">
        <f>AT41*$B$13/$B$14</f>
        <v/>
      </c>
      <c r="AX41" s="123">
        <f>AW41*$B$14</f>
        <v/>
      </c>
      <c r="AY41" s="68">
        <f>AS41*$B$7</f>
        <v/>
      </c>
      <c r="AZ41" s="68">
        <f>ROUNDDOWN(AT41*1000/Rates!$D$27,0)</f>
        <v/>
      </c>
      <c r="BA41" s="90">
        <f>IF(AS41=0,0,2*AS41*$B$8+$B$9)</f>
        <v/>
      </c>
      <c r="BB41" s="90">
        <f>AW41*1000*$B$10</f>
        <v/>
      </c>
      <c r="BC41" s="90">
        <f>AT41*$B$11</f>
        <v/>
      </c>
      <c r="BD41" s="90">
        <f>AT41*$B$12</f>
        <v/>
      </c>
      <c r="BE41" s="90">
        <f>IF(AS41=0,0,$B$22)</f>
        <v/>
      </c>
      <c r="BF41" s="90">
        <f>(BA41+BB41+BC41+BD41+BE41)*$B$15</f>
        <v/>
      </c>
      <c r="BG41" s="90">
        <f>IF(AS41=0,0,$B$16)</f>
        <v/>
      </c>
      <c r="BH41" s="90">
        <f>BA41+BB41+BC41+BD41+BE41+BF41+BG41</f>
        <v/>
      </c>
      <c r="BI41" s="90">
        <f>A41-BH41</f>
        <v/>
      </c>
      <c r="BJ41" s="90">
        <f>AT41*$B$18</f>
        <v/>
      </c>
      <c r="BK41" s="90">
        <f>IF(AS41=0,0,AT41*$B$19+$B$20)</f>
        <v/>
      </c>
      <c r="BL41" s="90">
        <f>BJ41-BK41</f>
        <v/>
      </c>
      <c r="BM41" s="91">
        <f>IF(BH41&gt;0,BL41/BH41,0)</f>
        <v/>
      </c>
      <c r="BN41" s="68">
        <f>IF(AS41=0,IF(A41&gt;=$B$29,"RESERVOIR TEST ONLY: funds a doublet test, not a powered module","BELOW A DOUBLET: appraisal well at most"),IF(BL41&lt;0,"Builds whole modules but contribution is negative",IF(AT41&lt;Control!$B$12,"Operating break-even or better, below the 5 MW reference (not a return)","At/above the 5 MW reference (not a return)")))</f>
        <v/>
      </c>
    </row>
    <row r="42"/>
    <row r="43">
      <c r="A43" s="102" t="inlineStr">
        <is>
          <t>Check: model reference raise (Raise!B14)</t>
        </is>
      </c>
      <c r="B43" s="90">
        <f>Raise!$B$14</f>
        <v/>
      </c>
    </row>
  </sheetData>
  <mergeCells count="1">
    <mergeCell ref="A3:P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28" customWidth="1" style="69" min="1" max="1"/>
    <col width="60" customWidth="1" style="69" min="2" max="2"/>
    <col width="12" customWidth="1" style="69" min="3" max="3"/>
    <col width="14" customWidth="1" style="69" min="4" max="4"/>
    <col width="36" customWidth="1" style="69" min="5" max="5"/>
    <col width="50" customWidth="1" style="69" min="6" max="6"/>
    <col width="16" customWidth="1" style="69" min="7" max="7"/>
    <col width="70" customWidth="1" style="69" min="8" max="8"/>
  </cols>
  <sheetData>
    <row r="1">
      <c r="A1" s="100" t="inlineStr">
        <is>
          <t>ARCHEGON  ·  PUBLIC PROXIES — public benchmarks standing in for Archegon-specific data (ASSUMPTION inputs, sourced)</t>
        </is>
      </c>
      <c r="B1" s="101" t="n"/>
      <c r="C1" s="101" t="n"/>
      <c r="D1" s="101" t="n"/>
      <c r="E1" s="101" t="n"/>
      <c r="F1" s="101" t="n"/>
      <c r="G1" s="101" t="n"/>
      <c r="H1" s="101" t="n"/>
    </row>
    <row r="2">
      <c r="A2" s="135" t="inlineStr">
        <is>
          <t>Every value here is a PUBLIC PROXY: a published figure from another project, market or year. None is an Archegon quote, test or contract. Headline Raise/Summary figures are NOT overwritten; the proxy-adjusted view is computed below so both can be read side by side.</t>
        </is>
      </c>
    </row>
    <row r="3"/>
    <row r="4">
      <c r="A4" s="89" t="inlineStr">
        <is>
          <t>id</t>
        </is>
      </c>
      <c r="B4" s="89" t="inlineStr">
        <is>
          <t>Proxy</t>
        </is>
      </c>
      <c r="C4" s="89" t="inlineStr">
        <is>
          <t>Value</t>
        </is>
      </c>
      <c r="D4" s="89" t="inlineStr">
        <is>
          <t>Unit</t>
        </is>
      </c>
      <c r="E4" s="89" t="inlineStr">
        <is>
          <t>Source</t>
        </is>
      </c>
      <c r="F4" s="89" t="inlineStr">
        <is>
          <t>URL</t>
        </is>
      </c>
      <c r="G4" s="89" t="inlineStr">
        <is>
          <t>Date</t>
        </is>
      </c>
      <c r="H4" s="89" t="inlineStr">
        <is>
          <t>Applicability caveat</t>
        </is>
      </c>
    </row>
    <row r="5">
      <c r="A5" s="68" t="inlineStr">
        <is>
          <t>px_nz_cy27</t>
        </is>
      </c>
      <c r="B5" s="68" t="inlineStr">
        <is>
          <t>ASX NZ baseload futures, Otahuhu CY2027 strip</t>
        </is>
      </c>
      <c r="C5" s="68" t="n">
        <v>126.51</v>
      </c>
      <c r="D5" s="68" t="inlineStr">
        <is>
          <t>NZD/MWh</t>
        </is>
      </c>
      <c r="E5" s="68" t="inlineStr">
        <is>
          <t>ASX Energy NZ electricity</t>
        </is>
      </c>
      <c r="F5" s="68" t="inlineStr">
        <is>
          <t>https://www.asxenergy.com.au/futures/nz_electricity</t>
        </is>
      </c>
      <c r="G5" s="68" t="inlineStr">
        <is>
          <t>settle ~1 Oct 2026</t>
        </is>
      </c>
      <c r="H5" s="68" t="inlineStr">
        <is>
          <t>Financial hedge at a grid node, not a physical behind-the-meter PPA; excludes transmission, demand charges, firming premium.</t>
        </is>
      </c>
    </row>
    <row r="6">
      <c r="A6" s="68" t="inlineStr">
        <is>
          <t>px_nz_cy28</t>
        </is>
      </c>
      <c r="B6" s="68" t="inlineStr">
        <is>
          <t>ASX NZ baseload futures, Otahuhu CY2028 strip</t>
        </is>
      </c>
      <c r="C6" s="68" t="n">
        <v>133.86</v>
      </c>
      <c r="D6" s="68" t="inlineStr">
        <is>
          <t>NZD/MWh</t>
        </is>
      </c>
      <c r="E6" s="68" t="inlineStr">
        <is>
          <t>ASX Energy NZ electricity</t>
        </is>
      </c>
      <c r="F6" s="68" t="inlineStr">
        <is>
          <t>https://www.asxenergy.com.au/futures/nz_electricity</t>
        </is>
      </c>
      <c r="G6" s="68" t="inlineStr">
        <is>
          <t>settle ~1 Oct 2026</t>
        </is>
      </c>
      <c r="H6" s="68" t="inlineStr">
        <is>
          <t>As above.</t>
        </is>
      </c>
    </row>
    <row r="7">
      <c r="A7" s="68" t="inlineStr">
        <is>
          <t>px_nz_contact_avg</t>
        </is>
      </c>
      <c r="B7" s="68" t="inlineStr">
        <is>
          <t>Contact Energy average price on electricity sold, FY2026</t>
        </is>
      </c>
      <c r="C7" s="68" t="n">
        <v>140</v>
      </c>
      <c r="D7" s="68" t="inlineStr">
        <is>
          <t>NZD/MWh</t>
        </is>
      </c>
      <c r="E7" s="68" t="inlineStr">
        <is>
          <t>interest.co.nz (Contact FY26 result)</t>
        </is>
      </c>
      <c r="F7" s="68" t="inlineStr">
        <is>
          <t>https://www.interest.co.nz/business/139744/contact-energys-annual-net-profit-jumps-over-400-million-following-manawa-energy</t>
        </is>
      </c>
      <c r="G7" s="68" t="inlineStr">
        <is>
          <t>Aug 2026</t>
        </is>
      </c>
      <c r="H7" s="68" t="inlineStr">
        <is>
          <t>Portfolio average across customers, not a data-centre PPA. Mercury-Datagrid 15-yr 140 MW option (Mar 2026) price undisclosed.</t>
        </is>
      </c>
    </row>
    <row r="8">
      <c r="A8" s="68" t="inlineStr">
        <is>
          <t>px_colo_azio</t>
        </is>
      </c>
      <c r="B8" s="68" t="inlineStr">
        <is>
          <t>AZIO AI Atlas One hosting: capacity reservation charge</t>
        </is>
      </c>
      <c r="C8" s="68" t="n">
        <v>150</v>
      </c>
      <c r="D8" s="68" t="inlineStr">
        <is>
          <t>USD/kW/month</t>
        </is>
      </c>
      <c r="E8" s="68" t="inlineStr">
        <is>
          <t>AZIO AI press release</t>
        </is>
      </c>
      <c r="F8" s="68" t="inlineStr">
        <is>
          <t>https://www.otcmarkets.com/stock/AZIO/news/AZIO-AI-Signs-First-Hosting-Agreement-at-Atlas-One-with-Power-Champion-10-MW-Contracted-with-Expansion-Rights-to-50-MW-R?e=&amp;id=3551446</t>
        </is>
      </c>
      <c r="G8" s="68" t="inlineStr">
        <is>
          <t>9 Oct 2026</t>
        </is>
      </c>
      <c r="H8" s="68" t="inlineStr">
        <is>
          <t>Texas, grid-connected, 10 MW, 60-month term, 99.9% availability. ENERGY BILLED SEPARATELY (next row). Charged only once energised.</t>
        </is>
      </c>
    </row>
    <row r="9">
      <c r="A9" s="68" t="inlineStr">
        <is>
          <t>px_energy_azio</t>
        </is>
      </c>
      <c r="B9" s="68" t="inlineStr">
        <is>
          <t>AZIO AI Atlas One: fixed energy rate on metered kWh</t>
        </is>
      </c>
      <c r="C9" s="68" t="n">
        <v>0.13</v>
      </c>
      <c r="D9" s="68" t="inlineStr">
        <is>
          <t>USD/kWh</t>
        </is>
      </c>
      <c r="E9" s="68" t="inlineStr">
        <is>
          <t>AZIO AI press release</t>
        </is>
      </c>
      <c r="F9" s="68" t="inlineStr">
        <is>
          <t>https://www.otcmarkets.com/stock/AZIO/news/AZIO-AI-Signs-First-Hosting-Agreement-at-Atlas-One-with-Power-Champion-10-MW-Contracted-with-Expansion-Rights-to-50-MW-R?e=&amp;id=3551446</t>
        </is>
      </c>
      <c r="G9" s="68" t="inlineStr">
        <is>
          <t>9 Oct 2026</t>
        </is>
      </c>
      <c r="H9" s="68" t="inlineStr">
        <is>
          <t>Plus pass-through utility/transmission charges. One counterparty, one market.</t>
        </is>
      </c>
    </row>
    <row r="10">
      <c r="A10" s="68" t="inlineStr">
        <is>
          <t>px_colo_sydney</t>
        </is>
      </c>
      <c r="B10" s="68" t="inlineStr">
        <is>
          <t>CBRE Sydney average wholesale colo asking rent, Q1 2026</t>
        </is>
      </c>
      <c r="C10" s="68" t="n">
        <v>188</v>
      </c>
      <c r="D10" s="68" t="inlineStr">
        <is>
          <t>USD/kW/month</t>
        </is>
      </c>
      <c r="E10" s="68" t="inlineStr">
        <is>
          <t>CBRE Global Data Center Trends 2026</t>
        </is>
      </c>
      <c r="F10" s="68" t="inlineStr">
        <is>
          <t>https://www.cbre.com/insights/reports/global-data-center-trends-2026</t>
        </is>
      </c>
      <c r="G10" s="68" t="inlineStr">
        <is>
          <t>Jun 2026</t>
        </is>
      </c>
      <c r="H10" s="68" t="inlineStr">
        <is>
          <t>Metro asking rent; electricity normally metered separately. Not a remote islanded site.</t>
        </is>
      </c>
    </row>
    <row r="11">
      <c r="A11" s="68" t="inlineStr">
        <is>
          <t>px_bess_2h</t>
        </is>
      </c>
      <c r="B11" s="68" t="inlineStr">
        <is>
          <t>Battery storage 2 h, total cost, 2026, Current policies</t>
        </is>
      </c>
      <c r="C11" s="68" t="n">
        <v>503</v>
      </c>
      <c r="D11" s="68" t="inlineStr">
        <is>
          <t>AUD/kWh</t>
        </is>
      </c>
      <c r="E11" s="68" t="inlineStr">
        <is>
          <t>CSIRO GenCost 2025-26 Final, Apx Table B.4</t>
        </is>
      </c>
      <c r="F11" s="68" t="inlineStr">
        <is>
          <t>https://www.csiro.au/-/media/Energy/GenCost-2025-26-Final/GenCost_2025-26_Final_Report_20260715.pdf</t>
        </is>
      </c>
      <c r="G11" s="68" t="inlineStr">
        <is>
          <t>Jul 2026</t>
        </is>
      </c>
      <c r="H11" s="68" t="inlineStr">
        <is>
          <t>Utility-scale NEM cost; a ~6 MW remote, grid-forming unit will cost more per kWh (no public small-scale figure found).</t>
        </is>
      </c>
    </row>
    <row r="12">
      <c r="A12" s="68" t="inlineStr">
        <is>
          <t>px_recip_kw</t>
        </is>
      </c>
      <c r="B12" s="68" t="inlineStr">
        <is>
          <t>Gas reciprocating engine capital cost, 2026</t>
        </is>
      </c>
      <c r="C12" s="68" t="n">
        <v>2022</v>
      </c>
      <c r="D12" s="68" t="inlineStr">
        <is>
          <t>AUD/kW</t>
        </is>
      </c>
      <c r="E12" s="68" t="inlineStr">
        <is>
          <t>CSIRO GenCost 2025-26 Final, Apx Table B.1</t>
        </is>
      </c>
      <c r="F12" s="68" t="inlineStr">
        <is>
          <t>https://www.csiro.au/-/media/Energy/GenCost-2025-26-Final/GenCost_2025-26_Final_Report_20260715.pdf</t>
        </is>
      </c>
      <c r="G12" s="68" t="inlineStr">
        <is>
          <t>Jul 2026</t>
        </is>
      </c>
      <c r="H12" s="68" t="inlineStr">
        <is>
          <t>Utility-scale gas recips; GenCost has no diesel genset figure. Gas supply to site is unpriced.</t>
        </is>
      </c>
    </row>
    <row r="13">
      <c r="A13" s="68" t="inlineStr">
        <is>
          <t>px_blackstart</t>
        </is>
      </c>
      <c r="B13" s="68" t="inlineStr">
        <is>
          <t>Separate black-start source</t>
        </is>
      </c>
      <c r="C13" s="68" t="n">
        <v>0</v>
      </c>
      <c r="D13" s="68" t="inlineStr">
        <is>
          <t>AUD</t>
        </is>
      </c>
      <c r="E13" s="68" t="inlineStr">
        <is>
          <t>No separate public proxy</t>
        </is>
      </c>
      <c r="F13" s="68" t="inlineStr"/>
      <c r="G13" s="68" t="inlineStr"/>
      <c r="H13" s="68" t="inlineStr">
        <is>
          <t>Assumed covered by grid-forming BESS + recip engines (both black-start capable classes). Needs a power-systems study.</t>
        </is>
      </c>
    </row>
    <row r="14">
      <c r="A14" s="68" t="inlineStr">
        <is>
          <t>px_fervo_well_hi</t>
        </is>
      </c>
      <c r="B14" s="68" t="inlineStr">
        <is>
          <t>Fervo Cape Station horizontal well cost, first well</t>
        </is>
      </c>
      <c r="C14" s="68" t="n">
        <v>9.4</v>
      </c>
      <c r="D14" s="68" t="inlineStr">
        <is>
          <t>USD m/well</t>
        </is>
      </c>
      <c r="E14" s="68" t="inlineStr">
        <is>
          <t>Fervo Energy (Stanford Workshop release)</t>
        </is>
      </c>
      <c r="F14" s="68" t="inlineStr">
        <is>
          <t>https://fervoenergy.com/fervo-energy-drilling-results-show-rapid-advancement-of-geothermal-performance/</t>
        </is>
      </c>
      <c r="G14" s="68" t="inlineStr">
        <is>
          <t>12 Feb 2024</t>
        </is>
      </c>
      <c r="H14" s="68" t="inlineStr">
        <is>
          <t>Utah granite, mature campaign, US rig market. Excludes stimulation? Not stated.</t>
        </is>
      </c>
    </row>
    <row r="15">
      <c r="A15" s="68" t="inlineStr">
        <is>
          <t>px_fervo_well_lo</t>
        </is>
      </c>
      <c r="B15" s="68" t="inlineStr">
        <is>
          <t>Fervo Cape Station horizontal well cost, 4th well</t>
        </is>
      </c>
      <c r="C15" s="68" t="n">
        <v>4.8</v>
      </c>
      <c r="D15" s="68" t="inlineStr">
        <is>
          <t>USD m/well</t>
        </is>
      </c>
      <c r="E15" s="68" t="inlineStr">
        <is>
          <t>Fervo Energy</t>
        </is>
      </c>
      <c r="F15" s="68" t="inlineStr">
        <is>
          <t>https://fervoenergy.com/fervo-energy-drilling-results-show-rapid-advancement-of-geothermal-performance/</t>
        </is>
      </c>
      <c r="G15" s="68" t="inlineStr">
        <is>
          <t>12 Feb 2024</t>
        </is>
      </c>
      <c r="H15" s="68" t="inlineStr">
        <is>
          <t>After learning; first Cooper wells would sit near the first-well figure or above (remote AU rig market).</t>
        </is>
      </c>
    </row>
    <row r="16">
      <c r="A16" s="68" t="inlineStr">
        <is>
          <t>px_forge_flow</t>
        </is>
      </c>
      <c r="B16" s="68" t="inlineStr">
        <is>
          <t>Utah FORGE 16B stable production, Aug-Sep 2024 circulation test</t>
        </is>
      </c>
      <c r="C16" s="68" t="n">
        <v>23.5</v>
      </c>
      <c r="D16" s="68" t="inlineStr">
        <is>
          <t>kg/s</t>
        </is>
      </c>
      <c r="E16" s="68" t="inlineStr">
        <is>
          <t>GeoConvention 2025 abstract (FORGE well test)</t>
        </is>
      </c>
      <c r="F16" s="68" t="inlineStr">
        <is>
          <t>https://geoconvention.com/wp-content/uploads/abstracts/2025/114754-egs-well-test-analysis-from-the-perspect</t>
        </is>
      </c>
      <c r="G16" s="68" t="inlineStr">
        <is>
          <t>2025</t>
        </is>
      </c>
      <c r="H16" s="68" t="inlineStr">
        <is>
          <t>193 degC, 90% recovery; research site, not a commercial design.</t>
        </is>
      </c>
    </row>
    <row r="17">
      <c r="A17" s="68" t="inlineStr">
        <is>
          <t>px_forge_mwe</t>
        </is>
      </c>
      <c r="B17" s="68" t="inlineStr">
        <is>
          <t>Utah FORGE 16B estimated net output at that flow</t>
        </is>
      </c>
      <c r="C17" s="68" t="n">
        <v>1.7</v>
      </c>
      <c r="D17" s="68" t="inlineStr">
        <is>
          <t>MWe net</t>
        </is>
      </c>
      <c r="E17" s="68" t="inlineStr">
        <is>
          <t>Same abstract (author estimate)</t>
        </is>
      </c>
      <c r="F17" s="68" t="inlineStr">
        <is>
          <t>https://geoconvention.com/wp-content/uploads/abstracts/2025/114754-egs-well-test-analysis-from-the-perspect</t>
        </is>
      </c>
      <c r="G17" s="68" t="inlineStr">
        <is>
          <t>2025</t>
        </is>
      </c>
      <c r="H17" s="68" t="inlineStr">
        <is>
          <t>Author calculation, not measured generation.</t>
        </is>
      </c>
    </row>
    <row r="18">
      <c r="A18" s="68" t="inlineStr">
        <is>
          <t>px_atb_occ_lo</t>
        </is>
      </c>
      <c r="B18" s="68" t="inlineStr">
        <is>
          <t>NREL ATB 2024 Deep EGS binary, average OCC, &gt;=200 degC class</t>
        </is>
      </c>
      <c r="C18" s="68" t="n">
        <v>12396</v>
      </c>
      <c r="D18" s="68" t="inlineStr">
        <is>
          <t>USD/kW</t>
        </is>
      </c>
      <c r="E18" s="68" t="inlineStr">
        <is>
          <t>NREL ATB 2024 Geothermal</t>
        </is>
      </c>
      <c r="F18" s="68" t="inlineStr">
        <is>
          <t>https://atb.nrel.gov/electricity/2024/geothermal</t>
        </is>
      </c>
      <c r="G18" s="68" t="inlineStr">
        <is>
          <t>2024</t>
        </is>
      </c>
      <c r="H18" s="68" t="inlineStr">
        <is>
          <t>US 2022$; includes wells + plant; GETEM-modelled, not observed.</t>
        </is>
      </c>
    </row>
    <row r="19">
      <c r="A19" s="68" t="inlineStr">
        <is>
          <t>px_atb_occ_hi</t>
        </is>
      </c>
      <c r="B19" s="68" t="inlineStr">
        <is>
          <t>NREL ATB 2024 Deep EGS binary, average OCC, 150-200 degC class</t>
        </is>
      </c>
      <c r="C19" s="68" t="n">
        <v>22133</v>
      </c>
      <c r="D19" s="68" t="inlineStr">
        <is>
          <t>USD/kW</t>
        </is>
      </c>
      <c r="E19" s="68" t="inlineStr">
        <is>
          <t>NREL ATB 2024 Geothermal</t>
        </is>
      </c>
      <c r="F19" s="68" t="inlineStr">
        <is>
          <t>https://atb.nrel.gov/electricity/2024/geothermal</t>
        </is>
      </c>
      <c r="G19" s="68" t="inlineStr">
        <is>
          <t>2024</t>
        </is>
      </c>
      <c r="H19" s="68" t="inlineStr">
        <is>
          <t>As above.</t>
        </is>
      </c>
    </row>
    <row r="20">
      <c r="A20" s="68" t="inlineStr">
        <is>
          <t>px_dc_sydney_w</t>
        </is>
      </c>
      <c r="B20" s="68" t="inlineStr">
        <is>
          <t>Data-centre construction cost, Sydney (T&amp;T index 2024)</t>
        </is>
      </c>
      <c r="C20" s="68" t="n">
        <v>9.5</v>
      </c>
      <c r="D20" s="68" t="inlineStr">
        <is>
          <t>USD/W</t>
        </is>
      </c>
      <c r="E20" s="68" t="inlineStr">
        <is>
          <t>Turner &amp; Townsend DCCI, reported via LinkedIn post</t>
        </is>
      </c>
      <c r="F20" s="68" t="inlineStr">
        <is>
          <t>https://www.linkedin.com/posts/alistairrobson1_data-centre-cost-index-us-watt-sydney-activity-7223544395164213248-mxRS</t>
        </is>
      </c>
      <c r="G20" s="68" t="inlineStr">
        <is>
          <t>2024</t>
        </is>
      </c>
      <c r="H20" s="68" t="inlineStr">
        <is>
          <t>Secondary report of the index; metro, not AI-liquid specific, not remote.</t>
        </is>
      </c>
    </row>
    <row r="21">
      <c r="A21" s="68" t="inlineStr">
        <is>
          <t>px_salary_res</t>
        </is>
      </c>
      <c r="B21" s="68" t="inlineStr">
        <is>
          <t>Reservoir engineer base salary, Australia</t>
        </is>
      </c>
      <c r="C21" s="68" t="n">
        <v>152459</v>
      </c>
      <c r="D21" s="68" t="inlineStr">
        <is>
          <t>AUD/yr</t>
        </is>
      </c>
      <c r="E21" s="68" t="inlineStr">
        <is>
          <t>PayScale</t>
        </is>
      </c>
      <c r="F21" s="68" t="inlineStr">
        <is>
          <t>https://www.payscale.com/research/AU/Job=Reservoir_Engineer/Salary</t>
        </is>
      </c>
      <c r="G21" s="68" t="inlineStr">
        <is>
          <t>2026</t>
        </is>
      </c>
      <c r="H21" s="68" t="inlineStr">
        <is>
          <t>Average base, excludes super/bonus; principal-level geothermal hires cost more.</t>
        </is>
      </c>
    </row>
    <row r="22">
      <c r="A22" s="68" t="inlineStr">
        <is>
          <t>px_salary_drill</t>
        </is>
      </c>
      <c r="B22" s="68" t="inlineStr">
        <is>
          <t>Drilling engineer base salary, Australia</t>
        </is>
      </c>
      <c r="C22" s="68" t="n">
        <v>203030</v>
      </c>
      <c r="D22" s="68" t="inlineStr">
        <is>
          <t>AUD/yr</t>
        </is>
      </c>
      <c r="E22" s="68" t="inlineStr">
        <is>
          <t>PayScale</t>
        </is>
      </c>
      <c r="F22" s="68" t="inlineStr">
        <is>
          <t>https://www.payscale.com/research/AU/Job=Drilling_Engineer/Salary</t>
        </is>
      </c>
      <c r="G22" s="68" t="inlineStr">
        <is>
          <t>2026</t>
        </is>
      </c>
      <c r="H22" s="68" t="inlineStr">
        <is>
          <t>As above.</t>
        </is>
      </c>
    </row>
    <row r="23">
      <c r="A23" s="68" t="inlineStr">
        <is>
          <t>px_runway_months</t>
        </is>
      </c>
      <c r="B23" s="68" t="inlineStr">
        <is>
          <t>EGS schedule proxy: Cape Station drilling start Jun 2023 to first power targeted 2026</t>
        </is>
      </c>
      <c r="C23" s="68" t="n">
        <v>36</v>
      </c>
      <c r="D23" s="68" t="inlineStr">
        <is>
          <t>months</t>
        </is>
      </c>
      <c r="E23" s="68" t="inlineStr">
        <is>
          <t>Fervo Energy / ThinkGeoEnergy</t>
        </is>
      </c>
      <c r="F23" s="68" t="inlineStr">
        <is>
          <t>https://www.thinkgeoenergy.com/scientific-approach-to-well-design-powers-fervo-energys-cape-station/</t>
        </is>
      </c>
      <c r="G23" s="68" t="inlineStr">
        <is>
          <t>2024</t>
        </is>
      </c>
      <c r="H23" s="68" t="inlineStr">
        <is>
          <t>~36 months for an experienced team with existing permits. Project Red: drilling 2022, grid power 30 Oct 2023.</t>
        </is>
      </c>
    </row>
    <row r="24">
      <c r="A24" s="68" t="inlineStr">
        <is>
          <t>px_nt_exploration</t>
        </is>
      </c>
      <c r="B24" s="68" t="inlineStr">
        <is>
          <t>Native title: earliest arbitration application, exploration/prospecting licence (NTA s35(a))</t>
        </is>
      </c>
      <c r="C24" s="68" t="n">
        <v>4</v>
      </c>
      <c r="D24" s="68" t="inlineStr">
        <is>
          <t>months</t>
        </is>
      </c>
      <c r="E24" s="68" t="inlineStr">
        <is>
          <t>Native Title Act 1993 s35</t>
        </is>
      </c>
      <c r="F24" s="68" t="inlineStr">
        <is>
          <t>https://www.legislation.gov.au/C2004A04665/asmade/1993-12-24/text/original/pdf</t>
        </is>
      </c>
      <c r="G24" s="68" t="inlineStr">
        <is>
          <t>1993 as made</t>
        </is>
      </c>
      <c r="H24" s="68" t="inlineStr">
        <is>
          <t>Other future acts 6 months (s35(b)); NNTT usually determines within ~6 months of application. ILUA: no set time, plus &gt;=6 months to register.</t>
        </is>
      </c>
    </row>
    <row r="25">
      <c r="A25" s="68" t="inlineStr">
        <is>
          <t>px_nt_ilua</t>
        </is>
      </c>
      <c r="B25" s="68" t="inlineStr">
        <is>
          <t>Yandruwandha Yawarrawarrka conjunctive Cooper Basin ILUA (registered 2007)</t>
        </is>
      </c>
      <c r="C25" s="68" t="n">
        <v>1</v>
      </c>
      <c r="D25" s="68" t="inlineStr">
        <is>
          <t>flag</t>
        </is>
      </c>
      <c r="E25" s="68" t="inlineStr">
        <is>
          <t>SA Dept for Energy and Mining</t>
        </is>
      </c>
      <c r="F25" s="68" t="inlineStr">
        <is>
          <t>https://www.energymining.sa.gov.au/industry/energy-resources/licensing-and-land-access/land-access/aboriginal-interests</t>
        </is>
      </c>
      <c r="G25" s="68" t="inlineStr">
        <is>
          <t>current</t>
        </is>
      </c>
      <c r="H25" s="68" t="inlineStr">
        <is>
          <t>Petroleum template covering the eastern SA Cooper Basin; whether it can cover a GEOTHERMAL licence needs legal advice. Cost of agreements: no public figure.</t>
        </is>
      </c>
    </row>
    <row r="26">
      <c r="A26" s="68" t="inlineStr">
        <is>
          <t>px_seed_quaise</t>
        </is>
      </c>
      <c r="B26" s="68" t="inlineStr">
        <is>
          <t>Quaise seed round</t>
        </is>
      </c>
      <c r="C26" s="68" t="n">
        <v>6</v>
      </c>
      <c r="D26" s="68" t="inlineStr">
        <is>
          <t>USD m</t>
        </is>
      </c>
      <c r="E26" s="68" t="inlineStr">
        <is>
          <t>BusinessWire</t>
        </is>
      </c>
      <c r="F26" s="68" t="inlineStr">
        <is>
          <t>https://www.businesswire.com/news/home/20200608005111/en/Quaise-Launches-6-Million-Unlock-Earth%e2%80%99s-Abundant</t>
        </is>
      </c>
      <c r="G26" s="68" t="inlineStr">
        <is>
          <t>Jun 2020</t>
        </is>
      </c>
      <c r="H26" s="68" t="inlineStr">
        <is>
          <t>Technology company, not a project developer.</t>
        </is>
      </c>
    </row>
    <row r="27">
      <c r="A27" s="68" t="inlineStr">
        <is>
          <t>px_seed_eavor</t>
        </is>
      </c>
      <c r="B27" s="68" t="inlineStr">
        <is>
          <t>Eavor seed rounds (Feb 2017, Jun 2018)</t>
        </is>
      </c>
      <c r="C27" s="68" t="n">
        <v>3</v>
      </c>
      <c r="D27" s="68" t="inlineStr">
        <is>
          <t>CAD m (largest)</t>
        </is>
      </c>
      <c r="E27" s="68" t="inlineStr">
        <is>
          <t>Dealroom</t>
        </is>
      </c>
      <c r="F27" s="68" t="inlineStr">
        <is>
          <t>https://app.dealroom.co/companies/eavor_technologies</t>
        </is>
      </c>
      <c r="G27" s="68" t="inlineStr">
        <is>
          <t>2017-2018</t>
        </is>
      </c>
      <c r="H27" s="68" t="inlineStr">
        <is>
          <t>CA$0.6m and CA$3.0m seeds; plus government grants.</t>
        </is>
      </c>
    </row>
    <row r="28">
      <c r="A28" s="68" t="inlineStr">
        <is>
          <t>px_seriesa_sage</t>
        </is>
      </c>
      <c r="B28" s="68" t="inlineStr">
        <is>
          <t>Sage Geosystems Series A first close</t>
        </is>
      </c>
      <c r="C28" s="68" t="n">
        <v>17</v>
      </c>
      <c r="D28" s="68" t="inlineStr">
        <is>
          <t>USD m</t>
        </is>
      </c>
      <c r="E28" s="68" t="inlineStr">
        <is>
          <t>Sage Geosystems</t>
        </is>
      </c>
      <c r="F28" s="68" t="inlineStr">
        <is>
          <t>https://sagegeo.com/sage-geosystems-raises-17-million-in-series-a-announces-worlds-first-commercial-geopressured-geothermal-system-ggs-facility/</t>
        </is>
      </c>
      <c r="G28" s="68" t="inlineStr">
        <is>
          <t>2024</t>
        </is>
      </c>
      <c r="H28" s="68" t="inlineStr">
        <is>
          <t>Series A, not pre-seed.</t>
        </is>
      </c>
    </row>
    <row r="29">
      <c r="A29" s="68" t="inlineStr">
        <is>
          <t>px_seriesa_xgs</t>
        </is>
      </c>
      <c r="B29" s="68" t="inlineStr">
        <is>
          <t>XGS Energy Series A (after US$9.7m and US$14m earlier rounds)</t>
        </is>
      </c>
      <c r="C29" s="68" t="n">
        <v>20</v>
      </c>
      <c r="D29" s="68" t="inlineStr">
        <is>
          <t>USD m</t>
        </is>
      </c>
      <c r="E29" s="68" t="inlineStr">
        <is>
          <t>XGS Energy</t>
        </is>
      </c>
      <c r="F29" s="68" t="inlineStr">
        <is>
          <t>https://www.xgsenergy.com/geothermal-innovator-xgs-energy-completes-oversubscribed-20m-capital-raise/</t>
        </is>
      </c>
      <c r="G29" s="68" t="inlineStr">
        <is>
          <t>2024</t>
        </is>
      </c>
      <c r="H29" s="68" t="inlineStr">
        <is>
          <t>Series A.</t>
        </is>
      </c>
    </row>
    <row r="30">
      <c r="A30" s="68" t="inlineStr">
        <is>
          <t>px_habanero_geomech</t>
        </is>
      </c>
      <c r="B30" s="68" t="inlineStr">
        <is>
          <t>Habanero/Jolokia lessons: productive zone was one pre-existing critically stressed fault; Jolokia ~1 L/s at 116-122 MPa</t>
        </is>
      </c>
      <c r="C30" s="68" t="n">
        <v>1</v>
      </c>
      <c r="D30" s="68" t="inlineStr">
        <is>
          <t>flag</t>
        </is>
      </c>
      <c r="E30" s="68" t="inlineStr">
        <is>
          <t>Hogarth &amp; Holl, GRC 2017 "Lessons learned from the Habanero EGS project"</t>
        </is>
      </c>
      <c r="F30" s="68" t="inlineStr">
        <is>
          <t>https://publications.mygeoenergynow.org/grc/1033770.pdf</t>
        </is>
      </c>
      <c r="G30" s="68" t="inlineStr">
        <is>
          <t>2017</t>
        </is>
      </c>
      <c r="H30" s="68" t="inlineStr">
        <is>
          <t>Qualitative: argues AGAINST assuming Fervo-style fracture networks transfer to Cooper granite without new stress data.</t>
        </is>
      </c>
    </row>
    <row r="31"/>
    <row r="32"/>
    <row r="33">
      <c r="A33" s="136" t="inlineStr">
        <is>
          <t>PROXY-ADJUSTED VIEW (formulas; headline tabs untouched)</t>
        </is>
      </c>
      <c r="B33" s="137" t="n"/>
      <c r="C33" s="137" t="n"/>
      <c r="D33" s="137" t="n"/>
      <c r="E33" s="137" t="n"/>
      <c r="F33" s="137" t="n"/>
    </row>
    <row r="34">
      <c r="A34" s="68" t="inlineStr">
        <is>
          <t>Facility load to firm (critical IT x PUE), kW</t>
        </is>
      </c>
      <c r="B34" s="90">
        <f>Control!$B$12*Control!$B$17*1000*Control!$B$18</f>
        <v/>
      </c>
      <c r="C34" s="68" t="inlineStr"/>
    </row>
    <row r="35">
      <c r="A35" s="68" t="inlineStr">
        <is>
          <t>Grid-forming BESS, 2 h at facility load, A$</t>
        </is>
      </c>
      <c r="B35" s="90">
        <f>B34*2*Proxies!$C$11</f>
        <v/>
      </c>
      <c r="C35" s="68" t="inlineStr">
        <is>
          <t>2 h ride-through/transition at GenCost utility cost</t>
        </is>
      </c>
    </row>
    <row r="36">
      <c r="A36" s="68" t="inlineStr">
        <is>
          <t>Standby recip engines at full facility load, A$</t>
        </is>
      </c>
      <c r="B36" s="90">
        <f>B34*Proxies!$C$12</f>
        <v/>
      </c>
      <c r="C36" s="68" t="inlineStr">
        <is>
          <t>Covers a full plant trip (876 h/yr at CF 0.90)</t>
        </is>
      </c>
    </row>
    <row r="37">
      <c r="A37" s="68" t="inlineStr">
        <is>
          <t>Black start (separate), A$</t>
        </is>
      </c>
      <c r="B37" s="90">
        <f>Proxies!$C$13</f>
        <v/>
      </c>
      <c r="C37" s="68" t="inlineStr">
        <is>
          <t>Included in BESS + recips</t>
        </is>
      </c>
    </row>
    <row r="38">
      <c r="A38" s="68" t="inlineStr">
        <is>
          <t>Firm-power package incl. contingency, A$</t>
        </is>
      </c>
      <c r="B38" s="90">
        <f>(B35+B36+B37)*(1+Control!$B$13)</f>
        <v/>
      </c>
      <c r="C38" s="68" t="inlineStr"/>
    </row>
    <row r="39">
      <c r="A39" s="68" t="inlineStr">
        <is>
          <t>Extra runway to proxy schedule, A$</t>
        </is>
      </c>
      <c r="B39" s="90">
        <f>MAX(0,Proxies!$C$23-Control!$B$14)*Control!$B$15*Control!$B$18</f>
        <v/>
      </c>
      <c r="C39" s="68" t="inlineStr">
        <is>
          <t>36 vs 24 months</t>
        </is>
      </c>
    </row>
    <row r="40">
      <c r="A40" s="68" t="inlineStr">
        <is>
          <t>Headline raise (Raise!B14), A$</t>
        </is>
      </c>
      <c r="B40" s="90">
        <f>Raise!$B$14</f>
        <v/>
      </c>
      <c r="C40" s="68" t="inlineStr"/>
    </row>
    <row r="41">
      <c r="A41" s="68" t="inlineStr">
        <is>
          <t>PROXY-ADJUSTED RAISE, A$</t>
        </is>
      </c>
      <c r="B41" s="90">
        <f>B40+B38+B39</f>
        <v/>
      </c>
      <c r="C41" s="68" t="inlineStr">
        <is>
          <t>Headline + firm package + longer runway</t>
        </is>
      </c>
    </row>
    <row r="42">
      <c r="A42" s="68" t="inlineStr">
        <is>
          <t>Contribution, headline (colo bundled), A$/yr</t>
        </is>
      </c>
      <c r="B42" s="90">
        <f>'Compute-Revenue'!$B$31</f>
        <v/>
      </c>
      <c r="C42" s="68" t="inlineStr"/>
    </row>
    <row r="43">
      <c r="A43" s="68" t="inlineStr">
        <is>
          <t>Contribution / proxy-adjusted raise</t>
        </is>
      </c>
      <c r="B43" s="91">
        <f>B42/B41</f>
        <v/>
      </c>
      <c r="C43" s="68" t="inlineStr"/>
    </row>
    <row r="44">
      <c r="A44" s="68" t="inlineStr">
        <is>
          <t>AZIO structure: capacity charge revenue, A$/yr</t>
        </is>
      </c>
      <c r="B44" s="90">
        <f>Proxies!$C$8*12*'Compute-Revenue'!$B$6/Rates!$D$4</f>
        <v/>
      </c>
      <c r="C44" s="68" t="inlineStr">
        <is>
          <t>US$150/kW/mo on critical IT</t>
        </is>
      </c>
    </row>
    <row r="45">
      <c r="A45" s="68" t="inlineStr">
        <is>
          <t>AZIO structure: energy billed at US$0.13/kWh, A$/yr</t>
        </is>
      </c>
      <c r="B45" s="90">
        <f>'Compute-Revenue'!$B$7*1000*Proxies!$C$9/Rates!$D$4</f>
        <v/>
      </c>
      <c r="C45" s="68" t="inlineStr">
        <is>
          <t>On total facility MWh</t>
        </is>
      </c>
    </row>
    <row r="46">
      <c r="A46" s="68" t="inlineStr">
        <is>
          <t>AZIO structure: contribution, A$/yr</t>
        </is>
      </c>
      <c r="B46" s="90">
        <f>B44+B45-'Compute-Revenue'!$B$28</f>
        <v/>
      </c>
      <c r="C46" s="68" t="inlineStr">
        <is>
          <t>Same opex floor</t>
        </is>
      </c>
    </row>
    <row r="47">
      <c r="A47" s="68" t="inlineStr">
        <is>
          <t>AZIO structure: contribution / proxy-adjusted raise</t>
        </is>
      </c>
      <c r="B47" s="91">
        <f>B46/B41</f>
        <v/>
      </c>
      <c r="C47" s="68" t="inlineStr">
        <is>
          <t>Upper case: assumes a tenant pays Texas-style energy on top</t>
        </is>
      </c>
    </row>
    <row r="48">
      <c r="A48" s="68" t="inlineStr">
        <is>
          <t>NZ energy cost at ASX CY27 strip, A$/yr</t>
        </is>
      </c>
      <c r="B48" s="90">
        <f>'Compute-Revenue'!$B$24*Proxies!$C$5/Rates!$D$35</f>
        <v/>
      </c>
      <c r="C48" s="68" t="inlineStr">
        <is>
          <t>vs NZ$105 one-week spot</t>
        </is>
      </c>
    </row>
    <row r="49">
      <c r="A49" s="68" t="inlineStr">
        <is>
          <t>NZ contribution at ASX CY27, A$/yr</t>
        </is>
      </c>
      <c r="B49" s="90">
        <f>'Route-Compare'!$C$10-(B48-'Compute-Revenue'!$B$24)</f>
        <v/>
      </c>
      <c r="C49" s="68" t="inlineStr"/>
    </row>
    <row r="50">
      <c r="A50" s="68" t="inlineStr">
        <is>
          <t>NZ contribution / NZ raise at ASX CY27</t>
        </is>
      </c>
      <c r="B50" s="91">
        <f>B49/'Route-Compare'!$C$6</f>
        <v/>
      </c>
      <c r="C50" s="68" t="inlineStr"/>
    </row>
    <row r="51">
      <c r="A51" s="68" t="inlineStr">
        <is>
          <t>Gate 0 pre-seed proxy range, low, A$</t>
        </is>
      </c>
      <c r="B51" s="90">
        <f>3000000/Rates!$D$4</f>
        <v/>
      </c>
      <c r="C51" s="68" t="inlineStr">
        <is>
          <t>US$3m: between Eavor 2018 seed (CA$3.0m) and Quaise seed (US$6m)</t>
        </is>
      </c>
    </row>
    <row r="52">
      <c r="A52" s="68" t="inlineStr">
        <is>
          <t>Gate 0 pre-seed proxy range, high, A$</t>
        </is>
      </c>
      <c r="B52" s="90">
        <f>Proxies!$C$26*1000000/Rates!$D$4</f>
        <v/>
      </c>
      <c r="C52" s="68" t="inlineStr">
        <is>
          <t>US$6m = Quaise seed</t>
        </is>
      </c>
    </row>
    <row r="53">
      <c r="A53" s="68" t="inlineStr">
        <is>
          <t>Team budget implied FTEs at reservoir-engineer base salary</t>
        </is>
      </c>
      <c r="B53" s="143">
        <f>Control!$B$15*12/Proxies!$C$21</f>
        <v/>
      </c>
      <c r="C53" s="68" t="inlineStr">
        <is>
          <t>A$250k/month; excludes on-costs, so real headcount is lower</t>
        </is>
      </c>
    </row>
    <row r="54">
      <c r="A54" s="68" t="inlineStr">
        <is>
          <t>DC build: shell+cooling at T&amp;T Sydney US$9.5/W vs model, A$ (overlap check, not applied)</t>
        </is>
      </c>
      <c r="B54" s="90">
        <f>-('AU-Route'!$B$26+'AU-Route'!$B$27+'AU-Route'!$B$28)*(1-Proxies!$C$20*1000000/(Rates!$D$21+Rates!$D$22))*(1+Control!$B$13)</f>
        <v/>
      </c>
      <c r="C54" s="68" t="inlineStr">
        <is>
          <t>Negative = model may be conservative; remote AI build likely costs more than metro</t>
        </is>
      </c>
    </row>
    <row r="55">
      <c r="A55" s="68" t="inlineStr">
        <is>
          <t>Cape well cost range in A$ m</t>
        </is>
      </c>
      <c r="B55" s="143">
        <f>Proxies!$C$15/Rates!$D$4</f>
        <v/>
      </c>
      <c r="C55" s="68" t="inlineStr">
        <is>
          <t>to</t>
        </is>
      </c>
    </row>
    <row r="56">
      <c r="A56" s="68" t="inlineStr"/>
      <c r="B56" s="143">
        <f>Proxies!$C$14/Rates!$D$4</f>
        <v/>
      </c>
      <c r="C56" s="68" t="inlineStr">
        <is>
          <t>vs model A$14.0/16.5/22.7m</t>
        </is>
      </c>
    </row>
  </sheetData>
  <mergeCells count="1">
    <mergeCell ref="A2:F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B146"/>
  <sheetViews>
    <sheetView workbookViewId="0">
      <selection activeCell="A1" sqref="A1"/>
    </sheetView>
  </sheetViews>
  <sheetFormatPr baseColWidth="8" defaultRowHeight="15"/>
  <cols>
    <col width="52" customWidth="1" style="69" min="1" max="1"/>
    <col width="22" customWidth="1" style="69" min="2" max="2"/>
    <col width="22" customWidth="1" style="69" min="3" max="3"/>
    <col width="22" customWidth="1" style="69" min="4" max="4"/>
    <col width="22" customWidth="1" style="69" min="5" max="5"/>
    <col width="22" customWidth="1" style="69" min="6" max="6"/>
    <col width="22" customWidth="1" style="69" min="7" max="7"/>
    <col width="22" customWidth="1" style="69" min="8" max="8"/>
    <col width="22" customWidth="1" style="69" min="9" max="9"/>
  </cols>
  <sheetData>
    <row r="1">
      <c r="A1" s="100" t="inlineStr">
        <is>
          <t>ARCHEGON  ·  SELL COMPUTE — GPU-as-a-service beside the colocation (rental) case. Inputs are PUBLIC PROXIES with sources; not quotes.</t>
        </is>
      </c>
      <c r="B1" s="101" t="n"/>
      <c r="C1" s="101" t="n"/>
      <c r="D1" s="101" t="n"/>
      <c r="E1" s="101" t="n"/>
      <c r="F1" s="101" t="n"/>
      <c r="G1" s="101" t="n"/>
      <c r="H1" s="101" t="n"/>
    </row>
    <row r="2">
      <c r="A2" s="135" t="inlineStr">
        <is>
          <t>Archegon buys the GPU servers and sells GPU-hours. Revenue = GPUs x 8,760 h x utilisation x price. Every input below is a published figure from another market or a derivation from one (DERIVED). The colocation case on Compute-Revenue is unchanged. No AI-lab customer is assumed.</t>
        </is>
      </c>
    </row>
    <row r="3"/>
    <row r="4">
      <c r="A4" s="89" t="inlineStr">
        <is>
          <t>id</t>
        </is>
      </c>
      <c r="B4" s="89" t="inlineStr">
        <is>
          <t>Input</t>
        </is>
      </c>
      <c r="C4" s="89" t="inlineStr">
        <is>
          <t>Value</t>
        </is>
      </c>
      <c r="D4" s="89" t="inlineStr">
        <is>
          <t>Unit</t>
        </is>
      </c>
      <c r="E4" s="89" t="inlineStr">
        <is>
          <t>Status</t>
        </is>
      </c>
      <c r="F4" s="89" t="inlineStr">
        <is>
          <t>Source</t>
        </is>
      </c>
      <c r="G4" s="89" t="inlineStr">
        <is>
          <t>URL</t>
        </is>
      </c>
      <c r="H4" s="89" t="inlineStr">
        <is>
          <t>Date</t>
        </is>
      </c>
      <c r="I4" s="89" t="inlineStr">
        <is>
          <t>Caveat</t>
        </is>
      </c>
    </row>
    <row r="5">
      <c r="A5" s="68" t="inlineStr">
        <is>
          <t>srv_usd</t>
        </is>
      </c>
      <c r="B5" s="68" t="inlineStr">
        <is>
          <t>8-GPU HGX B200 server, OEM integrated, typical</t>
        </is>
      </c>
      <c r="C5" s="152" t="n">
        <v>450000</v>
      </c>
      <c r="D5" s="68" t="inlineStr">
        <is>
          <t>USD/server</t>
        </is>
      </c>
      <c r="E5" s="68" t="inlineStr">
        <is>
          <t>PUBLIC PROXY</t>
        </is>
      </c>
      <c r="F5" s="68" t="inlineStr">
        <is>
          <t>Mercatus: B200 server price 2026</t>
        </is>
      </c>
      <c r="G5" s="68" t="inlineStr">
        <is>
          <t>https://www.mercatus-ai.com/blog/b200-server-price</t>
        </is>
      </c>
      <c r="H5" s="68" t="inlineStr">
        <is>
          <t>2026</t>
        </is>
      </c>
      <c r="I5" s="68" t="inlineStr">
        <is>
          <t>Range US$400-500k; DGX B200 ~US$515k; allocation-constrained.</t>
        </is>
      </c>
    </row>
    <row r="6">
      <c r="A6" s="68" t="inlineStr">
        <is>
          <t>srv_kw</t>
        </is>
      </c>
      <c r="B6" s="68" t="inlineStr">
        <is>
          <t>DGX B200 system max power</t>
        </is>
      </c>
      <c r="C6" s="152" t="n">
        <v>14.3</v>
      </c>
      <c r="D6" s="68" t="inlineStr">
        <is>
          <t>kW/server</t>
        </is>
      </c>
      <c r="E6" s="68" t="inlineStr">
        <is>
          <t>VERIFIED</t>
        </is>
      </c>
      <c r="F6" s="68" t="inlineStr">
        <is>
          <t>NVIDIA DGX B200 User Guide</t>
        </is>
      </c>
      <c r="G6" s="68" t="inlineStr">
        <is>
          <t>https://docs.nvidia.com/dgx/dgxb200-user-guide/introduction-to-dgxb200.html</t>
        </is>
      </c>
      <c r="H6" s="68" t="inlineStr">
        <is>
          <t>2026</t>
        </is>
      </c>
      <c r="I6" s="68" t="inlineStr">
        <is>
          <t>Max draw used as design IT load.</t>
        </is>
      </c>
    </row>
    <row r="7">
      <c r="A7" s="68" t="inlineStr">
        <is>
          <t>gpu_per_srv</t>
        </is>
      </c>
      <c r="B7" s="68" t="inlineStr">
        <is>
          <t>GPUs per server</t>
        </is>
      </c>
      <c r="C7" s="152" t="n">
        <v>8</v>
      </c>
      <c r="D7" s="68" t="inlineStr">
        <is>
          <t>GPUs</t>
        </is>
      </c>
      <c r="E7" s="68" t="inlineStr">
        <is>
          <t>VERIFIED</t>
        </is>
      </c>
      <c r="F7" s="68" t="inlineStr">
        <is>
          <t>NVIDIA DGX B200 User Guide</t>
        </is>
      </c>
      <c r="G7" s="68" t="inlineStr">
        <is>
          <t>https://docs.nvidia.com/dgx/dgxb200-user-guide/introduction-to-dgxb200.html</t>
        </is>
      </c>
      <c r="H7" s="68" t="inlineStr">
        <is>
          <t>2026</t>
        </is>
      </c>
      <c r="I7" s="68" t="inlineStr"/>
    </row>
    <row r="8">
      <c r="A8" s="68" t="inlineStr">
        <is>
          <t>net_share</t>
        </is>
      </c>
      <c r="B8" s="68" t="inlineStr">
        <is>
          <t>Networking + storage + racks, share of GPU server capex</t>
        </is>
      </c>
      <c r="C8" s="153" t="n">
        <v>0.3</v>
      </c>
      <c r="D8" s="68" t="inlineStr">
        <is>
          <t>share</t>
        </is>
      </c>
      <c r="E8" s="68" t="inlineStr">
        <is>
          <t>PUBLIC PROXY</t>
        </is>
      </c>
      <c r="F8" s="68" t="inlineStr">
        <is>
          <t>GPUaaS.com TCO (Silicon Analysts example: 64xH100 US$4.0m + 0.4 storage + 0.5 network + 0.3 racks)</t>
        </is>
      </c>
      <c r="G8" s="68" t="inlineStr">
        <is>
          <t>https://gpuaas.com/blog/real-tco-gpu-cluster-2026</t>
        </is>
      </c>
      <c r="H8" s="68" t="inlineStr">
        <is>
          <t>4 Jun 2026</t>
        </is>
      </c>
      <c r="I8" s="68" t="inlineStr">
        <is>
          <t>H100 example; other sources 8-25%.</t>
        </is>
      </c>
    </row>
    <row r="9">
      <c r="A9" s="68" t="inlineStr">
        <is>
          <t>maint_share</t>
        </is>
      </c>
      <c r="B9" s="68" t="inlineStr">
        <is>
          <t>Hardware maintenance, share of capex per year</t>
        </is>
      </c>
      <c r="C9" s="153" t="n">
        <v>0.1</v>
      </c>
      <c r="D9" s="68" t="inlineStr">
        <is>
          <t>share/yr</t>
        </is>
      </c>
      <c r="E9" s="68" t="inlineStr">
        <is>
          <t>PUBLIC PROXY</t>
        </is>
      </c>
      <c r="F9" s="68" t="inlineStr">
        <is>
          <t>GPUaaS.com citing Introl (8-12%)</t>
        </is>
      </c>
      <c r="G9" s="68" t="inlineStr">
        <is>
          <t>https://gpuaas.com/blog/real-tco-gpu-cluster-2026</t>
        </is>
      </c>
      <c r="H9" s="68" t="inlineStr">
        <is>
          <t>4 Jun 2026</t>
        </is>
      </c>
      <c r="I9" s="68" t="inlineStr">
        <is>
          <t>Midpoint of quoted range.</t>
        </is>
      </c>
    </row>
    <row r="10">
      <c r="A10" s="68" t="inlineStr">
        <is>
          <t>eng_usd</t>
        </is>
      </c>
      <c r="B10" s="68" t="inlineStr">
        <is>
          <t>GPU infrastructure engineer, fully loaded</t>
        </is>
      </c>
      <c r="C10" s="152" t="n">
        <v>275000</v>
      </c>
      <c r="D10" s="68" t="inlineStr">
        <is>
          <t>USD/yr</t>
        </is>
      </c>
      <c r="E10" s="68" t="inlineStr">
        <is>
          <t>PUBLIC PROXY</t>
        </is>
      </c>
      <c r="F10" s="68" t="inlineStr">
        <is>
          <t>GPUaaS.com citing Introl</t>
        </is>
      </c>
      <c r="G10" s="68" t="inlineStr">
        <is>
          <t>https://gpuaas.com/blog/real-tco-gpu-cluster-2026</t>
        </is>
      </c>
      <c r="H10" s="68" t="inlineStr">
        <is>
          <t>4 Jun 2026</t>
        </is>
      </c>
      <c r="I10" s="68" t="inlineStr">
        <is>
          <t>US cost; remote-site premium unpriced.</t>
        </is>
      </c>
    </row>
    <row r="11">
      <c r="A11" s="68" t="inlineStr">
        <is>
          <t>fte_512</t>
        </is>
      </c>
      <c r="B11" s="68" t="inlineStr">
        <is>
          <t>24x7 ops team per 512 GPUs</t>
        </is>
      </c>
      <c r="C11" s="152" t="n">
        <v>5</v>
      </c>
      <c r="D11" s="68" t="inlineStr">
        <is>
          <t>FTE</t>
        </is>
      </c>
      <c r="E11" s="68" t="inlineStr">
        <is>
          <t>PUBLIC PROXY</t>
        </is>
      </c>
      <c r="F11" s="68" t="inlineStr">
        <is>
          <t>GPUaaS.com citing io.net</t>
        </is>
      </c>
      <c r="G11" s="68" t="inlineStr">
        <is>
          <t>https://gpuaas.com/blog/real-tco-gpu-cluster-2026</t>
        </is>
      </c>
      <c r="H11" s="68" t="inlineStr">
        <is>
          <t>4 Jun 2026</t>
        </is>
      </c>
      <c r="I11" s="68" t="inlineStr">
        <is>
          <t>Linear scaling above 512 GPUs is an ASSUMPTION; minimum 5 FTE.</t>
        </is>
      </c>
    </row>
    <row r="12">
      <c r="A12" s="68" t="inlineStr">
        <is>
          <t>p_od_median</t>
        </is>
      </c>
      <c r="B12" s="68" t="inlineStr">
        <is>
          <t>B200 on-demand median rate card, 33 providers</t>
        </is>
      </c>
      <c r="C12" s="152" t="n">
        <v>6.99</v>
      </c>
      <c r="D12" s="68" t="inlineStr">
        <is>
          <t>USD/GPU-h</t>
        </is>
      </c>
      <c r="E12" s="68" t="inlineStr">
        <is>
          <t>PUBLIC PROXY</t>
        </is>
      </c>
      <c r="F12" s="68" t="inlineStr">
        <is>
          <t>gpueconomy.com</t>
        </is>
      </c>
      <c r="G12" s="68" t="inlineStr">
        <is>
          <t>https://gpueconomy.com/providers/lambda/b200</t>
        </is>
      </c>
      <c r="H12" s="68" t="inlineStr">
        <is>
          <t>12 Oct 2026</t>
        </is>
      </c>
      <c r="I12" s="68" t="inlineStr">
        <is>
          <t>Rate cards, not transacted prices.</t>
        </is>
      </c>
    </row>
    <row r="13">
      <c r="A13" s="68" t="inlineStr">
        <is>
          <t>disc_1y</t>
        </is>
      </c>
      <c r="B13" s="68" t="inlineStr">
        <is>
          <t>B200 1-year reserved discount vs on-demand</t>
        </is>
      </c>
      <c r="C13" s="153" t="n">
        <v>0.21</v>
      </c>
      <c r="D13" s="68" t="inlineStr">
        <is>
          <t>share</t>
        </is>
      </c>
      <c r="E13" s="68" t="inlineStr">
        <is>
          <t>PUBLIC PROXY</t>
        </is>
      </c>
      <c r="F13" s="68" t="inlineStr">
        <is>
          <t>AI Industry Reviews, GPU cloud pricing Sep 2026</t>
        </is>
      </c>
      <c r="G13" s="68" t="inlineStr">
        <is>
          <t>https://ai-industry-reviews.com/research/gpu-cloud-pricing-statistics-september-2026/</t>
        </is>
      </c>
      <c r="H13" s="68" t="inlineStr">
        <is>
          <t>Sep 2026</t>
        </is>
      </c>
      <c r="I13" s="68" t="inlineStr">
        <is>
          <t>Median across providers.</t>
        </is>
      </c>
    </row>
    <row r="14">
      <c r="A14" s="68" t="inlineStr">
        <is>
          <t>p_low</t>
        </is>
      </c>
      <c r="B14" s="68" t="inlineStr">
        <is>
          <t>B200 SemiAnalysis spot-contract composite index</t>
        </is>
      </c>
      <c r="C14" s="152" t="n">
        <v>3.68</v>
      </c>
      <c r="D14" s="68" t="inlineStr">
        <is>
          <t>USD/GPU-h</t>
        </is>
      </c>
      <c r="E14" s="68" t="inlineStr">
        <is>
          <t>PUBLIC PROXY</t>
        </is>
      </c>
      <c r="F14" s="68" t="inlineStr">
        <is>
          <t>SemiAnalysis GPU index</t>
        </is>
      </c>
      <c r="G14" s="68" t="inlineStr">
        <is>
          <t>https://gpu-index.semianalysis.com/</t>
        </is>
      </c>
      <c r="H14" s="68" t="inlineStr">
        <is>
          <t>Apr 2026</t>
        </is>
      </c>
      <c r="I14" s="68" t="inlineStr">
        <is>
          <t>Market composite; LOW case.</t>
        </is>
      </c>
    </row>
    <row r="15">
      <c r="A15" s="68" t="inlineStr">
        <is>
          <t>p_base</t>
        </is>
      </c>
      <c r="B15" s="68" t="inlineStr">
        <is>
          <t>B200 1-year reserved (derived = median on-demand x (1 - discount))</t>
        </is>
      </c>
      <c r="C15" s="152">
        <f>C12*(1-C13)</f>
        <v/>
      </c>
      <c r="D15" s="68" t="inlineStr">
        <is>
          <t>USD/GPU-h</t>
        </is>
      </c>
      <c r="E15" s="68" t="inlineStr">
        <is>
          <t>DERIVED</t>
        </is>
      </c>
      <c r="F15" s="68" t="inlineStr">
        <is>
          <t>From the two rows above</t>
        </is>
      </c>
      <c r="G15" s="68" t="inlineStr"/>
      <c r="H15" s="68" t="inlineStr"/>
      <c r="I15" s="68" t="inlineStr"/>
    </row>
    <row r="16">
      <c r="A16" s="68" t="inlineStr">
        <is>
          <t>p_high</t>
        </is>
      </c>
      <c r="B16" s="68" t="inlineStr">
        <is>
          <t>B200 on-demand, Lambda 8-GPU</t>
        </is>
      </c>
      <c r="C16" s="152" t="n">
        <v>6.69</v>
      </c>
      <c r="D16" s="68" t="inlineStr">
        <is>
          <t>USD/GPU-h</t>
        </is>
      </c>
      <c r="E16" s="68" t="inlineStr">
        <is>
          <t>PUBLIC PROXY</t>
        </is>
      </c>
      <c r="F16" s="68" t="inlineStr">
        <is>
          <t>Lambda instances</t>
        </is>
      </c>
      <c r="G16" s="68" t="inlineStr">
        <is>
          <t>https://lambda.ai/instances</t>
        </is>
      </c>
      <c r="H16" s="68" t="inlineStr">
        <is>
          <t>12 Oct 2026</t>
        </is>
      </c>
      <c r="I16" s="68" t="inlineStr">
        <is>
          <t>Also listed for NSW, sold out. HIGH case: on-demand assumes full sell-through.</t>
        </is>
      </c>
    </row>
    <row r="17">
      <c r="A17" s="68" t="inlineStr">
        <is>
          <t>p_cw</t>
        </is>
      </c>
      <c r="B17" s="68" t="inlineStr">
        <is>
          <t>HGX B200 on-demand, CoreWeave</t>
        </is>
      </c>
      <c r="C17" s="152" t="n">
        <v>8.6</v>
      </c>
      <c r="D17" s="68" t="inlineStr">
        <is>
          <t>USD/GPU-h</t>
        </is>
      </c>
      <c r="E17" s="68" t="inlineStr">
        <is>
          <t>PUBLIC PROXY</t>
        </is>
      </c>
      <c r="F17" s="68" t="inlineStr">
        <is>
          <t>CoreWeave pricing</t>
        </is>
      </c>
      <c r="G17" s="68" t="inlineStr">
        <is>
          <t>https://coreweave.com/pricing</t>
        </is>
      </c>
      <c r="H17" s="68" t="inlineStr">
        <is>
          <t>12 Oct 2026</t>
        </is>
      </c>
      <c r="I17" s="68" t="inlineStr">
        <is>
          <t>Reference only; most capacity is sold on contract.</t>
        </is>
      </c>
    </row>
    <row r="18">
      <c r="A18" s="68" t="inlineStr">
        <is>
          <t>u_low</t>
        </is>
      </c>
      <c r="B18" s="68" t="inlineStr">
        <is>
          <t>GPU active utilisation, 34-provider panel</t>
        </is>
      </c>
      <c r="C18" s="153" t="n">
        <v>0.47</v>
      </c>
      <c r="D18" s="68" t="inlineStr">
        <is>
          <t>share</t>
        </is>
      </c>
      <c r="E18" s="68" t="inlineStr">
        <is>
          <t>PUBLIC PROXY</t>
        </is>
      </c>
      <c r="F18" s="68" t="inlineStr">
        <is>
          <t>AI Industry Reviews, GPU utilisation 2026</t>
        </is>
      </c>
      <c r="G18" s="68" t="inlineStr">
        <is>
          <t>https://ai-industry-reviews.com/research/gpu-utilization-rate-statistics-2026/</t>
        </is>
      </c>
      <c r="H18" s="68" t="inlineStr">
        <is>
          <t>2026</t>
        </is>
      </c>
      <c r="I18" s="68" t="inlineStr">
        <is>
          <t>Panel estimate; no provider discloses a consistent KPI.</t>
        </is>
      </c>
    </row>
    <row r="19">
      <c r="A19" s="68" t="inlineStr">
        <is>
          <t>u_base</t>
        </is>
      </c>
      <c r="B19" s="68" t="inlineStr">
        <is>
          <t>Utilisation at which owning beats renting (B200)</t>
        </is>
      </c>
      <c r="C19" s="153" t="n">
        <v>0.7</v>
      </c>
      <c r="D19" s="68" t="inlineStr">
        <is>
          <t>share</t>
        </is>
      </c>
      <c r="E19" s="68" t="inlineStr">
        <is>
          <t>PUBLIC PROXY</t>
        </is>
      </c>
      <c r="F19" s="68" t="inlineStr">
        <is>
          <t>GPUaaS.com citing American Compute</t>
        </is>
      </c>
      <c r="G19" s="68" t="inlineStr">
        <is>
          <t>https://gpuaas.com/blog/real-tco-gpu-cluster-2026</t>
        </is>
      </c>
      <c r="H19" s="68" t="inlineStr">
        <is>
          <t>Mar 2026</t>
        </is>
      </c>
      <c r="I19" s="68" t="inlineStr">
        <is>
          <t>Used as BASE.</t>
        </is>
      </c>
    </row>
    <row r="20">
      <c r="A20" s="68" t="inlineStr">
        <is>
          <t>u_high</t>
        </is>
      </c>
      <c r="B20" s="68" t="inlineStr">
        <is>
          <t>Utilisation assumed in owned-cluster TCO example</t>
        </is>
      </c>
      <c r="C20" s="153" t="n">
        <v>0.8</v>
      </c>
      <c r="D20" s="68" t="inlineStr">
        <is>
          <t>share</t>
        </is>
      </c>
      <c r="E20" s="68" t="inlineStr">
        <is>
          <t>PUBLIC PROXY</t>
        </is>
      </c>
      <c r="F20" s="68" t="inlineStr">
        <is>
          <t>GPUaaS.com citing American Compute</t>
        </is>
      </c>
      <c r="G20" s="68" t="inlineStr">
        <is>
          <t>https://gpuaas.com/blog/real-tco-gpu-cluster-2026</t>
        </is>
      </c>
      <c r="H20" s="68" t="inlineStr">
        <is>
          <t>Mar 2026</t>
        </is>
      </c>
      <c r="I20" s="68" t="inlineStr"/>
    </row>
    <row r="21">
      <c r="A21" s="68" t="inlineStr">
        <is>
          <t>life</t>
        </is>
      </c>
      <c r="B21" s="68" t="inlineStr">
        <is>
          <t>GPU server useful life (refresh cycle)</t>
        </is>
      </c>
      <c r="C21" s="152" t="n">
        <v>5</v>
      </c>
      <c r="D21" s="68" t="inlineStr">
        <is>
          <t>years</t>
        </is>
      </c>
      <c r="E21" s="68" t="inlineStr">
        <is>
          <t>PUBLIC PROXY</t>
        </is>
      </c>
      <c r="F21" s="68" t="inlineStr">
        <is>
          <t>Amazon shortened servers to 5 yrs from 2025 (CoreWeave uses 6)</t>
        </is>
      </c>
      <c r="G21" s="68" t="inlineStr">
        <is>
          <t>https://www.businessinsider.com/coreweave-ipo-nvidia-gpu-hopper-problem-blackwell-ai-depreciation-2025-3</t>
        </is>
      </c>
      <c r="H21" s="68" t="inlineStr">
        <is>
          <t>2025</t>
        </is>
      </c>
      <c r="I21" s="68" t="inlineStr">
        <is>
          <t>Economic life may be shorter (resale -50% in 2 yrs per GPUaaS.com).</t>
        </is>
      </c>
    </row>
    <row r="22">
      <c r="A22" s="68" t="inlineStr">
        <is>
          <t>decay</t>
        </is>
      </c>
      <c r="B22" s="68" t="inlineStr">
        <is>
          <t>GPU-hour price change per year within a refresh cycle (H100 &gt;$7 early 2024 -&gt; $3.38 Aug 2026)</t>
        </is>
      </c>
      <c r="C22" s="153">
        <f>(3.38/7)^(1/2.5)-1</f>
        <v/>
      </c>
      <c r="D22" s="68" t="inlineStr">
        <is>
          <t>share/yr</t>
        </is>
      </c>
      <c r="E22" s="68" t="inlineStr">
        <is>
          <t>DERIVED</t>
        </is>
      </c>
      <c r="F22" s="68" t="inlineStr">
        <is>
          <t>Shattered.io citing AIMultiple index</t>
        </is>
      </c>
      <c r="G22" s="68" t="inlineStr">
        <is>
          <t>https://shattered.io/h100-h200-b200-cloud-gpu-pricing-2026/</t>
        </is>
      </c>
      <c r="H22" s="68" t="inlineStr">
        <is>
          <t>Aug 2026</t>
        </is>
      </c>
      <c r="I22" s="68" t="inlineStr">
        <is>
          <t>2026 counter-signal: H100 on-demand +15% YoY (GPUaaS.com Q4 2026). Flat-price case shown alongside.</t>
        </is>
      </c>
    </row>
    <row r="23">
      <c r="A23" s="68" t="inlineStr">
        <is>
          <t>decay_flat</t>
        </is>
      </c>
      <c r="B23" s="68" t="inlineStr">
        <is>
          <t>Flat-price case (2026 market rose rather than fell)</t>
        </is>
      </c>
      <c r="C23" s="153" t="n">
        <v>0</v>
      </c>
      <c r="D23" s="68" t="inlineStr">
        <is>
          <t>share/yr</t>
        </is>
      </c>
      <c r="E23" s="68" t="inlineStr">
        <is>
          <t>PUBLIC PROXY</t>
        </is>
      </c>
      <c r="F23" s="68" t="inlineStr">
        <is>
          <t>GPUaaS.com State of GPU procurement Q4 2026</t>
        </is>
      </c>
      <c r="G23" s="68" t="inlineStr">
        <is>
          <t>https://gpuaas.com/blog/state-of-gpu-procurement-q4-2026</t>
        </is>
      </c>
      <c r="H23" s="68" t="inlineStr">
        <is>
          <t>Q4 2026</t>
        </is>
      </c>
      <c r="I23" s="68" t="inlineStr">
        <is>
          <t>Upside case.</t>
        </is>
      </c>
    </row>
    <row r="24">
      <c r="A24" s="68" t="inlineStr">
        <is>
          <t>starlink_ms</t>
        </is>
      </c>
      <c r="B24" s="68" t="inlineStr">
        <is>
          <t>Starlink average latency, Australia</t>
        </is>
      </c>
      <c r="C24" s="152" t="n">
        <v>29.8</v>
      </c>
      <c r="D24" s="68" t="inlineStr">
        <is>
          <t>ms</t>
        </is>
      </c>
      <c r="E24" s="68" t="inlineStr">
        <is>
          <t>PUBLIC PROXY</t>
        </is>
      </c>
      <c r="F24" s="68" t="inlineStr">
        <is>
          <t>Off-grid Internet (ACCC data)</t>
        </is>
      </c>
      <c r="G24" s="68" t="inlineStr">
        <is>
          <t>https://www.offgridinternet.com.au/starlink-vs-nbn-australia/</t>
        </is>
      </c>
      <c r="H24" s="68" t="inlineStr">
        <is>
          <t>2026</t>
        </is>
      </c>
      <c r="I24" s="68" t="inlineStr">
        <is>
          <t>Fine for batch training/inference APIs; not for bulk data ingress.</t>
        </is>
      </c>
    </row>
    <row r="25">
      <c r="A25" s="68" t="inlineStr">
        <is>
          <t>starlink_mbps</t>
        </is>
      </c>
      <c r="B25" s="68" t="inlineStr">
        <is>
          <t>Telstra Starlink busy-hour download</t>
        </is>
      </c>
      <c r="C25" s="152" t="n">
        <v>50</v>
      </c>
      <c r="D25" s="68" t="inlineStr">
        <is>
          <t>Mbps</t>
        </is>
      </c>
      <c r="E25" s="68" t="inlineStr">
        <is>
          <t>PUBLIC PROXY</t>
        </is>
      </c>
      <c r="F25" s="68" t="inlineStr">
        <is>
          <t>WhistleOut</t>
        </is>
      </c>
      <c r="G25" s="68" t="inlineStr">
        <is>
          <t>https://www.whistleout.com.au/Broadband/Guides/Telstra-Starlink-vs-SpaceX-Starlink</t>
        </is>
      </c>
      <c r="H25" s="68" t="inlineStr">
        <is>
          <t>2026</t>
        </is>
      </c>
      <c r="I25" s="68" t="inlineStr">
        <is>
          <t>~0.5 TB/day at full rate: far too thin for a 2,800-GPU cluster. AU compute needs fibre (AU-Route B29 is RATE_MISSING, A$0).</t>
        </is>
      </c>
    </row>
    <row r="26">
      <c r="A26" s="68" t="inlineStr">
        <is>
          <t>au_h200_aud</t>
        </is>
      </c>
      <c r="B26" s="68" t="inlineStr">
        <is>
          <t>Only public Australian GPU rate: Micron21 H200 (reference)</t>
        </is>
      </c>
      <c r="C26" s="152" t="n">
        <v>6.08</v>
      </c>
      <c r="D26" s="68" t="inlineStr">
        <is>
          <t>AUD/GPU-h</t>
        </is>
      </c>
      <c r="E26" s="68" t="inlineStr">
        <is>
          <t>PUBLIC PROXY</t>
        </is>
      </c>
      <c r="F26" s="68" t="inlineStr">
        <is>
          <t>Micron21</t>
        </is>
      </c>
      <c r="G26" s="68" t="inlineStr">
        <is>
          <t>https://www.micron21.com/blog/nvidia-h200-cloud-pricing-in-australia-2026-mcloud-vs-aws-azure-google-cloud-and-neoclouds</t>
        </is>
      </c>
      <c r="H26" s="68" t="inlineStr">
        <is>
          <t>2026</t>
        </is>
      </c>
      <c r="I26" s="68" t="inlineStr">
        <is>
          <t>H200, Melbourne Tier IV; not used in calcs.</t>
        </is>
      </c>
    </row>
    <row r="27"/>
    <row r="28"/>
    <row r="29">
      <c r="A29" s="136" t="inlineStr">
        <is>
          <t>CASES AT THE 5 MW REFERENCE (one site each). Consolidated = Archegon owns power + hall + GPUs. ComputeCo = buys power at the Power-Economics transfer price (LCOE at 8%).</t>
        </is>
      </c>
      <c r="B29" s="137" t="n"/>
      <c r="C29" s="137" t="n"/>
      <c r="D29" s="137" t="n"/>
      <c r="E29" s="137" t="n"/>
      <c r="F29" s="137" t="n"/>
    </row>
    <row r="30">
      <c r="A30" s="68" t="inlineStr">
        <is>
          <t>Case</t>
        </is>
      </c>
      <c r="B30" s="68" t="inlineStr">
        <is>
          <t>AU, prices decay</t>
        </is>
      </c>
      <c r="C30" s="68" t="inlineStr">
        <is>
          <t>AU, flat prices</t>
        </is>
      </c>
      <c r="D30" s="68" t="inlineStr">
        <is>
          <t>NZ, prices decay</t>
        </is>
      </c>
      <c r="E30" s="68" t="inlineStr">
        <is>
          <t>NZ, flat prices</t>
        </is>
      </c>
      <c r="F30" s="68" t="inlineStr">
        <is>
          <t>AU downside: 47% util, 20% remote discount, decay</t>
        </is>
      </c>
      <c r="G30" s="68" t="inlineStr">
        <is>
          <t>AU ComputeCo (transfer price), decay</t>
        </is>
      </c>
      <c r="H30" s="68" t="inlineStr">
        <is>
          <t>AU ComputeCo (transfer price), flat</t>
        </is>
      </c>
      <c r="I30" s="68" t="inlineStr">
        <is>
          <t>AU colocation (rental), for comparison</t>
        </is>
      </c>
    </row>
    <row r="31">
      <c r="A31" s="68" t="inlineStr">
        <is>
          <t>IT load (kW)</t>
        </is>
      </c>
      <c r="B31" s="90">
        <f>Control!$B$12*1000</f>
        <v/>
      </c>
      <c r="C31" s="90">
        <f>Control!$B$12*1000</f>
        <v/>
      </c>
      <c r="D31" s="90">
        <f>Control!$B$12*1000</f>
        <v/>
      </c>
      <c r="E31" s="90">
        <f>Control!$B$12*1000</f>
        <v/>
      </c>
      <c r="F31" s="90">
        <f>Control!$B$12*1000</f>
        <v/>
      </c>
      <c r="G31" s="90">
        <f>Control!$B$12*1000</f>
        <v/>
      </c>
      <c r="H31" s="90">
        <f>Control!$B$12*1000</f>
        <v/>
      </c>
    </row>
    <row r="32">
      <c r="A32" s="68" t="inlineStr">
        <is>
          <t>GPU servers</t>
        </is>
      </c>
      <c r="B32" s="90">
        <f>ROUNDDOWN(B31/$C$6,0)</f>
        <v/>
      </c>
      <c r="C32" s="90">
        <f>ROUNDDOWN(C31/$C$6,0)</f>
        <v/>
      </c>
      <c r="D32" s="90">
        <f>ROUNDDOWN(D31/$C$6,0)</f>
        <v/>
      </c>
      <c r="E32" s="90">
        <f>ROUNDDOWN(E31/$C$6,0)</f>
        <v/>
      </c>
      <c r="F32" s="90">
        <f>ROUNDDOWN(F31/$C$6,0)</f>
        <v/>
      </c>
      <c r="G32" s="90">
        <f>ROUNDDOWN(G31/$C$6,0)</f>
        <v/>
      </c>
      <c r="H32" s="90">
        <f>ROUNDDOWN(H31/$C$6,0)</f>
        <v/>
      </c>
    </row>
    <row r="33">
      <c r="A33" s="68" t="inlineStr">
        <is>
          <t>GPUs</t>
        </is>
      </c>
      <c r="B33" s="90">
        <f>B32*$C$7</f>
        <v/>
      </c>
      <c r="C33" s="90">
        <f>C32*$C$7</f>
        <v/>
      </c>
      <c r="D33" s="90">
        <f>D32*$C$7</f>
        <v/>
      </c>
      <c r="E33" s="90">
        <f>E32*$C$7</f>
        <v/>
      </c>
      <c r="F33" s="90">
        <f>F32*$C$7</f>
        <v/>
      </c>
      <c r="G33" s="90">
        <f>G32*$C$7</f>
        <v/>
      </c>
      <c r="H33" s="90">
        <f>H32*$C$7</f>
        <v/>
      </c>
    </row>
    <row r="34">
      <c r="A34" s="68" t="inlineStr">
        <is>
          <t>GPU capex incl. network/storage, A$</t>
        </is>
      </c>
      <c r="B34" s="90">
        <f>B32*$C$5*(1+$C$8)/Rates!$D$4</f>
        <v/>
      </c>
      <c r="C34" s="90">
        <f>C32*$C$5*(1+$C$8)/Rates!$D$4</f>
        <v/>
      </c>
      <c r="D34" s="90">
        <f>D32*$C$5*(1+$C$8)/Rates!$D$4</f>
        <v/>
      </c>
      <c r="E34" s="90">
        <f>E32*$C$5*(1+$C$8)/Rates!$D$4</f>
        <v/>
      </c>
      <c r="F34" s="90">
        <f>F32*$C$5*(1+$C$8)/Rates!$D$4</f>
        <v/>
      </c>
      <c r="G34" s="90">
        <f>G32*$C$5*(1+$C$8)/Rates!$D$4</f>
        <v/>
      </c>
      <c r="H34" s="90">
        <f>H32*$C$5*(1+$C$8)/Rates!$D$4</f>
        <v/>
      </c>
    </row>
    <row r="35">
      <c r="A35" s="68" t="inlineStr">
        <is>
          <t>Infrastructure capital (raise or hall), A$</t>
        </is>
      </c>
      <c r="B35" s="90">
        <f>'Route-Compare'!$B$6+Connectivity!$C$5</f>
        <v/>
      </c>
      <c r="C35" s="90">
        <f>'Route-Compare'!$B$6+Connectivity!$C$5</f>
        <v/>
      </c>
      <c r="D35" s="90">
        <f>'Route-Compare'!$C$6+Connectivity!$C$7</f>
        <v/>
      </c>
      <c r="E35" s="90">
        <f>'Route-Compare'!$C$6+Connectivity!$C$7</f>
        <v/>
      </c>
      <c r="F35" s="90">
        <f>'Route-Compare'!$B$6+Connectivity!$C$5</f>
        <v/>
      </c>
      <c r="G35" s="90">
        <f>Connectivity!$C$5+('AU-Route'!$B$26+'AU-Route'!$B$27+'AU-Route'!$B$28)*(1+Control!$B$13)+Control!$B$14*Control!$B$15</f>
        <v/>
      </c>
      <c r="H35" s="90">
        <f>Connectivity!$C$5+('AU-Route'!$B$26+'AU-Route'!$B$27+'AU-Route'!$B$28)*(1+Control!$B$13)+Control!$B$14*Control!$B$15</f>
        <v/>
      </c>
    </row>
    <row r="36">
      <c r="A36" s="68" t="inlineStr">
        <is>
          <t>TOTAL CAPITAL incl. GPUs, A$</t>
        </is>
      </c>
      <c r="B36" s="90">
        <f>B34+B35</f>
        <v/>
      </c>
      <c r="C36" s="90">
        <f>C34+C35</f>
        <v/>
      </c>
      <c r="D36" s="90">
        <f>D34+D35</f>
        <v/>
      </c>
      <c r="E36" s="90">
        <f>E34+E35</f>
        <v/>
      </c>
      <c r="F36" s="90">
        <f>F34+F35</f>
        <v/>
      </c>
      <c r="G36" s="90">
        <f>G34+G35</f>
        <v/>
      </c>
      <c r="H36" s="90">
        <f>H34+H35</f>
        <v/>
      </c>
      <c r="I36" s="90">
        <f>'Route-Compare'!$B$6</f>
        <v/>
      </c>
    </row>
    <row r="37">
      <c r="A37" s="68" t="inlineStr">
        <is>
          <t>Price, US$/GPU-h (year 1)</t>
        </is>
      </c>
      <c r="B37" s="123">
        <f>$C$15</f>
        <v/>
      </c>
      <c r="C37" s="123">
        <f>$C$15</f>
        <v/>
      </c>
      <c r="D37" s="123">
        <f>$C$15</f>
        <v/>
      </c>
      <c r="E37" s="123">
        <f>$C$15</f>
        <v/>
      </c>
      <c r="F37" s="123">
        <f>$C$15*(1-Rates!$D$83)</f>
        <v/>
      </c>
      <c r="G37" s="123">
        <f>$C$15</f>
        <v/>
      </c>
      <c r="H37" s="123">
        <f>$C$15</f>
        <v/>
      </c>
    </row>
    <row r="38">
      <c r="A38" s="68" t="inlineStr">
        <is>
          <t>Utilisation</t>
        </is>
      </c>
      <c r="B38" s="145">
        <f>$C$19</f>
        <v/>
      </c>
      <c r="C38" s="145">
        <f>$C$19</f>
        <v/>
      </c>
      <c r="D38" s="145">
        <f>$C$19</f>
        <v/>
      </c>
      <c r="E38" s="145">
        <f>$C$19</f>
        <v/>
      </c>
      <c r="F38" s="145">
        <f>$C$18</f>
        <v/>
      </c>
      <c r="G38" s="145">
        <f>$C$19</f>
        <v/>
      </c>
      <c r="H38" s="145">
        <f>$C$19</f>
        <v/>
      </c>
    </row>
    <row r="39">
      <c r="A39" s="68" t="inlineStr">
        <is>
          <t>GPU-hours sold, yr 1 (capped by deliverable bandwidth, Connectivity C13/C14)</t>
        </is>
      </c>
      <c r="B39" s="90">
        <f>B33*8760*B38*Connectivity!$C$13</f>
        <v/>
      </c>
      <c r="C39" s="90">
        <f>C33*8760*C38*Connectivity!$C$13</f>
        <v/>
      </c>
      <c r="D39" s="90">
        <f>D33*8760*D38*Connectivity!$C$14</f>
        <v/>
      </c>
      <c r="E39" s="90">
        <f>E33*8760*E38*Connectivity!$C$14</f>
        <v/>
      </c>
      <c r="F39" s="90">
        <f>F33*8760*F38*Connectivity!$C$13</f>
        <v/>
      </c>
      <c r="G39" s="90">
        <f>G33*8760*G38*Connectivity!$C$13</f>
        <v/>
      </c>
      <c r="H39" s="90">
        <f>H33*8760*H38*Connectivity!$C$13</f>
        <v/>
      </c>
    </row>
    <row r="40">
      <c r="A40" s="68" t="inlineStr">
        <is>
          <t>REVENUE yr 1, A$</t>
        </is>
      </c>
      <c r="B40" s="90">
        <f>B39*B37/Rates!$D$4</f>
        <v/>
      </c>
      <c r="C40" s="90">
        <f>C39*C37/Rates!$D$4</f>
        <v/>
      </c>
      <c r="D40" s="90">
        <f>D39*D37/Rates!$D$4</f>
        <v/>
      </c>
      <c r="E40" s="90">
        <f>E39*E37/Rates!$D$4</f>
        <v/>
      </c>
      <c r="F40" s="90">
        <f>F39*F37/Rates!$D$4</f>
        <v/>
      </c>
      <c r="G40" s="90">
        <f>G39*G37/Rates!$D$4</f>
        <v/>
      </c>
      <c r="H40" s="90">
        <f>H39*H37/Rates!$D$4</f>
        <v/>
      </c>
      <c r="I40" s="90">
        <f>'Compute-Revenue'!$B$10</f>
        <v/>
      </c>
    </row>
    <row r="41">
      <c r="A41" s="68" t="inlineStr">
        <is>
          <t>Power cost, A$/yr</t>
        </is>
      </c>
      <c r="B41" s="90">
        <f>'Compute-Revenue'!$B$23</f>
        <v/>
      </c>
      <c r="C41" s="90">
        <f>'Compute-Revenue'!$B$23</f>
        <v/>
      </c>
      <c r="D41" s="90">
        <f>'Compute-Revenue'!$B$24</f>
        <v/>
      </c>
      <c r="E41" s="90">
        <f>'Compute-Revenue'!$B$24</f>
        <v/>
      </c>
      <c r="F41" s="90">
        <f>'Compute-Revenue'!$B$23</f>
        <v/>
      </c>
      <c r="G41" s="90">
        <f>'Compute-Revenue'!$B$7*'Power-Economics'!$E$16</f>
        <v/>
      </c>
      <c r="H41" s="90">
        <f>'Compute-Revenue'!$B$7*'Power-Economics'!$E$16</f>
        <v/>
      </c>
    </row>
    <row r="42">
      <c r="A42" s="68" t="inlineStr">
        <is>
          <t>Hardware maintenance, A$/yr</t>
        </is>
      </c>
      <c r="B42" s="90">
        <f>$C$9*B34</f>
        <v/>
      </c>
      <c r="C42" s="90">
        <f>$C$9*C34</f>
        <v/>
      </c>
      <c r="D42" s="90">
        <f>$C$9*D34</f>
        <v/>
      </c>
      <c r="E42" s="90">
        <f>$C$9*E34</f>
        <v/>
      </c>
      <c r="F42" s="90">
        <f>$C$9*F34</f>
        <v/>
      </c>
      <c r="G42" s="90">
        <f>$C$9*G34</f>
        <v/>
      </c>
      <c r="H42" s="90">
        <f>$C$9*H34</f>
        <v/>
      </c>
    </row>
    <row r="43">
      <c r="A43" s="68" t="inlineStr">
        <is>
          <t>GPU ops staff, A$/yr</t>
        </is>
      </c>
      <c r="B43" s="90">
        <f>MAX($C$11,B33/512*$C$11)*$C$10/Rates!$D$4</f>
        <v/>
      </c>
      <c r="C43" s="90">
        <f>MAX($C$11,C33/512*$C$11)*$C$10/Rates!$D$4</f>
        <v/>
      </c>
      <c r="D43" s="90">
        <f>MAX($C$11,D33/512*$C$11)*$C$10/Rates!$D$4</f>
        <v/>
      </c>
      <c r="E43" s="90">
        <f>MAX($C$11,E33/512*$C$11)*$C$10/Rates!$D$4</f>
        <v/>
      </c>
      <c r="F43" s="90">
        <f>MAX($C$11,F33/512*$C$11)*$C$10/Rates!$D$4</f>
        <v/>
      </c>
      <c r="G43" s="90">
        <f>MAX($C$11,G33/512*$C$11)*$C$10/Rates!$D$4</f>
        <v/>
      </c>
      <c r="H43" s="90">
        <f>MAX($C$11,H33/512*$C$11)*$C$10/Rates!$D$4</f>
        <v/>
      </c>
    </row>
    <row r="44">
      <c r="A44" s="68" t="inlineStr">
        <is>
          <t>Team + overhead, A$/yr</t>
        </is>
      </c>
      <c r="B44" s="90">
        <f>Control!$B$15*12</f>
        <v/>
      </c>
      <c r="C44" s="90">
        <f>Control!$B$15*12</f>
        <v/>
      </c>
      <c r="D44" s="90">
        <f>Control!$B$15*12</f>
        <v/>
      </c>
      <c r="E44" s="90">
        <f>Control!$B$15*12</f>
        <v/>
      </c>
      <c r="F44" s="90">
        <f>Control!$B$15*12</f>
        <v/>
      </c>
      <c r="G44" s="90">
        <f>Control!$B$15*12</f>
        <v/>
      </c>
      <c r="H44" s="90">
        <f>Control!$B$15*12</f>
        <v/>
      </c>
    </row>
    <row r="45">
      <c r="A45" s="68" t="inlineStr">
        <is>
          <t>Connectivity opex (Connectivity tab); other data-centre non-energy opex RATE_MISSING, A$/yr</t>
        </is>
      </c>
      <c r="B45" s="90">
        <f>Connectivity!$C$6</f>
        <v/>
      </c>
      <c r="C45" s="90">
        <f>Connectivity!$C$6</f>
        <v/>
      </c>
      <c r="D45" s="90">
        <f>Connectivity!$C$8</f>
        <v/>
      </c>
      <c r="E45" s="90">
        <f>Connectivity!$C$8</f>
        <v/>
      </c>
      <c r="F45" s="90">
        <f>Connectivity!$C$6</f>
        <v/>
      </c>
      <c r="G45" s="90">
        <f>Connectivity!$C$6</f>
        <v/>
      </c>
      <c r="H45" s="90">
        <f>Connectivity!$C$6</f>
        <v/>
      </c>
    </row>
    <row r="46">
      <c r="A46" s="68" t="inlineStr">
        <is>
          <t>EBITDA yr 1, A$</t>
        </is>
      </c>
      <c r="B46" s="90">
        <f>B40-SUM(B41:B45)</f>
        <v/>
      </c>
      <c r="C46" s="90">
        <f>C40-SUM(C41:C45)</f>
        <v/>
      </c>
      <c r="D46" s="90">
        <f>D40-SUM(D41:D45)</f>
        <v/>
      </c>
      <c r="E46" s="90">
        <f>E40-SUM(E41:E45)</f>
        <v/>
      </c>
      <c r="F46" s="90">
        <f>F40-SUM(F41:F45)</f>
        <v/>
      </c>
      <c r="G46" s="90">
        <f>G40-SUM(G41:G45)</f>
        <v/>
      </c>
      <c r="H46" s="90">
        <f>H40-SUM(H41:H45)</f>
        <v/>
      </c>
      <c r="I46" s="90">
        <f>'Compute-Revenue'!$B$31</f>
        <v/>
      </c>
    </row>
    <row r="47">
      <c r="A47" s="68" t="inlineStr">
        <is>
          <t>EBITDA margin yr 1</t>
        </is>
      </c>
      <c r="B47" s="91">
        <f>B46/B40</f>
        <v/>
      </c>
      <c r="C47" s="91">
        <f>C46/C40</f>
        <v/>
      </c>
      <c r="D47" s="91">
        <f>D46/D40</f>
        <v/>
      </c>
      <c r="E47" s="91">
        <f>E46/E40</f>
        <v/>
      </c>
      <c r="F47" s="91">
        <f>F46/F40</f>
        <v/>
      </c>
      <c r="G47" s="91">
        <f>G46/G40</f>
        <v/>
      </c>
      <c r="H47" s="91">
        <f>H46/H40</f>
        <v/>
      </c>
    </row>
    <row r="48">
      <c r="A48" s="68" t="inlineStr">
        <is>
          <t>EBITDA yr 1 / total capital</t>
        </is>
      </c>
      <c r="B48" s="91">
        <f>B46/B36</f>
        <v/>
      </c>
      <c r="C48" s="91">
        <f>C46/C36</f>
        <v/>
      </c>
      <c r="D48" s="91">
        <f>D46/D36</f>
        <v/>
      </c>
      <c r="E48" s="91">
        <f>E46/E36</f>
        <v/>
      </c>
      <c r="F48" s="91">
        <f>F46/F36</f>
        <v/>
      </c>
      <c r="G48" s="91">
        <f>G46/G36</f>
        <v/>
      </c>
      <c r="H48" s="91">
        <f>H46/H36</f>
        <v/>
      </c>
      <c r="I48" s="91">
        <f>I46/I36</f>
        <v/>
      </c>
    </row>
    <row r="49">
      <c r="A49" s="68" t="inlineStr">
        <is>
          <t>Simple payback of total capital at yr-1 EBITDA (yrs)</t>
        </is>
      </c>
      <c r="B49" s="143">
        <f>IF(B46&gt;0,B36/B46,"never")</f>
        <v/>
      </c>
      <c r="C49" s="143">
        <f>IF(C46&gt;0,C36/C46,"never")</f>
        <v/>
      </c>
      <c r="D49" s="143">
        <f>IF(D46&gt;0,D36/D46,"never")</f>
        <v/>
      </c>
      <c r="E49" s="143">
        <f>IF(E46&gt;0,E36/E46,"never")</f>
        <v/>
      </c>
      <c r="F49" s="143">
        <f>IF(F46&gt;0,F36/F46,"never")</f>
        <v/>
      </c>
      <c r="G49" s="143">
        <f>IF(G46&gt;0,G36/G46,"never")</f>
        <v/>
      </c>
      <c r="H49" s="143">
        <f>IF(H46&gt;0,H36/H46,"never")</f>
        <v/>
      </c>
      <c r="I49" s="143">
        <f>IF(I46&gt;0,I36/I46,"never")</f>
        <v/>
      </c>
    </row>
    <row r="50">
      <c r="A50" s="68" t="inlineStr">
        <is>
          <t>Price change per year in cycle</t>
        </is>
      </c>
      <c r="B50" s="91">
        <f>$C$22</f>
        <v/>
      </c>
      <c r="C50" s="91">
        <f>$C$23</f>
        <v/>
      </c>
      <c r="D50" s="91">
        <f>$C$22</f>
        <v/>
      </c>
      <c r="E50" s="91">
        <f>$C$23</f>
        <v/>
      </c>
      <c r="F50" s="91">
        <f>$C$22</f>
        <v/>
      </c>
      <c r="G50" s="91">
        <f>$C$22</f>
        <v/>
      </c>
      <c r="H50" s="91">
        <f>$C$23</f>
        <v/>
      </c>
    </row>
    <row r="51">
      <c r="A51" s="68" t="inlineStr">
        <is>
          <t>25-yr IRR (unlevered, pre-tax, no terminal value)</t>
        </is>
      </c>
      <c r="B51" s="91">
        <f>IFERROR(IRR(C57:AB57),IF(SUM(C57:AB57)&lt;0,"never repays","no IRR"))</f>
        <v/>
      </c>
      <c r="C51" s="91">
        <f>IFERROR(IRR(C58:AB58),IF(SUM(C58:AB58)&lt;0,"never repays","no IRR"))</f>
        <v/>
      </c>
      <c r="D51" s="91">
        <f>IFERROR(IRR(C59:AB59),IF(SUM(C59:AB59)&lt;0,"never repays","no IRR"))</f>
        <v/>
      </c>
      <c r="E51" s="91">
        <f>IFERROR(IRR(C60:AB60),IF(SUM(C60:AB60)&lt;0,"never repays","no IRR"))</f>
        <v/>
      </c>
      <c r="F51" s="91">
        <f>IFERROR(IRR(C61:AB61),IF(SUM(C61:AB61)&lt;0,"never repays","no IRR"))</f>
        <v/>
      </c>
      <c r="G51" s="91">
        <f>IFERROR(IRR(C62:AB62),IF(SUM(C62:AB62)&lt;0,"never repays","no IRR"))</f>
        <v/>
      </c>
      <c r="H51" s="91">
        <f>IFERROR(IRR(C63:AB63),IF(SUM(C63:AB63)&lt;0,"never repays","no IRR"))</f>
        <v/>
      </c>
      <c r="I51" s="91">
        <f>IFERROR(IRR(C64:AB64),IF(SUM(C64:AB64)&lt;0,"never repays","no IRR"))</f>
        <v/>
      </c>
    </row>
    <row r="52">
      <c r="A52" s="68" t="inlineStr">
        <is>
          <t>25-yr net cash, undiscounted, A$</t>
        </is>
      </c>
      <c r="B52" s="90">
        <f>SUM(C57:AB57)</f>
        <v/>
      </c>
      <c r="C52" s="90">
        <f>SUM(C58:AB58)</f>
        <v/>
      </c>
      <c r="D52" s="90">
        <f>SUM(C59:AB59)</f>
        <v/>
      </c>
      <c r="E52" s="90">
        <f>SUM(C60:AB60)</f>
        <v/>
      </c>
      <c r="F52" s="90">
        <f>SUM(C61:AB61)</f>
        <v/>
      </c>
      <c r="G52" s="90">
        <f>SUM(C62:AB62)</f>
        <v/>
      </c>
      <c r="H52" s="90">
        <f>SUM(C63:AB63)</f>
        <v/>
      </c>
      <c r="I52" s="90">
        <f>SUM(C64:AB64)</f>
        <v/>
      </c>
    </row>
    <row r="53"/>
    <row r="54"/>
    <row r="55">
      <c r="A55" s="136" t="inlineStr">
        <is>
          <t>25-YEAR CASH FLOWS (year 0 in column C). GPU fleet replaced every life years at the same capex; price resets to year-1 level at each refresh, then changes per year. No terminal value, tax or financing.</t>
        </is>
      </c>
      <c r="B55" s="137" t="n"/>
      <c r="C55" s="137" t="n"/>
      <c r="D55" s="137" t="n"/>
      <c r="E55" s="137" t="n"/>
      <c r="F55" s="137" t="n"/>
    </row>
    <row r="56">
      <c r="A56" s="68" t="inlineStr">
        <is>
          <t>Year</t>
        </is>
      </c>
      <c r="C56" s="68" t="n">
        <v>0</v>
      </c>
      <c r="D56" s="68" t="n">
        <v>1</v>
      </c>
      <c r="E56" s="68" t="n">
        <v>2</v>
      </c>
      <c r="F56" s="68" t="n">
        <v>3</v>
      </c>
      <c r="G56" s="68" t="n">
        <v>4</v>
      </c>
      <c r="H56" s="68" t="n">
        <v>5</v>
      </c>
      <c r="I56" s="68" t="n">
        <v>6</v>
      </c>
      <c r="J56" s="68" t="n">
        <v>7</v>
      </c>
      <c r="K56" s="68" t="n">
        <v>8</v>
      </c>
      <c r="L56" s="68" t="n">
        <v>9</v>
      </c>
      <c r="M56" s="68" t="n">
        <v>10</v>
      </c>
      <c r="N56" s="68" t="n">
        <v>11</v>
      </c>
      <c r="O56" s="68" t="n">
        <v>12</v>
      </c>
      <c r="P56" s="68" t="n">
        <v>13</v>
      </c>
      <c r="Q56" s="68" t="n">
        <v>14</v>
      </c>
      <c r="R56" s="68" t="n">
        <v>15</v>
      </c>
      <c r="S56" s="68" t="n">
        <v>16</v>
      </c>
      <c r="T56" s="68" t="n">
        <v>17</v>
      </c>
      <c r="U56" s="68" t="n">
        <v>18</v>
      </c>
      <c r="V56" s="68" t="n">
        <v>19</v>
      </c>
      <c r="W56" s="68" t="n">
        <v>20</v>
      </c>
      <c r="X56" s="68" t="n">
        <v>21</v>
      </c>
      <c r="Y56" s="68" t="n">
        <v>22</v>
      </c>
      <c r="Z56" s="68" t="n">
        <v>23</v>
      </c>
      <c r="AA56" s="68" t="n">
        <v>24</v>
      </c>
      <c r="AB56" s="68" t="n">
        <v>25</v>
      </c>
    </row>
    <row r="57">
      <c r="A57" s="68" t="inlineStr">
        <is>
          <t>Cash flow: AU, prices decay</t>
        </is>
      </c>
      <c r="C57" s="90">
        <f>-B$36</f>
        <v/>
      </c>
      <c r="D57" s="90">
        <f>IF(D$56&lt;=Rates!$D$71,(B$40*(1+B$50)^MOD(D$56-1,$C$21)-B$42-B$43)*D$65-B$41-B$44-B$45-IF(AND(MOD(D$56,$C$21)=0,D$56&lt;Rates!$D$71),B$34*D$65,0),0)</f>
        <v/>
      </c>
      <c r="E57" s="90">
        <f>IF(E$56&lt;=Rates!$D$71,(B$40*(1+B$50)^MOD(E$56-1,$C$21)-B$42-B$43)*E$65-B$41-B$44-B$45-IF(AND(MOD(E$56,$C$21)=0,E$56&lt;Rates!$D$71),B$34*E$65,0),0)</f>
        <v/>
      </c>
      <c r="F57" s="90">
        <f>IF(F$56&lt;=Rates!$D$71,(B$40*(1+B$50)^MOD(F$56-1,$C$21)-B$42-B$43)*F$65-B$41-B$44-B$45-IF(AND(MOD(F$56,$C$21)=0,F$56&lt;Rates!$D$71),B$34*F$65,0),0)</f>
        <v/>
      </c>
      <c r="G57" s="90">
        <f>IF(G$56&lt;=Rates!$D$71,(B$40*(1+B$50)^MOD(G$56-1,$C$21)-B$42-B$43)*G$65-B$41-B$44-B$45-IF(AND(MOD(G$56,$C$21)=0,G$56&lt;Rates!$D$71),B$34*G$65,0),0)</f>
        <v/>
      </c>
      <c r="H57" s="90">
        <f>IF(H$56&lt;=Rates!$D$71,(B$40*(1+B$50)^MOD(H$56-1,$C$21)-B$42-B$43)*H$65-B$41-B$44-B$45-IF(AND(MOD(H$56,$C$21)=0,H$56&lt;Rates!$D$71),B$34*H$65,0),0)</f>
        <v/>
      </c>
      <c r="I57" s="90">
        <f>IF(I$56&lt;=Rates!$D$71,(B$40*(1+B$50)^MOD(I$56-1,$C$21)-B$42-B$43)*I$65-B$41-B$44-B$45-IF(AND(MOD(I$56,$C$21)=0,I$56&lt;Rates!$D$71),B$34*I$65,0),0)</f>
        <v/>
      </c>
      <c r="J57" s="90">
        <f>IF(J$56&lt;=Rates!$D$71,(B$40*(1+B$50)^MOD(J$56-1,$C$21)-B$42-B$43)*J$65-B$41-B$44-B$45-IF(AND(MOD(J$56,$C$21)=0,J$56&lt;Rates!$D$71),B$34*J$65,0),0)</f>
        <v/>
      </c>
      <c r="K57" s="90">
        <f>IF(K$56&lt;=Rates!$D$71,(B$40*(1+B$50)^MOD(K$56-1,$C$21)-B$42-B$43)*K$65-B$41-B$44-B$45-IF(AND(MOD(K$56,$C$21)=0,K$56&lt;Rates!$D$71),B$34*K$65,0),0)</f>
        <v/>
      </c>
      <c r="L57" s="90">
        <f>IF(L$56&lt;=Rates!$D$71,(B$40*(1+B$50)^MOD(L$56-1,$C$21)-B$42-B$43)*L$65-B$41-B$44-B$45-IF(AND(MOD(L$56,$C$21)=0,L$56&lt;Rates!$D$71),B$34*L$65,0),0)</f>
        <v/>
      </c>
      <c r="M57" s="90">
        <f>IF(M$56&lt;=Rates!$D$71,(B$40*(1+B$50)^MOD(M$56-1,$C$21)-B$42-B$43)*M$65-B$41-B$44-B$45-IF(AND(MOD(M$56,$C$21)=0,M$56&lt;Rates!$D$71),B$34*M$65,0),0)</f>
        <v/>
      </c>
      <c r="N57" s="90">
        <f>IF(N$56&lt;=Rates!$D$71,(B$40*(1+B$50)^MOD(N$56-1,$C$21)-B$42-B$43)*N$65-B$41-B$44-B$45-IF(AND(MOD(N$56,$C$21)=0,N$56&lt;Rates!$D$71),B$34*N$65,0),0)</f>
        <v/>
      </c>
      <c r="O57" s="90">
        <f>IF(O$56&lt;=Rates!$D$71,(B$40*(1+B$50)^MOD(O$56-1,$C$21)-B$42-B$43)*O$65-B$41-B$44-B$45-IF(AND(MOD(O$56,$C$21)=0,O$56&lt;Rates!$D$71),B$34*O$65,0),0)</f>
        <v/>
      </c>
      <c r="P57" s="90">
        <f>IF(P$56&lt;=Rates!$D$71,(B$40*(1+B$50)^MOD(P$56-1,$C$21)-B$42-B$43)*P$65-B$41-B$44-B$45-IF(AND(MOD(P$56,$C$21)=0,P$56&lt;Rates!$D$71),B$34*P$65,0),0)</f>
        <v/>
      </c>
      <c r="Q57" s="90">
        <f>IF(Q$56&lt;=Rates!$D$71,(B$40*(1+B$50)^MOD(Q$56-1,$C$21)-B$42-B$43)*Q$65-B$41-B$44-B$45-IF(AND(MOD(Q$56,$C$21)=0,Q$56&lt;Rates!$D$71),B$34*Q$65,0),0)</f>
        <v/>
      </c>
      <c r="R57" s="90">
        <f>IF(R$56&lt;=Rates!$D$71,(B$40*(1+B$50)^MOD(R$56-1,$C$21)-B$42-B$43)*R$65-B$41-B$44-B$45-IF(AND(MOD(R$56,$C$21)=0,R$56&lt;Rates!$D$71),B$34*R$65,0),0)</f>
        <v/>
      </c>
      <c r="S57" s="90">
        <f>IF(S$56&lt;=Rates!$D$71,(B$40*(1+B$50)^MOD(S$56-1,$C$21)-B$42-B$43)*S$65-B$41-B$44-B$45-IF(AND(MOD(S$56,$C$21)=0,S$56&lt;Rates!$D$71),B$34*S$65,0),0)</f>
        <v/>
      </c>
      <c r="T57" s="90">
        <f>IF(T$56&lt;=Rates!$D$71,(B$40*(1+B$50)^MOD(T$56-1,$C$21)-B$42-B$43)*T$65-B$41-B$44-B$45-IF(AND(MOD(T$56,$C$21)=0,T$56&lt;Rates!$D$71),B$34*T$65,0),0)</f>
        <v/>
      </c>
      <c r="U57" s="90">
        <f>IF(U$56&lt;=Rates!$D$71,(B$40*(1+B$50)^MOD(U$56-1,$C$21)-B$42-B$43)*U$65-B$41-B$44-B$45-IF(AND(MOD(U$56,$C$21)=0,U$56&lt;Rates!$D$71),B$34*U$65,0),0)</f>
        <v/>
      </c>
      <c r="V57" s="90">
        <f>IF(V$56&lt;=Rates!$D$71,(B$40*(1+B$50)^MOD(V$56-1,$C$21)-B$42-B$43)*V$65-B$41-B$44-B$45-IF(AND(MOD(V$56,$C$21)=0,V$56&lt;Rates!$D$71),B$34*V$65,0),0)</f>
        <v/>
      </c>
      <c r="W57" s="90">
        <f>IF(W$56&lt;=Rates!$D$71,(B$40*(1+B$50)^MOD(W$56-1,$C$21)-B$42-B$43)*W$65-B$41-B$44-B$45-IF(AND(MOD(W$56,$C$21)=0,W$56&lt;Rates!$D$71),B$34*W$65,0),0)</f>
        <v/>
      </c>
      <c r="X57" s="90">
        <f>IF(X$56&lt;=Rates!$D$71,(B$40*(1+B$50)^MOD(X$56-1,$C$21)-B$42-B$43)*X$65-B$41-B$44-B$45-IF(AND(MOD(X$56,$C$21)=0,X$56&lt;Rates!$D$71),B$34*X$65,0),0)</f>
        <v/>
      </c>
      <c r="Y57" s="90">
        <f>IF(Y$56&lt;=Rates!$D$71,(B$40*(1+B$50)^MOD(Y$56-1,$C$21)-B$42-B$43)*Y$65-B$41-B$44-B$45-IF(AND(MOD(Y$56,$C$21)=0,Y$56&lt;Rates!$D$71),B$34*Y$65,0),0)</f>
        <v/>
      </c>
      <c r="Z57" s="90">
        <f>IF(Z$56&lt;=Rates!$D$71,(B$40*(1+B$50)^MOD(Z$56-1,$C$21)-B$42-B$43)*Z$65-B$41-B$44-B$45-IF(AND(MOD(Z$56,$C$21)=0,Z$56&lt;Rates!$D$71),B$34*Z$65,0),0)</f>
        <v/>
      </c>
      <c r="AA57" s="90">
        <f>IF(AA$56&lt;=Rates!$D$71,(B$40*(1+B$50)^MOD(AA$56-1,$C$21)-B$42-B$43)*AA$65-B$41-B$44-B$45-IF(AND(MOD(AA$56,$C$21)=0,AA$56&lt;Rates!$D$71),B$34*AA$65,0),0)</f>
        <v/>
      </c>
      <c r="AB57" s="90">
        <f>IF(AB$56&lt;=Rates!$D$71,(B$40*(1+B$50)^MOD(AB$56-1,$C$21)-B$42-B$43)*AB$65-B$41-B$44-B$45-IF(AND(MOD(AB$56,$C$21)=0,AB$56&lt;Rates!$D$71),B$34*AB$65,0),0)</f>
        <v/>
      </c>
    </row>
    <row r="58">
      <c r="A58" s="68" t="inlineStr">
        <is>
          <t>Cash flow: AU, flat prices</t>
        </is>
      </c>
      <c r="C58" s="90">
        <f>-C$36</f>
        <v/>
      </c>
      <c r="D58" s="90">
        <f>IF(D$56&lt;=Rates!$D$71,(C$40*(1+C$50)^MOD(D$56-1,$C$21)-C$42-C$43)*D$65-C$41-C$44-C$45-IF(AND(MOD(D$56,$C$21)=0,D$56&lt;Rates!$D$71),C$34*D$65,0),0)</f>
        <v/>
      </c>
      <c r="E58" s="90">
        <f>IF(E$56&lt;=Rates!$D$71,(C$40*(1+C$50)^MOD(E$56-1,$C$21)-C$42-C$43)*E$65-C$41-C$44-C$45-IF(AND(MOD(E$56,$C$21)=0,E$56&lt;Rates!$D$71),C$34*E$65,0),0)</f>
        <v/>
      </c>
      <c r="F58" s="90">
        <f>IF(F$56&lt;=Rates!$D$71,(C$40*(1+C$50)^MOD(F$56-1,$C$21)-C$42-C$43)*F$65-C$41-C$44-C$45-IF(AND(MOD(F$56,$C$21)=0,F$56&lt;Rates!$D$71),C$34*F$65,0),0)</f>
        <v/>
      </c>
      <c r="G58" s="90">
        <f>IF(G$56&lt;=Rates!$D$71,(C$40*(1+C$50)^MOD(G$56-1,$C$21)-C$42-C$43)*G$65-C$41-C$44-C$45-IF(AND(MOD(G$56,$C$21)=0,G$56&lt;Rates!$D$71),C$34*G$65,0),0)</f>
        <v/>
      </c>
      <c r="H58" s="90">
        <f>IF(H$56&lt;=Rates!$D$71,(C$40*(1+C$50)^MOD(H$56-1,$C$21)-C$42-C$43)*H$65-C$41-C$44-C$45-IF(AND(MOD(H$56,$C$21)=0,H$56&lt;Rates!$D$71),C$34*H$65,0),0)</f>
        <v/>
      </c>
      <c r="I58" s="90">
        <f>IF(I$56&lt;=Rates!$D$71,(C$40*(1+C$50)^MOD(I$56-1,$C$21)-C$42-C$43)*I$65-C$41-C$44-C$45-IF(AND(MOD(I$56,$C$21)=0,I$56&lt;Rates!$D$71),C$34*I$65,0),0)</f>
        <v/>
      </c>
      <c r="J58" s="90">
        <f>IF(J$56&lt;=Rates!$D$71,(C$40*(1+C$50)^MOD(J$56-1,$C$21)-C$42-C$43)*J$65-C$41-C$44-C$45-IF(AND(MOD(J$56,$C$21)=0,J$56&lt;Rates!$D$71),C$34*J$65,0),0)</f>
        <v/>
      </c>
      <c r="K58" s="90">
        <f>IF(K$56&lt;=Rates!$D$71,(C$40*(1+C$50)^MOD(K$56-1,$C$21)-C$42-C$43)*K$65-C$41-C$44-C$45-IF(AND(MOD(K$56,$C$21)=0,K$56&lt;Rates!$D$71),C$34*K$65,0),0)</f>
        <v/>
      </c>
      <c r="L58" s="90">
        <f>IF(L$56&lt;=Rates!$D$71,(C$40*(1+C$50)^MOD(L$56-1,$C$21)-C$42-C$43)*L$65-C$41-C$44-C$45-IF(AND(MOD(L$56,$C$21)=0,L$56&lt;Rates!$D$71),C$34*L$65,0),0)</f>
        <v/>
      </c>
      <c r="M58" s="90">
        <f>IF(M$56&lt;=Rates!$D$71,(C$40*(1+C$50)^MOD(M$56-1,$C$21)-C$42-C$43)*M$65-C$41-C$44-C$45-IF(AND(MOD(M$56,$C$21)=0,M$56&lt;Rates!$D$71),C$34*M$65,0),0)</f>
        <v/>
      </c>
      <c r="N58" s="90">
        <f>IF(N$56&lt;=Rates!$D$71,(C$40*(1+C$50)^MOD(N$56-1,$C$21)-C$42-C$43)*N$65-C$41-C$44-C$45-IF(AND(MOD(N$56,$C$21)=0,N$56&lt;Rates!$D$71),C$34*N$65,0),0)</f>
        <v/>
      </c>
      <c r="O58" s="90">
        <f>IF(O$56&lt;=Rates!$D$71,(C$40*(1+C$50)^MOD(O$56-1,$C$21)-C$42-C$43)*O$65-C$41-C$44-C$45-IF(AND(MOD(O$56,$C$21)=0,O$56&lt;Rates!$D$71),C$34*O$65,0),0)</f>
        <v/>
      </c>
      <c r="P58" s="90">
        <f>IF(P$56&lt;=Rates!$D$71,(C$40*(1+C$50)^MOD(P$56-1,$C$21)-C$42-C$43)*P$65-C$41-C$44-C$45-IF(AND(MOD(P$56,$C$21)=0,P$56&lt;Rates!$D$71),C$34*P$65,0),0)</f>
        <v/>
      </c>
      <c r="Q58" s="90">
        <f>IF(Q$56&lt;=Rates!$D$71,(C$40*(1+C$50)^MOD(Q$56-1,$C$21)-C$42-C$43)*Q$65-C$41-C$44-C$45-IF(AND(MOD(Q$56,$C$21)=0,Q$56&lt;Rates!$D$71),C$34*Q$65,0),0)</f>
        <v/>
      </c>
      <c r="R58" s="90">
        <f>IF(R$56&lt;=Rates!$D$71,(C$40*(1+C$50)^MOD(R$56-1,$C$21)-C$42-C$43)*R$65-C$41-C$44-C$45-IF(AND(MOD(R$56,$C$21)=0,R$56&lt;Rates!$D$71),C$34*R$65,0),0)</f>
        <v/>
      </c>
      <c r="S58" s="90">
        <f>IF(S$56&lt;=Rates!$D$71,(C$40*(1+C$50)^MOD(S$56-1,$C$21)-C$42-C$43)*S$65-C$41-C$44-C$45-IF(AND(MOD(S$56,$C$21)=0,S$56&lt;Rates!$D$71),C$34*S$65,0),0)</f>
        <v/>
      </c>
      <c r="T58" s="90">
        <f>IF(T$56&lt;=Rates!$D$71,(C$40*(1+C$50)^MOD(T$56-1,$C$21)-C$42-C$43)*T$65-C$41-C$44-C$45-IF(AND(MOD(T$56,$C$21)=0,T$56&lt;Rates!$D$71),C$34*T$65,0),0)</f>
        <v/>
      </c>
      <c r="U58" s="90">
        <f>IF(U$56&lt;=Rates!$D$71,(C$40*(1+C$50)^MOD(U$56-1,$C$21)-C$42-C$43)*U$65-C$41-C$44-C$45-IF(AND(MOD(U$56,$C$21)=0,U$56&lt;Rates!$D$71),C$34*U$65,0),0)</f>
        <v/>
      </c>
      <c r="V58" s="90">
        <f>IF(V$56&lt;=Rates!$D$71,(C$40*(1+C$50)^MOD(V$56-1,$C$21)-C$42-C$43)*V$65-C$41-C$44-C$45-IF(AND(MOD(V$56,$C$21)=0,V$56&lt;Rates!$D$71),C$34*V$65,0),0)</f>
        <v/>
      </c>
      <c r="W58" s="90">
        <f>IF(W$56&lt;=Rates!$D$71,(C$40*(1+C$50)^MOD(W$56-1,$C$21)-C$42-C$43)*W$65-C$41-C$44-C$45-IF(AND(MOD(W$56,$C$21)=0,W$56&lt;Rates!$D$71),C$34*W$65,0),0)</f>
        <v/>
      </c>
      <c r="X58" s="90">
        <f>IF(X$56&lt;=Rates!$D$71,(C$40*(1+C$50)^MOD(X$56-1,$C$21)-C$42-C$43)*X$65-C$41-C$44-C$45-IF(AND(MOD(X$56,$C$21)=0,X$56&lt;Rates!$D$71),C$34*X$65,0),0)</f>
        <v/>
      </c>
      <c r="Y58" s="90">
        <f>IF(Y$56&lt;=Rates!$D$71,(C$40*(1+C$50)^MOD(Y$56-1,$C$21)-C$42-C$43)*Y$65-C$41-C$44-C$45-IF(AND(MOD(Y$56,$C$21)=0,Y$56&lt;Rates!$D$71),C$34*Y$65,0),0)</f>
        <v/>
      </c>
      <c r="Z58" s="90">
        <f>IF(Z$56&lt;=Rates!$D$71,(C$40*(1+C$50)^MOD(Z$56-1,$C$21)-C$42-C$43)*Z$65-C$41-C$44-C$45-IF(AND(MOD(Z$56,$C$21)=0,Z$56&lt;Rates!$D$71),C$34*Z$65,0),0)</f>
        <v/>
      </c>
      <c r="AA58" s="90">
        <f>IF(AA$56&lt;=Rates!$D$71,(C$40*(1+C$50)^MOD(AA$56-1,$C$21)-C$42-C$43)*AA$65-C$41-C$44-C$45-IF(AND(MOD(AA$56,$C$21)=0,AA$56&lt;Rates!$D$71),C$34*AA$65,0),0)</f>
        <v/>
      </c>
      <c r="AB58" s="90">
        <f>IF(AB$56&lt;=Rates!$D$71,(C$40*(1+C$50)^MOD(AB$56-1,$C$21)-C$42-C$43)*AB$65-C$41-C$44-C$45-IF(AND(MOD(AB$56,$C$21)=0,AB$56&lt;Rates!$D$71),C$34*AB$65,0),0)</f>
        <v/>
      </c>
    </row>
    <row r="59">
      <c r="A59" s="68" t="inlineStr">
        <is>
          <t>Cash flow: NZ, prices decay</t>
        </is>
      </c>
      <c r="C59" s="90">
        <f>-D$36</f>
        <v/>
      </c>
      <c r="D59" s="90">
        <f>IF(D$56&lt;=Rates!$D$71,(D$40*(1+D$50)^MOD(D$56-1,$C$21)-D$42-D$43)-D$41-D$44-D$45-IF(AND(MOD(D$56,$C$21)=0,D$56&lt;Rates!$D$71),D$34,0),0)</f>
        <v/>
      </c>
      <c r="E59" s="90">
        <f>IF(E$56&lt;=Rates!$D$71,(D$40*(1+D$50)^MOD(E$56-1,$C$21)-D$42-D$43)-D$41-D$44-D$45-IF(AND(MOD(E$56,$C$21)=0,E$56&lt;Rates!$D$71),D$34,0),0)</f>
        <v/>
      </c>
      <c r="F59" s="90">
        <f>IF(F$56&lt;=Rates!$D$71,(D$40*(1+D$50)^MOD(F$56-1,$C$21)-D$42-D$43)-D$41-D$44-D$45-IF(AND(MOD(F$56,$C$21)=0,F$56&lt;Rates!$D$71),D$34,0),0)</f>
        <v/>
      </c>
      <c r="G59" s="90">
        <f>IF(G$56&lt;=Rates!$D$71,(D$40*(1+D$50)^MOD(G$56-1,$C$21)-D$42-D$43)-D$41-D$44-D$45-IF(AND(MOD(G$56,$C$21)=0,G$56&lt;Rates!$D$71),D$34,0),0)</f>
        <v/>
      </c>
      <c r="H59" s="90">
        <f>IF(H$56&lt;=Rates!$D$71,(D$40*(1+D$50)^MOD(H$56-1,$C$21)-D$42-D$43)-D$41-D$44-D$45-IF(AND(MOD(H$56,$C$21)=0,H$56&lt;Rates!$D$71),D$34,0),0)</f>
        <v/>
      </c>
      <c r="I59" s="90">
        <f>IF(I$56&lt;=Rates!$D$71,(D$40*(1+D$50)^MOD(I$56-1,$C$21)-D$42-D$43)-D$41-D$44-D$45-IF(AND(MOD(I$56,$C$21)=0,I$56&lt;Rates!$D$71),D$34,0),0)</f>
        <v/>
      </c>
      <c r="J59" s="90">
        <f>IF(J$56&lt;=Rates!$D$71,(D$40*(1+D$50)^MOD(J$56-1,$C$21)-D$42-D$43)-D$41-D$44-D$45-IF(AND(MOD(J$56,$C$21)=0,J$56&lt;Rates!$D$71),D$34,0),0)</f>
        <v/>
      </c>
      <c r="K59" s="90">
        <f>IF(K$56&lt;=Rates!$D$71,(D$40*(1+D$50)^MOD(K$56-1,$C$21)-D$42-D$43)-D$41-D$44-D$45-IF(AND(MOD(K$56,$C$21)=0,K$56&lt;Rates!$D$71),D$34,0),0)</f>
        <v/>
      </c>
      <c r="L59" s="90">
        <f>IF(L$56&lt;=Rates!$D$71,(D$40*(1+D$50)^MOD(L$56-1,$C$21)-D$42-D$43)-D$41-D$44-D$45-IF(AND(MOD(L$56,$C$21)=0,L$56&lt;Rates!$D$71),D$34,0),0)</f>
        <v/>
      </c>
      <c r="M59" s="90">
        <f>IF(M$56&lt;=Rates!$D$71,(D$40*(1+D$50)^MOD(M$56-1,$C$21)-D$42-D$43)-D$41-D$44-D$45-IF(AND(MOD(M$56,$C$21)=0,M$56&lt;Rates!$D$71),D$34,0),0)</f>
        <v/>
      </c>
      <c r="N59" s="90">
        <f>IF(N$56&lt;=Rates!$D$71,(D$40*(1+D$50)^MOD(N$56-1,$C$21)-D$42-D$43)-D$41-D$44-D$45-IF(AND(MOD(N$56,$C$21)=0,N$56&lt;Rates!$D$71),D$34,0),0)</f>
        <v/>
      </c>
      <c r="O59" s="90">
        <f>IF(O$56&lt;=Rates!$D$71,(D$40*(1+D$50)^MOD(O$56-1,$C$21)-D$42-D$43)-D$41-D$44-D$45-IF(AND(MOD(O$56,$C$21)=0,O$56&lt;Rates!$D$71),D$34,0),0)</f>
        <v/>
      </c>
      <c r="P59" s="90">
        <f>IF(P$56&lt;=Rates!$D$71,(D$40*(1+D$50)^MOD(P$56-1,$C$21)-D$42-D$43)-D$41-D$44-D$45-IF(AND(MOD(P$56,$C$21)=0,P$56&lt;Rates!$D$71),D$34,0),0)</f>
        <v/>
      </c>
      <c r="Q59" s="90">
        <f>IF(Q$56&lt;=Rates!$D$71,(D$40*(1+D$50)^MOD(Q$56-1,$C$21)-D$42-D$43)-D$41-D$44-D$45-IF(AND(MOD(Q$56,$C$21)=0,Q$56&lt;Rates!$D$71),D$34,0),0)</f>
        <v/>
      </c>
      <c r="R59" s="90">
        <f>IF(R$56&lt;=Rates!$D$71,(D$40*(1+D$50)^MOD(R$56-1,$C$21)-D$42-D$43)-D$41-D$44-D$45-IF(AND(MOD(R$56,$C$21)=0,R$56&lt;Rates!$D$71),D$34,0),0)</f>
        <v/>
      </c>
      <c r="S59" s="90">
        <f>IF(S$56&lt;=Rates!$D$71,(D$40*(1+D$50)^MOD(S$56-1,$C$21)-D$42-D$43)-D$41-D$44-D$45-IF(AND(MOD(S$56,$C$21)=0,S$56&lt;Rates!$D$71),D$34,0),0)</f>
        <v/>
      </c>
      <c r="T59" s="90">
        <f>IF(T$56&lt;=Rates!$D$71,(D$40*(1+D$50)^MOD(T$56-1,$C$21)-D$42-D$43)-D$41-D$44-D$45-IF(AND(MOD(T$56,$C$21)=0,T$56&lt;Rates!$D$71),D$34,0),0)</f>
        <v/>
      </c>
      <c r="U59" s="90">
        <f>IF(U$56&lt;=Rates!$D$71,(D$40*(1+D$50)^MOD(U$56-1,$C$21)-D$42-D$43)-D$41-D$44-D$45-IF(AND(MOD(U$56,$C$21)=0,U$56&lt;Rates!$D$71),D$34,0),0)</f>
        <v/>
      </c>
      <c r="V59" s="90">
        <f>IF(V$56&lt;=Rates!$D$71,(D$40*(1+D$50)^MOD(V$56-1,$C$21)-D$42-D$43)-D$41-D$44-D$45-IF(AND(MOD(V$56,$C$21)=0,V$56&lt;Rates!$D$71),D$34,0),0)</f>
        <v/>
      </c>
      <c r="W59" s="90">
        <f>IF(W$56&lt;=Rates!$D$71,(D$40*(1+D$50)^MOD(W$56-1,$C$21)-D$42-D$43)-D$41-D$44-D$45-IF(AND(MOD(W$56,$C$21)=0,W$56&lt;Rates!$D$71),D$34,0),0)</f>
        <v/>
      </c>
      <c r="X59" s="90">
        <f>IF(X$56&lt;=Rates!$D$71,(D$40*(1+D$50)^MOD(X$56-1,$C$21)-D$42-D$43)-D$41-D$44-D$45-IF(AND(MOD(X$56,$C$21)=0,X$56&lt;Rates!$D$71),D$34,0),0)</f>
        <v/>
      </c>
      <c r="Y59" s="90">
        <f>IF(Y$56&lt;=Rates!$D$71,(D$40*(1+D$50)^MOD(Y$56-1,$C$21)-D$42-D$43)-D$41-D$44-D$45-IF(AND(MOD(Y$56,$C$21)=0,Y$56&lt;Rates!$D$71),D$34,0),0)</f>
        <v/>
      </c>
      <c r="Z59" s="90">
        <f>IF(Z$56&lt;=Rates!$D$71,(D$40*(1+D$50)^MOD(Z$56-1,$C$21)-D$42-D$43)-D$41-D$44-D$45-IF(AND(MOD(Z$56,$C$21)=0,Z$56&lt;Rates!$D$71),D$34,0),0)</f>
        <v/>
      </c>
      <c r="AA59" s="90">
        <f>IF(AA$56&lt;=Rates!$D$71,(D$40*(1+D$50)^MOD(AA$56-1,$C$21)-D$42-D$43)-D$41-D$44-D$45-IF(AND(MOD(AA$56,$C$21)=0,AA$56&lt;Rates!$D$71),D$34,0),0)</f>
        <v/>
      </c>
      <c r="AB59" s="90">
        <f>IF(AB$56&lt;=Rates!$D$71,(D$40*(1+D$50)^MOD(AB$56-1,$C$21)-D$42-D$43)-D$41-D$44-D$45-IF(AND(MOD(AB$56,$C$21)=0,AB$56&lt;Rates!$D$71),D$34,0),0)</f>
        <v/>
      </c>
    </row>
    <row r="60">
      <c r="A60" s="68" t="inlineStr">
        <is>
          <t>Cash flow: NZ, flat prices</t>
        </is>
      </c>
      <c r="C60" s="90">
        <f>-E$36</f>
        <v/>
      </c>
      <c r="D60" s="90">
        <f>IF(D$56&lt;=Rates!$D$71,(E$40*(1+E$50)^MOD(D$56-1,$C$21)-E$42-E$43)-E$41-E$44-E$45-IF(AND(MOD(D$56,$C$21)=0,D$56&lt;Rates!$D$71),E$34,0),0)</f>
        <v/>
      </c>
      <c r="E60" s="90">
        <f>IF(E$56&lt;=Rates!$D$71,(E$40*(1+E$50)^MOD(E$56-1,$C$21)-E$42-E$43)-E$41-E$44-E$45-IF(AND(MOD(E$56,$C$21)=0,E$56&lt;Rates!$D$71),E$34,0),0)</f>
        <v/>
      </c>
      <c r="F60" s="90">
        <f>IF(F$56&lt;=Rates!$D$71,(E$40*(1+E$50)^MOD(F$56-1,$C$21)-E$42-E$43)-E$41-E$44-E$45-IF(AND(MOD(F$56,$C$21)=0,F$56&lt;Rates!$D$71),E$34,0),0)</f>
        <v/>
      </c>
      <c r="G60" s="90">
        <f>IF(G$56&lt;=Rates!$D$71,(E$40*(1+E$50)^MOD(G$56-1,$C$21)-E$42-E$43)-E$41-E$44-E$45-IF(AND(MOD(G$56,$C$21)=0,G$56&lt;Rates!$D$71),E$34,0),0)</f>
        <v/>
      </c>
      <c r="H60" s="90">
        <f>IF(H$56&lt;=Rates!$D$71,(E$40*(1+E$50)^MOD(H$56-1,$C$21)-E$42-E$43)-E$41-E$44-E$45-IF(AND(MOD(H$56,$C$21)=0,H$56&lt;Rates!$D$71),E$34,0),0)</f>
        <v/>
      </c>
      <c r="I60" s="90">
        <f>IF(I$56&lt;=Rates!$D$71,(E$40*(1+E$50)^MOD(I$56-1,$C$21)-E$42-E$43)-E$41-E$44-E$45-IF(AND(MOD(I$56,$C$21)=0,I$56&lt;Rates!$D$71),E$34,0),0)</f>
        <v/>
      </c>
      <c r="J60" s="90">
        <f>IF(J$56&lt;=Rates!$D$71,(E$40*(1+E$50)^MOD(J$56-1,$C$21)-E$42-E$43)-E$41-E$44-E$45-IF(AND(MOD(J$56,$C$21)=0,J$56&lt;Rates!$D$71),E$34,0),0)</f>
        <v/>
      </c>
      <c r="K60" s="90">
        <f>IF(K$56&lt;=Rates!$D$71,(E$40*(1+E$50)^MOD(K$56-1,$C$21)-E$42-E$43)-E$41-E$44-E$45-IF(AND(MOD(K$56,$C$21)=0,K$56&lt;Rates!$D$71),E$34,0),0)</f>
        <v/>
      </c>
      <c r="L60" s="90">
        <f>IF(L$56&lt;=Rates!$D$71,(E$40*(1+E$50)^MOD(L$56-1,$C$21)-E$42-E$43)-E$41-E$44-E$45-IF(AND(MOD(L$56,$C$21)=0,L$56&lt;Rates!$D$71),E$34,0),0)</f>
        <v/>
      </c>
      <c r="M60" s="90">
        <f>IF(M$56&lt;=Rates!$D$71,(E$40*(1+E$50)^MOD(M$56-1,$C$21)-E$42-E$43)-E$41-E$44-E$45-IF(AND(MOD(M$56,$C$21)=0,M$56&lt;Rates!$D$71),E$34,0),0)</f>
        <v/>
      </c>
      <c r="N60" s="90">
        <f>IF(N$56&lt;=Rates!$D$71,(E$40*(1+E$50)^MOD(N$56-1,$C$21)-E$42-E$43)-E$41-E$44-E$45-IF(AND(MOD(N$56,$C$21)=0,N$56&lt;Rates!$D$71),E$34,0),0)</f>
        <v/>
      </c>
      <c r="O60" s="90">
        <f>IF(O$56&lt;=Rates!$D$71,(E$40*(1+E$50)^MOD(O$56-1,$C$21)-E$42-E$43)-E$41-E$44-E$45-IF(AND(MOD(O$56,$C$21)=0,O$56&lt;Rates!$D$71),E$34,0),0)</f>
        <v/>
      </c>
      <c r="P60" s="90">
        <f>IF(P$56&lt;=Rates!$D$71,(E$40*(1+E$50)^MOD(P$56-1,$C$21)-E$42-E$43)-E$41-E$44-E$45-IF(AND(MOD(P$56,$C$21)=0,P$56&lt;Rates!$D$71),E$34,0),0)</f>
        <v/>
      </c>
      <c r="Q60" s="90">
        <f>IF(Q$56&lt;=Rates!$D$71,(E$40*(1+E$50)^MOD(Q$56-1,$C$21)-E$42-E$43)-E$41-E$44-E$45-IF(AND(MOD(Q$56,$C$21)=0,Q$56&lt;Rates!$D$71),E$34,0),0)</f>
        <v/>
      </c>
      <c r="R60" s="90">
        <f>IF(R$56&lt;=Rates!$D$71,(E$40*(1+E$50)^MOD(R$56-1,$C$21)-E$42-E$43)-E$41-E$44-E$45-IF(AND(MOD(R$56,$C$21)=0,R$56&lt;Rates!$D$71),E$34,0),0)</f>
        <v/>
      </c>
      <c r="S60" s="90">
        <f>IF(S$56&lt;=Rates!$D$71,(E$40*(1+E$50)^MOD(S$56-1,$C$21)-E$42-E$43)-E$41-E$44-E$45-IF(AND(MOD(S$56,$C$21)=0,S$56&lt;Rates!$D$71),E$34,0),0)</f>
        <v/>
      </c>
      <c r="T60" s="90">
        <f>IF(T$56&lt;=Rates!$D$71,(E$40*(1+E$50)^MOD(T$56-1,$C$21)-E$42-E$43)-E$41-E$44-E$45-IF(AND(MOD(T$56,$C$21)=0,T$56&lt;Rates!$D$71),E$34,0),0)</f>
        <v/>
      </c>
      <c r="U60" s="90">
        <f>IF(U$56&lt;=Rates!$D$71,(E$40*(1+E$50)^MOD(U$56-1,$C$21)-E$42-E$43)-E$41-E$44-E$45-IF(AND(MOD(U$56,$C$21)=0,U$56&lt;Rates!$D$71),E$34,0),0)</f>
        <v/>
      </c>
      <c r="V60" s="90">
        <f>IF(V$56&lt;=Rates!$D$71,(E$40*(1+E$50)^MOD(V$56-1,$C$21)-E$42-E$43)-E$41-E$44-E$45-IF(AND(MOD(V$56,$C$21)=0,V$56&lt;Rates!$D$71),E$34,0),0)</f>
        <v/>
      </c>
      <c r="W60" s="90">
        <f>IF(W$56&lt;=Rates!$D$71,(E$40*(1+E$50)^MOD(W$56-1,$C$21)-E$42-E$43)-E$41-E$44-E$45-IF(AND(MOD(W$56,$C$21)=0,W$56&lt;Rates!$D$71),E$34,0),0)</f>
        <v/>
      </c>
      <c r="X60" s="90">
        <f>IF(X$56&lt;=Rates!$D$71,(E$40*(1+E$50)^MOD(X$56-1,$C$21)-E$42-E$43)-E$41-E$44-E$45-IF(AND(MOD(X$56,$C$21)=0,X$56&lt;Rates!$D$71),E$34,0),0)</f>
        <v/>
      </c>
      <c r="Y60" s="90">
        <f>IF(Y$56&lt;=Rates!$D$71,(E$40*(1+E$50)^MOD(Y$56-1,$C$21)-E$42-E$43)-E$41-E$44-E$45-IF(AND(MOD(Y$56,$C$21)=0,Y$56&lt;Rates!$D$71),E$34,0),0)</f>
        <v/>
      </c>
      <c r="Z60" s="90">
        <f>IF(Z$56&lt;=Rates!$D$71,(E$40*(1+E$50)^MOD(Z$56-1,$C$21)-E$42-E$43)-E$41-E$44-E$45-IF(AND(MOD(Z$56,$C$21)=0,Z$56&lt;Rates!$D$71),E$34,0),0)</f>
        <v/>
      </c>
      <c r="AA60" s="90">
        <f>IF(AA$56&lt;=Rates!$D$71,(E$40*(1+E$50)^MOD(AA$56-1,$C$21)-E$42-E$43)-E$41-E$44-E$45-IF(AND(MOD(AA$56,$C$21)=0,AA$56&lt;Rates!$D$71),E$34,0),0)</f>
        <v/>
      </c>
      <c r="AB60" s="90">
        <f>IF(AB$56&lt;=Rates!$D$71,(E$40*(1+E$50)^MOD(AB$56-1,$C$21)-E$42-E$43)-E$41-E$44-E$45-IF(AND(MOD(AB$56,$C$21)=0,AB$56&lt;Rates!$D$71),E$34,0),0)</f>
        <v/>
      </c>
    </row>
    <row r="61">
      <c r="A61" s="68" t="inlineStr">
        <is>
          <t>Cash flow: AU downside: 47% util, 20% remote discount, decay</t>
        </is>
      </c>
      <c r="C61" s="90">
        <f>-F$36</f>
        <v/>
      </c>
      <c r="D61" s="90">
        <f>IF(D$56&lt;=Rates!$D$71,(F$40*(1+F$50)^MOD(D$56-1,$C$21)-F$42-F$43)*D$65-F$41-F$44-F$45-IF(AND(MOD(D$56,$C$21)=0,D$56&lt;Rates!$D$71),F$34*D$65,0),0)</f>
        <v/>
      </c>
      <c r="E61" s="90">
        <f>IF(E$56&lt;=Rates!$D$71,(F$40*(1+F$50)^MOD(E$56-1,$C$21)-F$42-F$43)*E$65-F$41-F$44-F$45-IF(AND(MOD(E$56,$C$21)=0,E$56&lt;Rates!$D$71),F$34*E$65,0),0)</f>
        <v/>
      </c>
      <c r="F61" s="90">
        <f>IF(F$56&lt;=Rates!$D$71,(F$40*(1+F$50)^MOD(F$56-1,$C$21)-F$42-F$43)*F$65-F$41-F$44-F$45-IF(AND(MOD(F$56,$C$21)=0,F$56&lt;Rates!$D$71),F$34*F$65,0),0)</f>
        <v/>
      </c>
      <c r="G61" s="90">
        <f>IF(G$56&lt;=Rates!$D$71,(F$40*(1+F$50)^MOD(G$56-1,$C$21)-F$42-F$43)*G$65-F$41-F$44-F$45-IF(AND(MOD(G$56,$C$21)=0,G$56&lt;Rates!$D$71),F$34*G$65,0),0)</f>
        <v/>
      </c>
      <c r="H61" s="90">
        <f>IF(H$56&lt;=Rates!$D$71,(F$40*(1+F$50)^MOD(H$56-1,$C$21)-F$42-F$43)*H$65-F$41-F$44-F$45-IF(AND(MOD(H$56,$C$21)=0,H$56&lt;Rates!$D$71),F$34*H$65,0),0)</f>
        <v/>
      </c>
      <c r="I61" s="90">
        <f>IF(I$56&lt;=Rates!$D$71,(F$40*(1+F$50)^MOD(I$56-1,$C$21)-F$42-F$43)*I$65-F$41-F$44-F$45-IF(AND(MOD(I$56,$C$21)=0,I$56&lt;Rates!$D$71),F$34*I$65,0),0)</f>
        <v/>
      </c>
      <c r="J61" s="90">
        <f>IF(J$56&lt;=Rates!$D$71,(F$40*(1+F$50)^MOD(J$56-1,$C$21)-F$42-F$43)*J$65-F$41-F$44-F$45-IF(AND(MOD(J$56,$C$21)=0,J$56&lt;Rates!$D$71),F$34*J$65,0),0)</f>
        <v/>
      </c>
      <c r="K61" s="90">
        <f>IF(K$56&lt;=Rates!$D$71,(F$40*(1+F$50)^MOD(K$56-1,$C$21)-F$42-F$43)*K$65-F$41-F$44-F$45-IF(AND(MOD(K$56,$C$21)=0,K$56&lt;Rates!$D$71),F$34*K$65,0),0)</f>
        <v/>
      </c>
      <c r="L61" s="90">
        <f>IF(L$56&lt;=Rates!$D$71,(F$40*(1+F$50)^MOD(L$56-1,$C$21)-F$42-F$43)*L$65-F$41-F$44-F$45-IF(AND(MOD(L$56,$C$21)=0,L$56&lt;Rates!$D$71),F$34*L$65,0),0)</f>
        <v/>
      </c>
      <c r="M61" s="90">
        <f>IF(M$56&lt;=Rates!$D$71,(F$40*(1+F$50)^MOD(M$56-1,$C$21)-F$42-F$43)*M$65-F$41-F$44-F$45-IF(AND(MOD(M$56,$C$21)=0,M$56&lt;Rates!$D$71),F$34*M$65,0),0)</f>
        <v/>
      </c>
      <c r="N61" s="90">
        <f>IF(N$56&lt;=Rates!$D$71,(F$40*(1+F$50)^MOD(N$56-1,$C$21)-F$42-F$43)*N$65-F$41-F$44-F$45-IF(AND(MOD(N$56,$C$21)=0,N$56&lt;Rates!$D$71),F$34*N$65,0),0)</f>
        <v/>
      </c>
      <c r="O61" s="90">
        <f>IF(O$56&lt;=Rates!$D$71,(F$40*(1+F$50)^MOD(O$56-1,$C$21)-F$42-F$43)*O$65-F$41-F$44-F$45-IF(AND(MOD(O$56,$C$21)=0,O$56&lt;Rates!$D$71),F$34*O$65,0),0)</f>
        <v/>
      </c>
      <c r="P61" s="90">
        <f>IF(P$56&lt;=Rates!$D$71,(F$40*(1+F$50)^MOD(P$56-1,$C$21)-F$42-F$43)*P$65-F$41-F$44-F$45-IF(AND(MOD(P$56,$C$21)=0,P$56&lt;Rates!$D$71),F$34*P$65,0),0)</f>
        <v/>
      </c>
      <c r="Q61" s="90">
        <f>IF(Q$56&lt;=Rates!$D$71,(F$40*(1+F$50)^MOD(Q$56-1,$C$21)-F$42-F$43)*Q$65-F$41-F$44-F$45-IF(AND(MOD(Q$56,$C$21)=0,Q$56&lt;Rates!$D$71),F$34*Q$65,0),0)</f>
        <v/>
      </c>
      <c r="R61" s="90">
        <f>IF(R$56&lt;=Rates!$D$71,(F$40*(1+F$50)^MOD(R$56-1,$C$21)-F$42-F$43)*R$65-F$41-F$44-F$45-IF(AND(MOD(R$56,$C$21)=0,R$56&lt;Rates!$D$71),F$34*R$65,0),0)</f>
        <v/>
      </c>
      <c r="S61" s="90">
        <f>IF(S$56&lt;=Rates!$D$71,(F$40*(1+F$50)^MOD(S$56-1,$C$21)-F$42-F$43)*S$65-F$41-F$44-F$45-IF(AND(MOD(S$56,$C$21)=0,S$56&lt;Rates!$D$71),F$34*S$65,0),0)</f>
        <v/>
      </c>
      <c r="T61" s="90">
        <f>IF(T$56&lt;=Rates!$D$71,(F$40*(1+F$50)^MOD(T$56-1,$C$21)-F$42-F$43)*T$65-F$41-F$44-F$45-IF(AND(MOD(T$56,$C$21)=0,T$56&lt;Rates!$D$71),F$34*T$65,0),0)</f>
        <v/>
      </c>
      <c r="U61" s="90">
        <f>IF(U$56&lt;=Rates!$D$71,(F$40*(1+F$50)^MOD(U$56-1,$C$21)-F$42-F$43)*U$65-F$41-F$44-F$45-IF(AND(MOD(U$56,$C$21)=0,U$56&lt;Rates!$D$71),F$34*U$65,0),0)</f>
        <v/>
      </c>
      <c r="V61" s="90">
        <f>IF(V$56&lt;=Rates!$D$71,(F$40*(1+F$50)^MOD(V$56-1,$C$21)-F$42-F$43)*V$65-F$41-F$44-F$45-IF(AND(MOD(V$56,$C$21)=0,V$56&lt;Rates!$D$71),F$34*V$65,0),0)</f>
        <v/>
      </c>
      <c r="W61" s="90">
        <f>IF(W$56&lt;=Rates!$D$71,(F$40*(1+F$50)^MOD(W$56-1,$C$21)-F$42-F$43)*W$65-F$41-F$44-F$45-IF(AND(MOD(W$56,$C$21)=0,W$56&lt;Rates!$D$71),F$34*W$65,0),0)</f>
        <v/>
      </c>
      <c r="X61" s="90">
        <f>IF(X$56&lt;=Rates!$D$71,(F$40*(1+F$50)^MOD(X$56-1,$C$21)-F$42-F$43)*X$65-F$41-F$44-F$45-IF(AND(MOD(X$56,$C$21)=0,X$56&lt;Rates!$D$71),F$34*X$65,0),0)</f>
        <v/>
      </c>
      <c r="Y61" s="90">
        <f>IF(Y$56&lt;=Rates!$D$71,(F$40*(1+F$50)^MOD(Y$56-1,$C$21)-F$42-F$43)*Y$65-F$41-F$44-F$45-IF(AND(MOD(Y$56,$C$21)=0,Y$56&lt;Rates!$D$71),F$34*Y$65,0),0)</f>
        <v/>
      </c>
      <c r="Z61" s="90">
        <f>IF(Z$56&lt;=Rates!$D$71,(F$40*(1+F$50)^MOD(Z$56-1,$C$21)-F$42-F$43)*Z$65-F$41-F$44-F$45-IF(AND(MOD(Z$56,$C$21)=0,Z$56&lt;Rates!$D$71),F$34*Z$65,0),0)</f>
        <v/>
      </c>
      <c r="AA61" s="90">
        <f>IF(AA$56&lt;=Rates!$D$71,(F$40*(1+F$50)^MOD(AA$56-1,$C$21)-F$42-F$43)*AA$65-F$41-F$44-F$45-IF(AND(MOD(AA$56,$C$21)=0,AA$56&lt;Rates!$D$71),F$34*AA$65,0),0)</f>
        <v/>
      </c>
      <c r="AB61" s="90">
        <f>IF(AB$56&lt;=Rates!$D$71,(F$40*(1+F$50)^MOD(AB$56-1,$C$21)-F$42-F$43)*AB$65-F$41-F$44-F$45-IF(AND(MOD(AB$56,$C$21)=0,AB$56&lt;Rates!$D$71),F$34*AB$65,0),0)</f>
        <v/>
      </c>
    </row>
    <row r="62">
      <c r="A62" s="68" t="inlineStr">
        <is>
          <t>Cash flow: AU ComputeCo (transfer price), decay</t>
        </is>
      </c>
      <c r="C62" s="90">
        <f>-G$36</f>
        <v/>
      </c>
      <c r="D62" s="90">
        <f>IF(D$56&lt;=Rates!$D$71,(G$40*(1+G$50)^MOD(D$56-1,$C$21)-G$42-G$43)*D$65-G$41-G$44-G$45-IF(AND(MOD(D$56,$C$21)=0,D$56&lt;Rates!$D$71),G$34*D$65,0),0)</f>
        <v/>
      </c>
      <c r="E62" s="90">
        <f>IF(E$56&lt;=Rates!$D$71,(G$40*(1+G$50)^MOD(E$56-1,$C$21)-G$42-G$43)*E$65-G$41-G$44-G$45-IF(AND(MOD(E$56,$C$21)=0,E$56&lt;Rates!$D$71),G$34*E$65,0),0)</f>
        <v/>
      </c>
      <c r="F62" s="90">
        <f>IF(F$56&lt;=Rates!$D$71,(G$40*(1+G$50)^MOD(F$56-1,$C$21)-G$42-G$43)*F$65-G$41-G$44-G$45-IF(AND(MOD(F$56,$C$21)=0,F$56&lt;Rates!$D$71),G$34*F$65,0),0)</f>
        <v/>
      </c>
      <c r="G62" s="90">
        <f>IF(G$56&lt;=Rates!$D$71,(G$40*(1+G$50)^MOD(G$56-1,$C$21)-G$42-G$43)*G$65-G$41-G$44-G$45-IF(AND(MOD(G$56,$C$21)=0,G$56&lt;Rates!$D$71),G$34*G$65,0),0)</f>
        <v/>
      </c>
      <c r="H62" s="90">
        <f>IF(H$56&lt;=Rates!$D$71,(G$40*(1+G$50)^MOD(H$56-1,$C$21)-G$42-G$43)*H$65-G$41-G$44-G$45-IF(AND(MOD(H$56,$C$21)=0,H$56&lt;Rates!$D$71),G$34*H$65,0),0)</f>
        <v/>
      </c>
      <c r="I62" s="90">
        <f>IF(I$56&lt;=Rates!$D$71,(G$40*(1+G$50)^MOD(I$56-1,$C$21)-G$42-G$43)*I$65-G$41-G$44-G$45-IF(AND(MOD(I$56,$C$21)=0,I$56&lt;Rates!$D$71),G$34*I$65,0),0)</f>
        <v/>
      </c>
      <c r="J62" s="90">
        <f>IF(J$56&lt;=Rates!$D$71,(G$40*(1+G$50)^MOD(J$56-1,$C$21)-G$42-G$43)*J$65-G$41-G$44-G$45-IF(AND(MOD(J$56,$C$21)=0,J$56&lt;Rates!$D$71),G$34*J$65,0),0)</f>
        <v/>
      </c>
      <c r="K62" s="90">
        <f>IF(K$56&lt;=Rates!$D$71,(G$40*(1+G$50)^MOD(K$56-1,$C$21)-G$42-G$43)*K$65-G$41-G$44-G$45-IF(AND(MOD(K$56,$C$21)=0,K$56&lt;Rates!$D$71),G$34*K$65,0),0)</f>
        <v/>
      </c>
      <c r="L62" s="90">
        <f>IF(L$56&lt;=Rates!$D$71,(G$40*(1+G$50)^MOD(L$56-1,$C$21)-G$42-G$43)*L$65-G$41-G$44-G$45-IF(AND(MOD(L$56,$C$21)=0,L$56&lt;Rates!$D$71),G$34*L$65,0),0)</f>
        <v/>
      </c>
      <c r="M62" s="90">
        <f>IF(M$56&lt;=Rates!$D$71,(G$40*(1+G$50)^MOD(M$56-1,$C$21)-G$42-G$43)*M$65-G$41-G$44-G$45-IF(AND(MOD(M$56,$C$21)=0,M$56&lt;Rates!$D$71),G$34*M$65,0),0)</f>
        <v/>
      </c>
      <c r="N62" s="90">
        <f>IF(N$56&lt;=Rates!$D$71,(G$40*(1+G$50)^MOD(N$56-1,$C$21)-G$42-G$43)*N$65-G$41-G$44-G$45-IF(AND(MOD(N$56,$C$21)=0,N$56&lt;Rates!$D$71),G$34*N$65,0),0)</f>
        <v/>
      </c>
      <c r="O62" s="90">
        <f>IF(O$56&lt;=Rates!$D$71,(G$40*(1+G$50)^MOD(O$56-1,$C$21)-G$42-G$43)*O$65-G$41-G$44-G$45-IF(AND(MOD(O$56,$C$21)=0,O$56&lt;Rates!$D$71),G$34*O$65,0),0)</f>
        <v/>
      </c>
      <c r="P62" s="90">
        <f>IF(P$56&lt;=Rates!$D$71,(G$40*(1+G$50)^MOD(P$56-1,$C$21)-G$42-G$43)*P$65-G$41-G$44-G$45-IF(AND(MOD(P$56,$C$21)=0,P$56&lt;Rates!$D$71),G$34*P$65,0),0)</f>
        <v/>
      </c>
      <c r="Q62" s="90">
        <f>IF(Q$56&lt;=Rates!$D$71,(G$40*(1+G$50)^MOD(Q$56-1,$C$21)-G$42-G$43)*Q$65-G$41-G$44-G$45-IF(AND(MOD(Q$56,$C$21)=0,Q$56&lt;Rates!$D$71),G$34*Q$65,0),0)</f>
        <v/>
      </c>
      <c r="R62" s="90">
        <f>IF(R$56&lt;=Rates!$D$71,(G$40*(1+G$50)^MOD(R$56-1,$C$21)-G$42-G$43)*R$65-G$41-G$44-G$45-IF(AND(MOD(R$56,$C$21)=0,R$56&lt;Rates!$D$71),G$34*R$65,0),0)</f>
        <v/>
      </c>
      <c r="S62" s="90">
        <f>IF(S$56&lt;=Rates!$D$71,(G$40*(1+G$50)^MOD(S$56-1,$C$21)-G$42-G$43)*S$65-G$41-G$44-G$45-IF(AND(MOD(S$56,$C$21)=0,S$56&lt;Rates!$D$71),G$34*S$65,0),0)</f>
        <v/>
      </c>
      <c r="T62" s="90">
        <f>IF(T$56&lt;=Rates!$D$71,(G$40*(1+G$50)^MOD(T$56-1,$C$21)-G$42-G$43)*T$65-G$41-G$44-G$45-IF(AND(MOD(T$56,$C$21)=0,T$56&lt;Rates!$D$71),G$34*T$65,0),0)</f>
        <v/>
      </c>
      <c r="U62" s="90">
        <f>IF(U$56&lt;=Rates!$D$71,(G$40*(1+G$50)^MOD(U$56-1,$C$21)-G$42-G$43)*U$65-G$41-G$44-G$45-IF(AND(MOD(U$56,$C$21)=0,U$56&lt;Rates!$D$71),G$34*U$65,0),0)</f>
        <v/>
      </c>
      <c r="V62" s="90">
        <f>IF(V$56&lt;=Rates!$D$71,(G$40*(1+G$50)^MOD(V$56-1,$C$21)-G$42-G$43)*V$65-G$41-G$44-G$45-IF(AND(MOD(V$56,$C$21)=0,V$56&lt;Rates!$D$71),G$34*V$65,0),0)</f>
        <v/>
      </c>
      <c r="W62" s="90">
        <f>IF(W$56&lt;=Rates!$D$71,(G$40*(1+G$50)^MOD(W$56-1,$C$21)-G$42-G$43)*W$65-G$41-G$44-G$45-IF(AND(MOD(W$56,$C$21)=0,W$56&lt;Rates!$D$71),G$34*W$65,0),0)</f>
        <v/>
      </c>
      <c r="X62" s="90">
        <f>IF(X$56&lt;=Rates!$D$71,(G$40*(1+G$50)^MOD(X$56-1,$C$21)-G$42-G$43)*X$65-G$41-G$44-G$45-IF(AND(MOD(X$56,$C$21)=0,X$56&lt;Rates!$D$71),G$34*X$65,0),0)</f>
        <v/>
      </c>
      <c r="Y62" s="90">
        <f>IF(Y$56&lt;=Rates!$D$71,(G$40*(1+G$50)^MOD(Y$56-1,$C$21)-G$42-G$43)*Y$65-G$41-G$44-G$45-IF(AND(MOD(Y$56,$C$21)=0,Y$56&lt;Rates!$D$71),G$34*Y$65,0),0)</f>
        <v/>
      </c>
      <c r="Z62" s="90">
        <f>IF(Z$56&lt;=Rates!$D$71,(G$40*(1+G$50)^MOD(Z$56-1,$C$21)-G$42-G$43)*Z$65-G$41-G$44-G$45-IF(AND(MOD(Z$56,$C$21)=0,Z$56&lt;Rates!$D$71),G$34*Z$65,0),0)</f>
        <v/>
      </c>
      <c r="AA62" s="90">
        <f>IF(AA$56&lt;=Rates!$D$71,(G$40*(1+G$50)^MOD(AA$56-1,$C$21)-G$42-G$43)*AA$65-G$41-G$44-G$45-IF(AND(MOD(AA$56,$C$21)=0,AA$56&lt;Rates!$D$71),G$34*AA$65,0),0)</f>
        <v/>
      </c>
      <c r="AB62" s="90">
        <f>IF(AB$56&lt;=Rates!$D$71,(G$40*(1+G$50)^MOD(AB$56-1,$C$21)-G$42-G$43)*AB$65-G$41-G$44-G$45-IF(AND(MOD(AB$56,$C$21)=0,AB$56&lt;Rates!$D$71),G$34*AB$65,0),0)</f>
        <v/>
      </c>
    </row>
    <row r="63">
      <c r="A63" s="68" t="inlineStr">
        <is>
          <t>Cash flow: AU ComputeCo (transfer price), flat</t>
        </is>
      </c>
      <c r="C63" s="90">
        <f>-H$36</f>
        <v/>
      </c>
      <c r="D63" s="90">
        <f>IF(D$56&lt;=Rates!$D$71,(H$40*(1+H$50)^MOD(D$56-1,$C$21)-H$42-H$43)*D$65-H$41-H$44-H$45-IF(AND(MOD(D$56,$C$21)=0,D$56&lt;Rates!$D$71),H$34*D$65,0),0)</f>
        <v/>
      </c>
      <c r="E63" s="90">
        <f>IF(E$56&lt;=Rates!$D$71,(H$40*(1+H$50)^MOD(E$56-1,$C$21)-H$42-H$43)*E$65-H$41-H$44-H$45-IF(AND(MOD(E$56,$C$21)=0,E$56&lt;Rates!$D$71),H$34*E$65,0),0)</f>
        <v/>
      </c>
      <c r="F63" s="90">
        <f>IF(F$56&lt;=Rates!$D$71,(H$40*(1+H$50)^MOD(F$56-1,$C$21)-H$42-H$43)*F$65-H$41-H$44-H$45-IF(AND(MOD(F$56,$C$21)=0,F$56&lt;Rates!$D$71),H$34*F$65,0),0)</f>
        <v/>
      </c>
      <c r="G63" s="90">
        <f>IF(G$56&lt;=Rates!$D$71,(H$40*(1+H$50)^MOD(G$56-1,$C$21)-H$42-H$43)*G$65-H$41-H$44-H$45-IF(AND(MOD(G$56,$C$21)=0,G$56&lt;Rates!$D$71),H$34*G$65,0),0)</f>
        <v/>
      </c>
      <c r="H63" s="90">
        <f>IF(H$56&lt;=Rates!$D$71,(H$40*(1+H$50)^MOD(H$56-1,$C$21)-H$42-H$43)*H$65-H$41-H$44-H$45-IF(AND(MOD(H$56,$C$21)=0,H$56&lt;Rates!$D$71),H$34*H$65,0),0)</f>
        <v/>
      </c>
      <c r="I63" s="90">
        <f>IF(I$56&lt;=Rates!$D$71,(H$40*(1+H$50)^MOD(I$56-1,$C$21)-H$42-H$43)*I$65-H$41-H$44-H$45-IF(AND(MOD(I$56,$C$21)=0,I$56&lt;Rates!$D$71),H$34*I$65,0),0)</f>
        <v/>
      </c>
      <c r="J63" s="90">
        <f>IF(J$56&lt;=Rates!$D$71,(H$40*(1+H$50)^MOD(J$56-1,$C$21)-H$42-H$43)*J$65-H$41-H$44-H$45-IF(AND(MOD(J$56,$C$21)=0,J$56&lt;Rates!$D$71),H$34*J$65,0),0)</f>
        <v/>
      </c>
      <c r="K63" s="90">
        <f>IF(K$56&lt;=Rates!$D$71,(H$40*(1+H$50)^MOD(K$56-1,$C$21)-H$42-H$43)*K$65-H$41-H$44-H$45-IF(AND(MOD(K$56,$C$21)=0,K$56&lt;Rates!$D$71),H$34*K$65,0),0)</f>
        <v/>
      </c>
      <c r="L63" s="90">
        <f>IF(L$56&lt;=Rates!$D$71,(H$40*(1+H$50)^MOD(L$56-1,$C$21)-H$42-H$43)*L$65-H$41-H$44-H$45-IF(AND(MOD(L$56,$C$21)=0,L$56&lt;Rates!$D$71),H$34*L$65,0),0)</f>
        <v/>
      </c>
      <c r="M63" s="90">
        <f>IF(M$56&lt;=Rates!$D$71,(H$40*(1+H$50)^MOD(M$56-1,$C$21)-H$42-H$43)*M$65-H$41-H$44-H$45-IF(AND(MOD(M$56,$C$21)=0,M$56&lt;Rates!$D$71),H$34*M$65,0),0)</f>
        <v/>
      </c>
      <c r="N63" s="90">
        <f>IF(N$56&lt;=Rates!$D$71,(H$40*(1+H$50)^MOD(N$56-1,$C$21)-H$42-H$43)*N$65-H$41-H$44-H$45-IF(AND(MOD(N$56,$C$21)=0,N$56&lt;Rates!$D$71),H$34*N$65,0),0)</f>
        <v/>
      </c>
      <c r="O63" s="90">
        <f>IF(O$56&lt;=Rates!$D$71,(H$40*(1+H$50)^MOD(O$56-1,$C$21)-H$42-H$43)*O$65-H$41-H$44-H$45-IF(AND(MOD(O$56,$C$21)=0,O$56&lt;Rates!$D$71),H$34*O$65,0),0)</f>
        <v/>
      </c>
      <c r="P63" s="90">
        <f>IF(P$56&lt;=Rates!$D$71,(H$40*(1+H$50)^MOD(P$56-1,$C$21)-H$42-H$43)*P$65-H$41-H$44-H$45-IF(AND(MOD(P$56,$C$21)=0,P$56&lt;Rates!$D$71),H$34*P$65,0),0)</f>
        <v/>
      </c>
      <c r="Q63" s="90">
        <f>IF(Q$56&lt;=Rates!$D$71,(H$40*(1+H$50)^MOD(Q$56-1,$C$21)-H$42-H$43)*Q$65-H$41-H$44-H$45-IF(AND(MOD(Q$56,$C$21)=0,Q$56&lt;Rates!$D$71),H$34*Q$65,0),0)</f>
        <v/>
      </c>
      <c r="R63" s="90">
        <f>IF(R$56&lt;=Rates!$D$71,(H$40*(1+H$50)^MOD(R$56-1,$C$21)-H$42-H$43)*R$65-H$41-H$44-H$45-IF(AND(MOD(R$56,$C$21)=0,R$56&lt;Rates!$D$71),H$34*R$65,0),0)</f>
        <v/>
      </c>
      <c r="S63" s="90">
        <f>IF(S$56&lt;=Rates!$D$71,(H$40*(1+H$50)^MOD(S$56-1,$C$21)-H$42-H$43)*S$65-H$41-H$44-H$45-IF(AND(MOD(S$56,$C$21)=0,S$56&lt;Rates!$D$71),H$34*S$65,0),0)</f>
        <v/>
      </c>
      <c r="T63" s="90">
        <f>IF(T$56&lt;=Rates!$D$71,(H$40*(1+H$50)^MOD(T$56-1,$C$21)-H$42-H$43)*T$65-H$41-H$44-H$45-IF(AND(MOD(T$56,$C$21)=0,T$56&lt;Rates!$D$71),H$34*T$65,0),0)</f>
        <v/>
      </c>
      <c r="U63" s="90">
        <f>IF(U$56&lt;=Rates!$D$71,(H$40*(1+H$50)^MOD(U$56-1,$C$21)-H$42-H$43)*U$65-H$41-H$44-H$45-IF(AND(MOD(U$56,$C$21)=0,U$56&lt;Rates!$D$71),H$34*U$65,0),0)</f>
        <v/>
      </c>
      <c r="V63" s="90">
        <f>IF(V$56&lt;=Rates!$D$71,(H$40*(1+H$50)^MOD(V$56-1,$C$21)-H$42-H$43)*V$65-H$41-H$44-H$45-IF(AND(MOD(V$56,$C$21)=0,V$56&lt;Rates!$D$71),H$34*V$65,0),0)</f>
        <v/>
      </c>
      <c r="W63" s="90">
        <f>IF(W$56&lt;=Rates!$D$71,(H$40*(1+H$50)^MOD(W$56-1,$C$21)-H$42-H$43)*W$65-H$41-H$44-H$45-IF(AND(MOD(W$56,$C$21)=0,W$56&lt;Rates!$D$71),H$34*W$65,0),0)</f>
        <v/>
      </c>
      <c r="X63" s="90">
        <f>IF(X$56&lt;=Rates!$D$71,(H$40*(1+H$50)^MOD(X$56-1,$C$21)-H$42-H$43)*X$65-H$41-H$44-H$45-IF(AND(MOD(X$56,$C$21)=0,X$56&lt;Rates!$D$71),H$34*X$65,0),0)</f>
        <v/>
      </c>
      <c r="Y63" s="90">
        <f>IF(Y$56&lt;=Rates!$D$71,(H$40*(1+H$50)^MOD(Y$56-1,$C$21)-H$42-H$43)*Y$65-H$41-H$44-H$45-IF(AND(MOD(Y$56,$C$21)=0,Y$56&lt;Rates!$D$71),H$34*Y$65,0),0)</f>
        <v/>
      </c>
      <c r="Z63" s="90">
        <f>IF(Z$56&lt;=Rates!$D$71,(H$40*(1+H$50)^MOD(Z$56-1,$C$21)-H$42-H$43)*Z$65-H$41-H$44-H$45-IF(AND(MOD(Z$56,$C$21)=0,Z$56&lt;Rates!$D$71),H$34*Z$65,0),0)</f>
        <v/>
      </c>
      <c r="AA63" s="90">
        <f>IF(AA$56&lt;=Rates!$D$71,(H$40*(1+H$50)^MOD(AA$56-1,$C$21)-H$42-H$43)*AA$65-H$41-H$44-H$45-IF(AND(MOD(AA$56,$C$21)=0,AA$56&lt;Rates!$D$71),H$34*AA$65,0),0)</f>
        <v/>
      </c>
      <c r="AB63" s="90">
        <f>IF(AB$56&lt;=Rates!$D$71,(H$40*(1+H$50)^MOD(AB$56-1,$C$21)-H$42-H$43)*AB$65-H$41-H$44-H$45-IF(AND(MOD(AB$56,$C$21)=0,AB$56&lt;Rates!$D$71),H$34*AB$65,0),0)</f>
        <v/>
      </c>
    </row>
    <row r="64">
      <c r="A64" s="68" t="inlineStr">
        <is>
          <t>Cash flow: AU colocation (rental), for comparison</t>
        </is>
      </c>
      <c r="C64" s="90">
        <f>-I$36</f>
        <v/>
      </c>
      <c r="D64" s="90">
        <f>IF(D$56&lt;=Rates!$D$71,I$46-I$40*(1-D$65),0)</f>
        <v/>
      </c>
      <c r="E64" s="90">
        <f>IF(E$56&lt;=Rates!$D$71,I$46-I$40*(1-E$65),0)</f>
        <v/>
      </c>
      <c r="F64" s="90">
        <f>IF(F$56&lt;=Rates!$D$71,I$46-I$40*(1-F$65),0)</f>
        <v/>
      </c>
      <c r="G64" s="90">
        <f>IF(G$56&lt;=Rates!$D$71,I$46-I$40*(1-G$65),0)</f>
        <v/>
      </c>
      <c r="H64" s="90">
        <f>IF(H$56&lt;=Rates!$D$71,I$46-I$40*(1-H$65),0)</f>
        <v/>
      </c>
      <c r="I64" s="90">
        <f>IF(I$56&lt;=Rates!$D$71,I$46-I$40*(1-I$65),0)</f>
        <v/>
      </c>
      <c r="J64" s="90">
        <f>IF(J$56&lt;=Rates!$D$71,I$46-I$40*(1-J$65),0)</f>
        <v/>
      </c>
      <c r="K64" s="90">
        <f>IF(K$56&lt;=Rates!$D$71,I$46-I$40*(1-K$65),0)</f>
        <v/>
      </c>
      <c r="L64" s="90">
        <f>IF(L$56&lt;=Rates!$D$71,I$46-I$40*(1-L$65),0)</f>
        <v/>
      </c>
      <c r="M64" s="90">
        <f>IF(M$56&lt;=Rates!$D$71,I$46-I$40*(1-M$65),0)</f>
        <v/>
      </c>
      <c r="N64" s="90">
        <f>IF(N$56&lt;=Rates!$D$71,I$46-I$40*(1-N$65),0)</f>
        <v/>
      </c>
      <c r="O64" s="90">
        <f>IF(O$56&lt;=Rates!$D$71,I$46-I$40*(1-O$65),0)</f>
        <v/>
      </c>
      <c r="P64" s="90">
        <f>IF(P$56&lt;=Rates!$D$71,I$46-I$40*(1-P$65),0)</f>
        <v/>
      </c>
      <c r="Q64" s="90">
        <f>IF(Q$56&lt;=Rates!$D$71,I$46-I$40*(1-Q$65),0)</f>
        <v/>
      </c>
      <c r="R64" s="90">
        <f>IF(R$56&lt;=Rates!$D$71,I$46-I$40*(1-R$65),0)</f>
        <v/>
      </c>
      <c r="S64" s="90">
        <f>IF(S$56&lt;=Rates!$D$71,I$46-I$40*(1-S$65),0)</f>
        <v/>
      </c>
      <c r="T64" s="90">
        <f>IF(T$56&lt;=Rates!$D$71,I$46-I$40*(1-T$65),0)</f>
        <v/>
      </c>
      <c r="U64" s="90">
        <f>IF(U$56&lt;=Rates!$D$71,I$46-I$40*(1-U$65),0)</f>
        <v/>
      </c>
      <c r="V64" s="90">
        <f>IF(V$56&lt;=Rates!$D$71,I$46-I$40*(1-V$65),0)</f>
        <v/>
      </c>
      <c r="W64" s="90">
        <f>IF(W$56&lt;=Rates!$D$71,I$46-I$40*(1-W$65),0)</f>
        <v/>
      </c>
      <c r="X64" s="90">
        <f>IF(X$56&lt;=Rates!$D$71,I$46-I$40*(1-X$65),0)</f>
        <v/>
      </c>
      <c r="Y64" s="90">
        <f>IF(Y$56&lt;=Rates!$D$71,I$46-I$40*(1-Y$65),0)</f>
        <v/>
      </c>
      <c r="Z64" s="90">
        <f>IF(Z$56&lt;=Rates!$D$71,I$46-I$40*(1-Z$65),0)</f>
        <v/>
      </c>
      <c r="AA64" s="90">
        <f>IF(AA$56&lt;=Rates!$D$71,I$46-I$40*(1-AA$65),0)</f>
        <v/>
      </c>
      <c r="AB64" s="90">
        <f>IF(AB$56&lt;=Rates!$D$71,I$46-I$40*(1-AB$65),0)</f>
        <v/>
      </c>
    </row>
    <row r="65">
      <c r="A65" s="68" t="inlineStr">
        <is>
          <t>Lit-module share, AU (Decline tab, selected degC/yr on well capability; NZ buys grid power so is not affected)</t>
        </is>
      </c>
      <c r="D65" s="145">
        <f>Decline!D44/4</f>
        <v/>
      </c>
      <c r="E65" s="145">
        <f>Decline!E44/4</f>
        <v/>
      </c>
      <c r="F65" s="145">
        <f>Decline!F44/4</f>
        <v/>
      </c>
      <c r="G65" s="145">
        <f>Decline!G44/4</f>
        <v/>
      </c>
      <c r="H65" s="145">
        <f>Decline!H44/4</f>
        <v/>
      </c>
      <c r="I65" s="145">
        <f>Decline!I44/4</f>
        <v/>
      </c>
      <c r="J65" s="145">
        <f>Decline!J44/4</f>
        <v/>
      </c>
      <c r="K65" s="145">
        <f>Decline!K44/4</f>
        <v/>
      </c>
      <c r="L65" s="145">
        <f>Decline!L44/4</f>
        <v/>
      </c>
      <c r="M65" s="145">
        <f>Decline!M44/4</f>
        <v/>
      </c>
      <c r="N65" s="145">
        <f>Decline!N44/4</f>
        <v/>
      </c>
      <c r="O65" s="145">
        <f>Decline!O44/4</f>
        <v/>
      </c>
      <c r="P65" s="145">
        <f>Decline!P44/4</f>
        <v/>
      </c>
      <c r="Q65" s="145">
        <f>Decline!Q44/4</f>
        <v/>
      </c>
      <c r="R65" s="145">
        <f>Decline!R44/4</f>
        <v/>
      </c>
      <c r="S65" s="145">
        <f>Decline!S44/4</f>
        <v/>
      </c>
      <c r="T65" s="145">
        <f>Decline!T44/4</f>
        <v/>
      </c>
      <c r="U65" s="145">
        <f>Decline!U44/4</f>
        <v/>
      </c>
      <c r="V65" s="145">
        <f>Decline!V44/4</f>
        <v/>
      </c>
      <c r="W65" s="145">
        <f>Decline!W44/4</f>
        <v/>
      </c>
      <c r="X65" s="145">
        <f>Decline!X44/4</f>
        <v/>
      </c>
      <c r="Y65" s="145">
        <f>Decline!Y44/4</f>
        <v/>
      </c>
      <c r="Z65" s="145">
        <f>Decline!Z44/4</f>
        <v/>
      </c>
      <c r="AA65" s="145">
        <f>Decline!AA44/4</f>
        <v/>
      </c>
      <c r="AB65" s="145">
        <f>Decline!AB44/4</f>
        <v/>
      </c>
    </row>
    <row r="66"/>
    <row r="67">
      <c r="A67" s="136" t="inlineStr">
        <is>
          <t>SENSITIVITY: AU consolidated 25-yr IRR, price x utilisation, PRICES DECAY ~25%/yr within each 5-yr cycle</t>
        </is>
      </c>
      <c r="B67" s="137" t="n"/>
      <c r="C67" s="137" t="n"/>
      <c r="D67" s="137" t="n"/>
      <c r="E67" s="137" t="n"/>
      <c r="F67" s="137" t="n"/>
    </row>
    <row r="68">
      <c r="A68" s="68" t="inlineStr">
        <is>
          <t>US$/GPU-h  \  utilisation</t>
        </is>
      </c>
      <c r="B68" s="145">
        <f>$C$18</f>
        <v/>
      </c>
      <c r="C68" s="145">
        <f>$C$19</f>
        <v/>
      </c>
      <c r="D68" s="145">
        <f>$C$20</f>
        <v/>
      </c>
    </row>
    <row r="69">
      <c r="A69" s="123">
        <f>$C$14</f>
        <v/>
      </c>
      <c r="B69" s="91">
        <f>IFERROR(IRR(C75:AB75),IF(SUM(C75:AB75)&lt;0,"never repays","no IRR"))</f>
        <v/>
      </c>
      <c r="C69" s="91">
        <f>IFERROR(IRR(C76:AB76),IF(SUM(C76:AB76)&lt;0,"never repays","no IRR"))</f>
        <v/>
      </c>
      <c r="D69" s="91">
        <f>IFERROR(IRR(C77:AB77),IF(SUM(C77:AB77)&lt;0,"never repays","no IRR"))</f>
        <v/>
      </c>
    </row>
    <row r="70">
      <c r="A70" s="123">
        <f>$C$15</f>
        <v/>
      </c>
      <c r="B70" s="91">
        <f>IFERROR(IRR(C78:AB78),IF(SUM(C78:AB78)&lt;0,"never repays","no IRR"))</f>
        <v/>
      </c>
      <c r="C70" s="91">
        <f>IFERROR(IRR(C79:AB79),IF(SUM(C79:AB79)&lt;0,"never repays","no IRR"))</f>
        <v/>
      </c>
      <c r="D70" s="91">
        <f>IFERROR(IRR(C80:AB80),IF(SUM(C80:AB80)&lt;0,"never repays","no IRR"))</f>
        <v/>
      </c>
    </row>
    <row r="71">
      <c r="A71" s="123">
        <f>$C$16</f>
        <v/>
      </c>
      <c r="B71" s="91">
        <f>IFERROR(IRR(C81:AB81),IF(SUM(C81:AB81)&lt;0,"never repays","no IRR"))</f>
        <v/>
      </c>
      <c r="C71" s="91">
        <f>IFERROR(IRR(C82:AB82),IF(SUM(C82:AB82)&lt;0,"never repays","no IRR"))</f>
        <v/>
      </c>
      <c r="D71" s="91">
        <f>IFERROR(IRR(C83:AB83),IF(SUM(C83:AB83)&lt;0,"never repays","no IRR"))</f>
        <v/>
      </c>
    </row>
    <row r="72">
      <c r="A72" s="123">
        <f>$C$17</f>
        <v/>
      </c>
      <c r="B72" s="91">
        <f>IFERROR(IRR(C84:AB84),IF(SUM(C84:AB84)&lt;0,"never repays","no IRR"))</f>
        <v/>
      </c>
      <c r="C72" s="91">
        <f>IFERROR(IRR(C85:AB85),IF(SUM(C85:AB85)&lt;0,"never repays","no IRR"))</f>
        <v/>
      </c>
      <c r="D72" s="91">
        <f>IFERROR(IRR(C86:AB86),IF(SUM(C86:AB86)&lt;0,"never repays","no IRR"))</f>
        <v/>
      </c>
    </row>
    <row r="73"/>
    <row r="74"/>
    <row r="75">
      <c r="A75" s="68" t="inlineStr">
        <is>
          <t>helper: p_low x u_low</t>
        </is>
      </c>
      <c r="C75" s="90">
        <f>-B$36</f>
        <v/>
      </c>
      <c r="D75" s="90">
        <f>IF(D$56&lt;=Rates!$D$71,B$33*8760*$C$18*$C$14*Connectivity!$C$13/Rates!$D$4*(1+$C$22)^MOD(D$56-1,$C$21)*D$65-('Compute-Revenue'!$B$23+$C$9*B$34+B$43+B$44+B$45)-IF(AND(MOD(D$56,$C$21)=0,D$56&lt;Rates!$D$71),B$34,0),0)</f>
        <v/>
      </c>
      <c r="E75" s="90">
        <f>IF(E$56&lt;=Rates!$D$71,B$33*8760*$C$18*$C$14*Connectivity!$C$13/Rates!$D$4*(1+$C$22)^MOD(E$56-1,$C$21)*E$65-('Compute-Revenue'!$B$23+$C$9*B$34+B$43+B$44+B$45)-IF(AND(MOD(E$56,$C$21)=0,E$56&lt;Rates!$D$71),B$34,0),0)</f>
        <v/>
      </c>
      <c r="F75" s="90">
        <f>IF(F$56&lt;=Rates!$D$71,B$33*8760*$C$18*$C$14*Connectivity!$C$13/Rates!$D$4*(1+$C$22)^MOD(F$56-1,$C$21)*F$65-('Compute-Revenue'!$B$23+$C$9*B$34+B$43+B$44+B$45)-IF(AND(MOD(F$56,$C$21)=0,F$56&lt;Rates!$D$71),B$34,0),0)</f>
        <v/>
      </c>
      <c r="G75" s="90">
        <f>IF(G$56&lt;=Rates!$D$71,B$33*8760*$C$18*$C$14*Connectivity!$C$13/Rates!$D$4*(1+$C$22)^MOD(G$56-1,$C$21)*G$65-('Compute-Revenue'!$B$23+$C$9*B$34+B$43+B$44+B$45)-IF(AND(MOD(G$56,$C$21)=0,G$56&lt;Rates!$D$71),B$34,0),0)</f>
        <v/>
      </c>
      <c r="H75" s="90">
        <f>IF(H$56&lt;=Rates!$D$71,B$33*8760*$C$18*$C$14*Connectivity!$C$13/Rates!$D$4*(1+$C$22)^MOD(H$56-1,$C$21)*H$65-('Compute-Revenue'!$B$23+$C$9*B$34+B$43+B$44+B$45)-IF(AND(MOD(H$56,$C$21)=0,H$56&lt;Rates!$D$71),B$34,0),0)</f>
        <v/>
      </c>
      <c r="I75" s="90">
        <f>IF(I$56&lt;=Rates!$D$71,B$33*8760*$C$18*$C$14*Connectivity!$C$13/Rates!$D$4*(1+$C$22)^MOD(I$56-1,$C$21)*I$65-('Compute-Revenue'!$B$23+$C$9*B$34+B$43+B$44+B$45)-IF(AND(MOD(I$56,$C$21)=0,I$56&lt;Rates!$D$71),B$34,0),0)</f>
        <v/>
      </c>
      <c r="J75" s="90">
        <f>IF(J$56&lt;=Rates!$D$71,B$33*8760*$C$18*$C$14*Connectivity!$C$13/Rates!$D$4*(1+$C$22)^MOD(J$56-1,$C$21)*J$65-('Compute-Revenue'!$B$23+$C$9*B$34+B$43+B$44+B$45)-IF(AND(MOD(J$56,$C$21)=0,J$56&lt;Rates!$D$71),B$34,0),0)</f>
        <v/>
      </c>
      <c r="K75" s="90">
        <f>IF(K$56&lt;=Rates!$D$71,B$33*8760*$C$18*$C$14*Connectivity!$C$13/Rates!$D$4*(1+$C$22)^MOD(K$56-1,$C$21)*K$65-('Compute-Revenue'!$B$23+$C$9*B$34+B$43+B$44+B$45)-IF(AND(MOD(K$56,$C$21)=0,K$56&lt;Rates!$D$71),B$34,0),0)</f>
        <v/>
      </c>
      <c r="L75" s="90">
        <f>IF(L$56&lt;=Rates!$D$71,B$33*8760*$C$18*$C$14*Connectivity!$C$13/Rates!$D$4*(1+$C$22)^MOD(L$56-1,$C$21)*L$65-('Compute-Revenue'!$B$23+$C$9*B$34+B$43+B$44+B$45)-IF(AND(MOD(L$56,$C$21)=0,L$56&lt;Rates!$D$71),B$34,0),0)</f>
        <v/>
      </c>
      <c r="M75" s="90">
        <f>IF(M$56&lt;=Rates!$D$71,B$33*8760*$C$18*$C$14*Connectivity!$C$13/Rates!$D$4*(1+$C$22)^MOD(M$56-1,$C$21)*M$65-('Compute-Revenue'!$B$23+$C$9*B$34+B$43+B$44+B$45)-IF(AND(MOD(M$56,$C$21)=0,M$56&lt;Rates!$D$71),B$34,0),0)</f>
        <v/>
      </c>
      <c r="N75" s="90">
        <f>IF(N$56&lt;=Rates!$D$71,B$33*8760*$C$18*$C$14*Connectivity!$C$13/Rates!$D$4*(1+$C$22)^MOD(N$56-1,$C$21)*N$65-('Compute-Revenue'!$B$23+$C$9*B$34+B$43+B$44+B$45)-IF(AND(MOD(N$56,$C$21)=0,N$56&lt;Rates!$D$71),B$34,0),0)</f>
        <v/>
      </c>
      <c r="O75" s="90">
        <f>IF(O$56&lt;=Rates!$D$71,B$33*8760*$C$18*$C$14*Connectivity!$C$13/Rates!$D$4*(1+$C$22)^MOD(O$56-1,$C$21)*O$65-('Compute-Revenue'!$B$23+$C$9*B$34+B$43+B$44+B$45)-IF(AND(MOD(O$56,$C$21)=0,O$56&lt;Rates!$D$71),B$34,0),0)</f>
        <v/>
      </c>
      <c r="P75" s="90">
        <f>IF(P$56&lt;=Rates!$D$71,B$33*8760*$C$18*$C$14*Connectivity!$C$13/Rates!$D$4*(1+$C$22)^MOD(P$56-1,$C$21)*P$65-('Compute-Revenue'!$B$23+$C$9*B$34+B$43+B$44+B$45)-IF(AND(MOD(P$56,$C$21)=0,P$56&lt;Rates!$D$71),B$34,0),0)</f>
        <v/>
      </c>
      <c r="Q75" s="90">
        <f>IF(Q$56&lt;=Rates!$D$71,B$33*8760*$C$18*$C$14*Connectivity!$C$13/Rates!$D$4*(1+$C$22)^MOD(Q$56-1,$C$21)*Q$65-('Compute-Revenue'!$B$23+$C$9*B$34+B$43+B$44+B$45)-IF(AND(MOD(Q$56,$C$21)=0,Q$56&lt;Rates!$D$71),B$34,0),0)</f>
        <v/>
      </c>
      <c r="R75" s="90">
        <f>IF(R$56&lt;=Rates!$D$71,B$33*8760*$C$18*$C$14*Connectivity!$C$13/Rates!$D$4*(1+$C$22)^MOD(R$56-1,$C$21)*R$65-('Compute-Revenue'!$B$23+$C$9*B$34+B$43+B$44+B$45)-IF(AND(MOD(R$56,$C$21)=0,R$56&lt;Rates!$D$71),B$34,0),0)</f>
        <v/>
      </c>
      <c r="S75" s="90">
        <f>IF(S$56&lt;=Rates!$D$71,B$33*8760*$C$18*$C$14*Connectivity!$C$13/Rates!$D$4*(1+$C$22)^MOD(S$56-1,$C$21)*S$65-('Compute-Revenue'!$B$23+$C$9*B$34+B$43+B$44+B$45)-IF(AND(MOD(S$56,$C$21)=0,S$56&lt;Rates!$D$71),B$34,0),0)</f>
        <v/>
      </c>
      <c r="T75" s="90">
        <f>IF(T$56&lt;=Rates!$D$71,B$33*8760*$C$18*$C$14*Connectivity!$C$13/Rates!$D$4*(1+$C$22)^MOD(T$56-1,$C$21)*T$65-('Compute-Revenue'!$B$23+$C$9*B$34+B$43+B$44+B$45)-IF(AND(MOD(T$56,$C$21)=0,T$56&lt;Rates!$D$71),B$34,0),0)</f>
        <v/>
      </c>
      <c r="U75" s="90">
        <f>IF(U$56&lt;=Rates!$D$71,B$33*8760*$C$18*$C$14*Connectivity!$C$13/Rates!$D$4*(1+$C$22)^MOD(U$56-1,$C$21)*U$65-('Compute-Revenue'!$B$23+$C$9*B$34+B$43+B$44+B$45)-IF(AND(MOD(U$56,$C$21)=0,U$56&lt;Rates!$D$71),B$34,0),0)</f>
        <v/>
      </c>
      <c r="V75" s="90">
        <f>IF(V$56&lt;=Rates!$D$71,B$33*8760*$C$18*$C$14*Connectivity!$C$13/Rates!$D$4*(1+$C$22)^MOD(V$56-1,$C$21)*V$65-('Compute-Revenue'!$B$23+$C$9*B$34+B$43+B$44+B$45)-IF(AND(MOD(V$56,$C$21)=0,V$56&lt;Rates!$D$71),B$34,0),0)</f>
        <v/>
      </c>
      <c r="W75" s="90">
        <f>IF(W$56&lt;=Rates!$D$71,B$33*8760*$C$18*$C$14*Connectivity!$C$13/Rates!$D$4*(1+$C$22)^MOD(W$56-1,$C$21)*W$65-('Compute-Revenue'!$B$23+$C$9*B$34+B$43+B$44+B$45)-IF(AND(MOD(W$56,$C$21)=0,W$56&lt;Rates!$D$71),B$34,0),0)</f>
        <v/>
      </c>
      <c r="X75" s="90">
        <f>IF(X$56&lt;=Rates!$D$71,B$33*8760*$C$18*$C$14*Connectivity!$C$13/Rates!$D$4*(1+$C$22)^MOD(X$56-1,$C$21)*X$65-('Compute-Revenue'!$B$23+$C$9*B$34+B$43+B$44+B$45)-IF(AND(MOD(X$56,$C$21)=0,X$56&lt;Rates!$D$71),B$34,0),0)</f>
        <v/>
      </c>
      <c r="Y75" s="90">
        <f>IF(Y$56&lt;=Rates!$D$71,B$33*8760*$C$18*$C$14*Connectivity!$C$13/Rates!$D$4*(1+$C$22)^MOD(Y$56-1,$C$21)*Y$65-('Compute-Revenue'!$B$23+$C$9*B$34+B$43+B$44+B$45)-IF(AND(MOD(Y$56,$C$21)=0,Y$56&lt;Rates!$D$71),B$34,0),0)</f>
        <v/>
      </c>
      <c r="Z75" s="90">
        <f>IF(Z$56&lt;=Rates!$D$71,B$33*8760*$C$18*$C$14*Connectivity!$C$13/Rates!$D$4*(1+$C$22)^MOD(Z$56-1,$C$21)*Z$65-('Compute-Revenue'!$B$23+$C$9*B$34+B$43+B$44+B$45)-IF(AND(MOD(Z$56,$C$21)=0,Z$56&lt;Rates!$D$71),B$34,0),0)</f>
        <v/>
      </c>
      <c r="AA75" s="90">
        <f>IF(AA$56&lt;=Rates!$D$71,B$33*8760*$C$18*$C$14*Connectivity!$C$13/Rates!$D$4*(1+$C$22)^MOD(AA$56-1,$C$21)*AA$65-('Compute-Revenue'!$B$23+$C$9*B$34+B$43+B$44+B$45)-IF(AND(MOD(AA$56,$C$21)=0,AA$56&lt;Rates!$D$71),B$34,0),0)</f>
        <v/>
      </c>
      <c r="AB75" s="90">
        <f>IF(AB$56&lt;=Rates!$D$71,B$33*8760*$C$18*$C$14*Connectivity!$C$13/Rates!$D$4*(1+$C$22)^MOD(AB$56-1,$C$21)*AB$65-('Compute-Revenue'!$B$23+$C$9*B$34+B$43+B$44+B$45)-IF(AND(MOD(AB$56,$C$21)=0,AB$56&lt;Rates!$D$71),B$34,0),0)</f>
        <v/>
      </c>
    </row>
    <row r="76">
      <c r="A76" s="68" t="inlineStr">
        <is>
          <t>helper: p_low x u_base</t>
        </is>
      </c>
      <c r="C76" s="90">
        <f>-B$36</f>
        <v/>
      </c>
      <c r="D76" s="90">
        <f>IF(D$56&lt;=Rates!$D$71,B$33*8760*$C$19*$C$14*Connectivity!$C$13/Rates!$D$4*(1+$C$22)^MOD(D$56-1,$C$21)*D$65-('Compute-Revenue'!$B$23+$C$9*B$34+B$43+B$44+B$45)-IF(AND(MOD(D$56,$C$21)=0,D$56&lt;Rates!$D$71),B$34,0),0)</f>
        <v/>
      </c>
      <c r="E76" s="90">
        <f>IF(E$56&lt;=Rates!$D$71,B$33*8760*$C$19*$C$14*Connectivity!$C$13/Rates!$D$4*(1+$C$22)^MOD(E$56-1,$C$21)*E$65-('Compute-Revenue'!$B$23+$C$9*B$34+B$43+B$44+B$45)-IF(AND(MOD(E$56,$C$21)=0,E$56&lt;Rates!$D$71),B$34,0),0)</f>
        <v/>
      </c>
      <c r="F76" s="90">
        <f>IF(F$56&lt;=Rates!$D$71,B$33*8760*$C$19*$C$14*Connectivity!$C$13/Rates!$D$4*(1+$C$22)^MOD(F$56-1,$C$21)*F$65-('Compute-Revenue'!$B$23+$C$9*B$34+B$43+B$44+B$45)-IF(AND(MOD(F$56,$C$21)=0,F$56&lt;Rates!$D$71),B$34,0),0)</f>
        <v/>
      </c>
      <c r="G76" s="90">
        <f>IF(G$56&lt;=Rates!$D$71,B$33*8760*$C$19*$C$14*Connectivity!$C$13/Rates!$D$4*(1+$C$22)^MOD(G$56-1,$C$21)*G$65-('Compute-Revenue'!$B$23+$C$9*B$34+B$43+B$44+B$45)-IF(AND(MOD(G$56,$C$21)=0,G$56&lt;Rates!$D$71),B$34,0),0)</f>
        <v/>
      </c>
      <c r="H76" s="90">
        <f>IF(H$56&lt;=Rates!$D$71,B$33*8760*$C$19*$C$14*Connectivity!$C$13/Rates!$D$4*(1+$C$22)^MOD(H$56-1,$C$21)*H$65-('Compute-Revenue'!$B$23+$C$9*B$34+B$43+B$44+B$45)-IF(AND(MOD(H$56,$C$21)=0,H$56&lt;Rates!$D$71),B$34,0),0)</f>
        <v/>
      </c>
      <c r="I76" s="90">
        <f>IF(I$56&lt;=Rates!$D$71,B$33*8760*$C$19*$C$14*Connectivity!$C$13/Rates!$D$4*(1+$C$22)^MOD(I$56-1,$C$21)*I$65-('Compute-Revenue'!$B$23+$C$9*B$34+B$43+B$44+B$45)-IF(AND(MOD(I$56,$C$21)=0,I$56&lt;Rates!$D$71),B$34,0),0)</f>
        <v/>
      </c>
      <c r="J76" s="90">
        <f>IF(J$56&lt;=Rates!$D$71,B$33*8760*$C$19*$C$14*Connectivity!$C$13/Rates!$D$4*(1+$C$22)^MOD(J$56-1,$C$21)*J$65-('Compute-Revenue'!$B$23+$C$9*B$34+B$43+B$44+B$45)-IF(AND(MOD(J$56,$C$21)=0,J$56&lt;Rates!$D$71),B$34,0),0)</f>
        <v/>
      </c>
      <c r="K76" s="90">
        <f>IF(K$56&lt;=Rates!$D$71,B$33*8760*$C$19*$C$14*Connectivity!$C$13/Rates!$D$4*(1+$C$22)^MOD(K$56-1,$C$21)*K$65-('Compute-Revenue'!$B$23+$C$9*B$34+B$43+B$44+B$45)-IF(AND(MOD(K$56,$C$21)=0,K$56&lt;Rates!$D$71),B$34,0),0)</f>
        <v/>
      </c>
      <c r="L76" s="90">
        <f>IF(L$56&lt;=Rates!$D$71,B$33*8760*$C$19*$C$14*Connectivity!$C$13/Rates!$D$4*(1+$C$22)^MOD(L$56-1,$C$21)*L$65-('Compute-Revenue'!$B$23+$C$9*B$34+B$43+B$44+B$45)-IF(AND(MOD(L$56,$C$21)=0,L$56&lt;Rates!$D$71),B$34,0),0)</f>
        <v/>
      </c>
      <c r="M76" s="90">
        <f>IF(M$56&lt;=Rates!$D$71,B$33*8760*$C$19*$C$14*Connectivity!$C$13/Rates!$D$4*(1+$C$22)^MOD(M$56-1,$C$21)*M$65-('Compute-Revenue'!$B$23+$C$9*B$34+B$43+B$44+B$45)-IF(AND(MOD(M$56,$C$21)=0,M$56&lt;Rates!$D$71),B$34,0),0)</f>
        <v/>
      </c>
      <c r="N76" s="90">
        <f>IF(N$56&lt;=Rates!$D$71,B$33*8760*$C$19*$C$14*Connectivity!$C$13/Rates!$D$4*(1+$C$22)^MOD(N$56-1,$C$21)*N$65-('Compute-Revenue'!$B$23+$C$9*B$34+B$43+B$44+B$45)-IF(AND(MOD(N$56,$C$21)=0,N$56&lt;Rates!$D$71),B$34,0),0)</f>
        <v/>
      </c>
      <c r="O76" s="90">
        <f>IF(O$56&lt;=Rates!$D$71,B$33*8760*$C$19*$C$14*Connectivity!$C$13/Rates!$D$4*(1+$C$22)^MOD(O$56-1,$C$21)*O$65-('Compute-Revenue'!$B$23+$C$9*B$34+B$43+B$44+B$45)-IF(AND(MOD(O$56,$C$21)=0,O$56&lt;Rates!$D$71),B$34,0),0)</f>
        <v/>
      </c>
      <c r="P76" s="90">
        <f>IF(P$56&lt;=Rates!$D$71,B$33*8760*$C$19*$C$14*Connectivity!$C$13/Rates!$D$4*(1+$C$22)^MOD(P$56-1,$C$21)*P$65-('Compute-Revenue'!$B$23+$C$9*B$34+B$43+B$44+B$45)-IF(AND(MOD(P$56,$C$21)=0,P$56&lt;Rates!$D$71),B$34,0),0)</f>
        <v/>
      </c>
      <c r="Q76" s="90">
        <f>IF(Q$56&lt;=Rates!$D$71,B$33*8760*$C$19*$C$14*Connectivity!$C$13/Rates!$D$4*(1+$C$22)^MOD(Q$56-1,$C$21)*Q$65-('Compute-Revenue'!$B$23+$C$9*B$34+B$43+B$44+B$45)-IF(AND(MOD(Q$56,$C$21)=0,Q$56&lt;Rates!$D$71),B$34,0),0)</f>
        <v/>
      </c>
      <c r="R76" s="90">
        <f>IF(R$56&lt;=Rates!$D$71,B$33*8760*$C$19*$C$14*Connectivity!$C$13/Rates!$D$4*(1+$C$22)^MOD(R$56-1,$C$21)*R$65-('Compute-Revenue'!$B$23+$C$9*B$34+B$43+B$44+B$45)-IF(AND(MOD(R$56,$C$21)=0,R$56&lt;Rates!$D$71),B$34,0),0)</f>
        <v/>
      </c>
      <c r="S76" s="90">
        <f>IF(S$56&lt;=Rates!$D$71,B$33*8760*$C$19*$C$14*Connectivity!$C$13/Rates!$D$4*(1+$C$22)^MOD(S$56-1,$C$21)*S$65-('Compute-Revenue'!$B$23+$C$9*B$34+B$43+B$44+B$45)-IF(AND(MOD(S$56,$C$21)=0,S$56&lt;Rates!$D$71),B$34,0),0)</f>
        <v/>
      </c>
      <c r="T76" s="90">
        <f>IF(T$56&lt;=Rates!$D$71,B$33*8760*$C$19*$C$14*Connectivity!$C$13/Rates!$D$4*(1+$C$22)^MOD(T$56-1,$C$21)*T$65-('Compute-Revenue'!$B$23+$C$9*B$34+B$43+B$44+B$45)-IF(AND(MOD(T$56,$C$21)=0,T$56&lt;Rates!$D$71),B$34,0),0)</f>
        <v/>
      </c>
      <c r="U76" s="90">
        <f>IF(U$56&lt;=Rates!$D$71,B$33*8760*$C$19*$C$14*Connectivity!$C$13/Rates!$D$4*(1+$C$22)^MOD(U$56-1,$C$21)*U$65-('Compute-Revenue'!$B$23+$C$9*B$34+B$43+B$44+B$45)-IF(AND(MOD(U$56,$C$21)=0,U$56&lt;Rates!$D$71),B$34,0),0)</f>
        <v/>
      </c>
      <c r="V76" s="90">
        <f>IF(V$56&lt;=Rates!$D$71,B$33*8760*$C$19*$C$14*Connectivity!$C$13/Rates!$D$4*(1+$C$22)^MOD(V$56-1,$C$21)*V$65-('Compute-Revenue'!$B$23+$C$9*B$34+B$43+B$44+B$45)-IF(AND(MOD(V$56,$C$21)=0,V$56&lt;Rates!$D$71),B$34,0),0)</f>
        <v/>
      </c>
      <c r="W76" s="90">
        <f>IF(W$56&lt;=Rates!$D$71,B$33*8760*$C$19*$C$14*Connectivity!$C$13/Rates!$D$4*(1+$C$22)^MOD(W$56-1,$C$21)*W$65-('Compute-Revenue'!$B$23+$C$9*B$34+B$43+B$44+B$45)-IF(AND(MOD(W$56,$C$21)=0,W$56&lt;Rates!$D$71),B$34,0),0)</f>
        <v/>
      </c>
      <c r="X76" s="90">
        <f>IF(X$56&lt;=Rates!$D$71,B$33*8760*$C$19*$C$14*Connectivity!$C$13/Rates!$D$4*(1+$C$22)^MOD(X$56-1,$C$21)*X$65-('Compute-Revenue'!$B$23+$C$9*B$34+B$43+B$44+B$45)-IF(AND(MOD(X$56,$C$21)=0,X$56&lt;Rates!$D$71),B$34,0),0)</f>
        <v/>
      </c>
      <c r="Y76" s="90">
        <f>IF(Y$56&lt;=Rates!$D$71,B$33*8760*$C$19*$C$14*Connectivity!$C$13/Rates!$D$4*(1+$C$22)^MOD(Y$56-1,$C$21)*Y$65-('Compute-Revenue'!$B$23+$C$9*B$34+B$43+B$44+B$45)-IF(AND(MOD(Y$56,$C$21)=0,Y$56&lt;Rates!$D$71),B$34,0),0)</f>
        <v/>
      </c>
      <c r="Z76" s="90">
        <f>IF(Z$56&lt;=Rates!$D$71,B$33*8760*$C$19*$C$14*Connectivity!$C$13/Rates!$D$4*(1+$C$22)^MOD(Z$56-1,$C$21)*Z$65-('Compute-Revenue'!$B$23+$C$9*B$34+B$43+B$44+B$45)-IF(AND(MOD(Z$56,$C$21)=0,Z$56&lt;Rates!$D$71),B$34,0),0)</f>
        <v/>
      </c>
      <c r="AA76" s="90">
        <f>IF(AA$56&lt;=Rates!$D$71,B$33*8760*$C$19*$C$14*Connectivity!$C$13/Rates!$D$4*(1+$C$22)^MOD(AA$56-1,$C$21)*AA$65-('Compute-Revenue'!$B$23+$C$9*B$34+B$43+B$44+B$45)-IF(AND(MOD(AA$56,$C$21)=0,AA$56&lt;Rates!$D$71),B$34,0),0)</f>
        <v/>
      </c>
      <c r="AB76" s="90">
        <f>IF(AB$56&lt;=Rates!$D$71,B$33*8760*$C$19*$C$14*Connectivity!$C$13/Rates!$D$4*(1+$C$22)^MOD(AB$56-1,$C$21)*AB$65-('Compute-Revenue'!$B$23+$C$9*B$34+B$43+B$44+B$45)-IF(AND(MOD(AB$56,$C$21)=0,AB$56&lt;Rates!$D$71),B$34,0),0)</f>
        <v/>
      </c>
    </row>
    <row r="77">
      <c r="A77" s="68" t="inlineStr">
        <is>
          <t>helper: p_low x u_high</t>
        </is>
      </c>
      <c r="C77" s="90">
        <f>-B$36</f>
        <v/>
      </c>
      <c r="D77" s="90">
        <f>IF(D$56&lt;=Rates!$D$71,B$33*8760*$C$20*$C$14*Connectivity!$C$13/Rates!$D$4*(1+$C$22)^MOD(D$56-1,$C$21)*D$65-('Compute-Revenue'!$B$23+$C$9*B$34+B$43+B$44+B$45)-IF(AND(MOD(D$56,$C$21)=0,D$56&lt;Rates!$D$71),B$34,0),0)</f>
        <v/>
      </c>
      <c r="E77" s="90">
        <f>IF(E$56&lt;=Rates!$D$71,B$33*8760*$C$20*$C$14*Connectivity!$C$13/Rates!$D$4*(1+$C$22)^MOD(E$56-1,$C$21)*E$65-('Compute-Revenue'!$B$23+$C$9*B$34+B$43+B$44+B$45)-IF(AND(MOD(E$56,$C$21)=0,E$56&lt;Rates!$D$71),B$34,0),0)</f>
        <v/>
      </c>
      <c r="F77" s="90">
        <f>IF(F$56&lt;=Rates!$D$71,B$33*8760*$C$20*$C$14*Connectivity!$C$13/Rates!$D$4*(1+$C$22)^MOD(F$56-1,$C$21)*F$65-('Compute-Revenue'!$B$23+$C$9*B$34+B$43+B$44+B$45)-IF(AND(MOD(F$56,$C$21)=0,F$56&lt;Rates!$D$71),B$34,0),0)</f>
        <v/>
      </c>
      <c r="G77" s="90">
        <f>IF(G$56&lt;=Rates!$D$71,B$33*8760*$C$20*$C$14*Connectivity!$C$13/Rates!$D$4*(1+$C$22)^MOD(G$56-1,$C$21)*G$65-('Compute-Revenue'!$B$23+$C$9*B$34+B$43+B$44+B$45)-IF(AND(MOD(G$56,$C$21)=0,G$56&lt;Rates!$D$71),B$34,0),0)</f>
        <v/>
      </c>
      <c r="H77" s="90">
        <f>IF(H$56&lt;=Rates!$D$71,B$33*8760*$C$20*$C$14*Connectivity!$C$13/Rates!$D$4*(1+$C$22)^MOD(H$56-1,$C$21)*H$65-('Compute-Revenue'!$B$23+$C$9*B$34+B$43+B$44+B$45)-IF(AND(MOD(H$56,$C$21)=0,H$56&lt;Rates!$D$71),B$34,0),0)</f>
        <v/>
      </c>
      <c r="I77" s="90">
        <f>IF(I$56&lt;=Rates!$D$71,B$33*8760*$C$20*$C$14*Connectivity!$C$13/Rates!$D$4*(1+$C$22)^MOD(I$56-1,$C$21)*I$65-('Compute-Revenue'!$B$23+$C$9*B$34+B$43+B$44+B$45)-IF(AND(MOD(I$56,$C$21)=0,I$56&lt;Rates!$D$71),B$34,0),0)</f>
        <v/>
      </c>
      <c r="J77" s="90">
        <f>IF(J$56&lt;=Rates!$D$71,B$33*8760*$C$20*$C$14*Connectivity!$C$13/Rates!$D$4*(1+$C$22)^MOD(J$56-1,$C$21)*J$65-('Compute-Revenue'!$B$23+$C$9*B$34+B$43+B$44+B$45)-IF(AND(MOD(J$56,$C$21)=0,J$56&lt;Rates!$D$71),B$34,0),0)</f>
        <v/>
      </c>
      <c r="K77" s="90">
        <f>IF(K$56&lt;=Rates!$D$71,B$33*8760*$C$20*$C$14*Connectivity!$C$13/Rates!$D$4*(1+$C$22)^MOD(K$56-1,$C$21)*K$65-('Compute-Revenue'!$B$23+$C$9*B$34+B$43+B$44+B$45)-IF(AND(MOD(K$56,$C$21)=0,K$56&lt;Rates!$D$71),B$34,0),0)</f>
        <v/>
      </c>
      <c r="L77" s="90">
        <f>IF(L$56&lt;=Rates!$D$71,B$33*8760*$C$20*$C$14*Connectivity!$C$13/Rates!$D$4*(1+$C$22)^MOD(L$56-1,$C$21)*L$65-('Compute-Revenue'!$B$23+$C$9*B$34+B$43+B$44+B$45)-IF(AND(MOD(L$56,$C$21)=0,L$56&lt;Rates!$D$71),B$34,0),0)</f>
        <v/>
      </c>
      <c r="M77" s="90">
        <f>IF(M$56&lt;=Rates!$D$71,B$33*8760*$C$20*$C$14*Connectivity!$C$13/Rates!$D$4*(1+$C$22)^MOD(M$56-1,$C$21)*M$65-('Compute-Revenue'!$B$23+$C$9*B$34+B$43+B$44+B$45)-IF(AND(MOD(M$56,$C$21)=0,M$56&lt;Rates!$D$71),B$34,0),0)</f>
        <v/>
      </c>
      <c r="N77" s="90">
        <f>IF(N$56&lt;=Rates!$D$71,B$33*8760*$C$20*$C$14*Connectivity!$C$13/Rates!$D$4*(1+$C$22)^MOD(N$56-1,$C$21)*N$65-('Compute-Revenue'!$B$23+$C$9*B$34+B$43+B$44+B$45)-IF(AND(MOD(N$56,$C$21)=0,N$56&lt;Rates!$D$71),B$34,0),0)</f>
        <v/>
      </c>
      <c r="O77" s="90">
        <f>IF(O$56&lt;=Rates!$D$71,B$33*8760*$C$20*$C$14*Connectivity!$C$13/Rates!$D$4*(1+$C$22)^MOD(O$56-1,$C$21)*O$65-('Compute-Revenue'!$B$23+$C$9*B$34+B$43+B$44+B$45)-IF(AND(MOD(O$56,$C$21)=0,O$56&lt;Rates!$D$71),B$34,0),0)</f>
        <v/>
      </c>
      <c r="P77" s="90">
        <f>IF(P$56&lt;=Rates!$D$71,B$33*8760*$C$20*$C$14*Connectivity!$C$13/Rates!$D$4*(1+$C$22)^MOD(P$56-1,$C$21)*P$65-('Compute-Revenue'!$B$23+$C$9*B$34+B$43+B$44+B$45)-IF(AND(MOD(P$56,$C$21)=0,P$56&lt;Rates!$D$71),B$34,0),0)</f>
        <v/>
      </c>
      <c r="Q77" s="90">
        <f>IF(Q$56&lt;=Rates!$D$71,B$33*8760*$C$20*$C$14*Connectivity!$C$13/Rates!$D$4*(1+$C$22)^MOD(Q$56-1,$C$21)*Q$65-('Compute-Revenue'!$B$23+$C$9*B$34+B$43+B$44+B$45)-IF(AND(MOD(Q$56,$C$21)=0,Q$56&lt;Rates!$D$71),B$34,0),0)</f>
        <v/>
      </c>
      <c r="R77" s="90">
        <f>IF(R$56&lt;=Rates!$D$71,B$33*8760*$C$20*$C$14*Connectivity!$C$13/Rates!$D$4*(1+$C$22)^MOD(R$56-1,$C$21)*R$65-('Compute-Revenue'!$B$23+$C$9*B$34+B$43+B$44+B$45)-IF(AND(MOD(R$56,$C$21)=0,R$56&lt;Rates!$D$71),B$34,0),0)</f>
        <v/>
      </c>
      <c r="S77" s="90">
        <f>IF(S$56&lt;=Rates!$D$71,B$33*8760*$C$20*$C$14*Connectivity!$C$13/Rates!$D$4*(1+$C$22)^MOD(S$56-1,$C$21)*S$65-('Compute-Revenue'!$B$23+$C$9*B$34+B$43+B$44+B$45)-IF(AND(MOD(S$56,$C$21)=0,S$56&lt;Rates!$D$71),B$34,0),0)</f>
        <v/>
      </c>
      <c r="T77" s="90">
        <f>IF(T$56&lt;=Rates!$D$71,B$33*8760*$C$20*$C$14*Connectivity!$C$13/Rates!$D$4*(1+$C$22)^MOD(T$56-1,$C$21)*T$65-('Compute-Revenue'!$B$23+$C$9*B$34+B$43+B$44+B$45)-IF(AND(MOD(T$56,$C$21)=0,T$56&lt;Rates!$D$71),B$34,0),0)</f>
        <v/>
      </c>
      <c r="U77" s="90">
        <f>IF(U$56&lt;=Rates!$D$71,B$33*8760*$C$20*$C$14*Connectivity!$C$13/Rates!$D$4*(1+$C$22)^MOD(U$56-1,$C$21)*U$65-('Compute-Revenue'!$B$23+$C$9*B$34+B$43+B$44+B$45)-IF(AND(MOD(U$56,$C$21)=0,U$56&lt;Rates!$D$71),B$34,0),0)</f>
        <v/>
      </c>
      <c r="V77" s="90">
        <f>IF(V$56&lt;=Rates!$D$71,B$33*8760*$C$20*$C$14*Connectivity!$C$13/Rates!$D$4*(1+$C$22)^MOD(V$56-1,$C$21)*V$65-('Compute-Revenue'!$B$23+$C$9*B$34+B$43+B$44+B$45)-IF(AND(MOD(V$56,$C$21)=0,V$56&lt;Rates!$D$71),B$34,0),0)</f>
        <v/>
      </c>
      <c r="W77" s="90">
        <f>IF(W$56&lt;=Rates!$D$71,B$33*8760*$C$20*$C$14*Connectivity!$C$13/Rates!$D$4*(1+$C$22)^MOD(W$56-1,$C$21)*W$65-('Compute-Revenue'!$B$23+$C$9*B$34+B$43+B$44+B$45)-IF(AND(MOD(W$56,$C$21)=0,W$56&lt;Rates!$D$71),B$34,0),0)</f>
        <v/>
      </c>
      <c r="X77" s="90">
        <f>IF(X$56&lt;=Rates!$D$71,B$33*8760*$C$20*$C$14*Connectivity!$C$13/Rates!$D$4*(1+$C$22)^MOD(X$56-1,$C$21)*X$65-('Compute-Revenue'!$B$23+$C$9*B$34+B$43+B$44+B$45)-IF(AND(MOD(X$56,$C$21)=0,X$56&lt;Rates!$D$71),B$34,0),0)</f>
        <v/>
      </c>
      <c r="Y77" s="90">
        <f>IF(Y$56&lt;=Rates!$D$71,B$33*8760*$C$20*$C$14*Connectivity!$C$13/Rates!$D$4*(1+$C$22)^MOD(Y$56-1,$C$21)*Y$65-('Compute-Revenue'!$B$23+$C$9*B$34+B$43+B$44+B$45)-IF(AND(MOD(Y$56,$C$21)=0,Y$56&lt;Rates!$D$71),B$34,0),0)</f>
        <v/>
      </c>
      <c r="Z77" s="90">
        <f>IF(Z$56&lt;=Rates!$D$71,B$33*8760*$C$20*$C$14*Connectivity!$C$13/Rates!$D$4*(1+$C$22)^MOD(Z$56-1,$C$21)*Z$65-('Compute-Revenue'!$B$23+$C$9*B$34+B$43+B$44+B$45)-IF(AND(MOD(Z$56,$C$21)=0,Z$56&lt;Rates!$D$71),B$34,0),0)</f>
        <v/>
      </c>
      <c r="AA77" s="90">
        <f>IF(AA$56&lt;=Rates!$D$71,B$33*8760*$C$20*$C$14*Connectivity!$C$13/Rates!$D$4*(1+$C$22)^MOD(AA$56-1,$C$21)*AA$65-('Compute-Revenue'!$B$23+$C$9*B$34+B$43+B$44+B$45)-IF(AND(MOD(AA$56,$C$21)=0,AA$56&lt;Rates!$D$71),B$34,0),0)</f>
        <v/>
      </c>
      <c r="AB77" s="90">
        <f>IF(AB$56&lt;=Rates!$D$71,B$33*8760*$C$20*$C$14*Connectivity!$C$13/Rates!$D$4*(1+$C$22)^MOD(AB$56-1,$C$21)*AB$65-('Compute-Revenue'!$B$23+$C$9*B$34+B$43+B$44+B$45)-IF(AND(MOD(AB$56,$C$21)=0,AB$56&lt;Rates!$D$71),B$34,0),0)</f>
        <v/>
      </c>
    </row>
    <row r="78">
      <c r="A78" s="68" t="inlineStr">
        <is>
          <t>helper: p_base x u_low</t>
        </is>
      </c>
      <c r="C78" s="90">
        <f>-B$36</f>
        <v/>
      </c>
      <c r="D78" s="90">
        <f>IF(D$56&lt;=Rates!$D$71,B$33*8760*$C$18*$C$15*Connectivity!$C$13/Rates!$D$4*(1+$C$22)^MOD(D$56-1,$C$21)*D$65-('Compute-Revenue'!$B$23+$C$9*B$34+B$43+B$44+B$45)-IF(AND(MOD(D$56,$C$21)=0,D$56&lt;Rates!$D$71),B$34,0),0)</f>
        <v/>
      </c>
      <c r="E78" s="90">
        <f>IF(E$56&lt;=Rates!$D$71,B$33*8760*$C$18*$C$15*Connectivity!$C$13/Rates!$D$4*(1+$C$22)^MOD(E$56-1,$C$21)*E$65-('Compute-Revenue'!$B$23+$C$9*B$34+B$43+B$44+B$45)-IF(AND(MOD(E$56,$C$21)=0,E$56&lt;Rates!$D$71),B$34,0),0)</f>
        <v/>
      </c>
      <c r="F78" s="90">
        <f>IF(F$56&lt;=Rates!$D$71,B$33*8760*$C$18*$C$15*Connectivity!$C$13/Rates!$D$4*(1+$C$22)^MOD(F$56-1,$C$21)*F$65-('Compute-Revenue'!$B$23+$C$9*B$34+B$43+B$44+B$45)-IF(AND(MOD(F$56,$C$21)=0,F$56&lt;Rates!$D$71),B$34,0),0)</f>
        <v/>
      </c>
      <c r="G78" s="90">
        <f>IF(G$56&lt;=Rates!$D$71,B$33*8760*$C$18*$C$15*Connectivity!$C$13/Rates!$D$4*(1+$C$22)^MOD(G$56-1,$C$21)*G$65-('Compute-Revenue'!$B$23+$C$9*B$34+B$43+B$44+B$45)-IF(AND(MOD(G$56,$C$21)=0,G$56&lt;Rates!$D$71),B$34,0),0)</f>
        <v/>
      </c>
      <c r="H78" s="90">
        <f>IF(H$56&lt;=Rates!$D$71,B$33*8760*$C$18*$C$15*Connectivity!$C$13/Rates!$D$4*(1+$C$22)^MOD(H$56-1,$C$21)*H$65-('Compute-Revenue'!$B$23+$C$9*B$34+B$43+B$44+B$45)-IF(AND(MOD(H$56,$C$21)=0,H$56&lt;Rates!$D$71),B$34,0),0)</f>
        <v/>
      </c>
      <c r="I78" s="90">
        <f>IF(I$56&lt;=Rates!$D$71,B$33*8760*$C$18*$C$15*Connectivity!$C$13/Rates!$D$4*(1+$C$22)^MOD(I$56-1,$C$21)*I$65-('Compute-Revenue'!$B$23+$C$9*B$34+B$43+B$44+B$45)-IF(AND(MOD(I$56,$C$21)=0,I$56&lt;Rates!$D$71),B$34,0),0)</f>
        <v/>
      </c>
      <c r="J78" s="90">
        <f>IF(J$56&lt;=Rates!$D$71,B$33*8760*$C$18*$C$15*Connectivity!$C$13/Rates!$D$4*(1+$C$22)^MOD(J$56-1,$C$21)*J$65-('Compute-Revenue'!$B$23+$C$9*B$34+B$43+B$44+B$45)-IF(AND(MOD(J$56,$C$21)=0,J$56&lt;Rates!$D$71),B$34,0),0)</f>
        <v/>
      </c>
      <c r="K78" s="90">
        <f>IF(K$56&lt;=Rates!$D$71,B$33*8760*$C$18*$C$15*Connectivity!$C$13/Rates!$D$4*(1+$C$22)^MOD(K$56-1,$C$21)*K$65-('Compute-Revenue'!$B$23+$C$9*B$34+B$43+B$44+B$45)-IF(AND(MOD(K$56,$C$21)=0,K$56&lt;Rates!$D$71),B$34,0),0)</f>
        <v/>
      </c>
      <c r="L78" s="90">
        <f>IF(L$56&lt;=Rates!$D$71,B$33*8760*$C$18*$C$15*Connectivity!$C$13/Rates!$D$4*(1+$C$22)^MOD(L$56-1,$C$21)*L$65-('Compute-Revenue'!$B$23+$C$9*B$34+B$43+B$44+B$45)-IF(AND(MOD(L$56,$C$21)=0,L$56&lt;Rates!$D$71),B$34,0),0)</f>
        <v/>
      </c>
      <c r="M78" s="90">
        <f>IF(M$56&lt;=Rates!$D$71,B$33*8760*$C$18*$C$15*Connectivity!$C$13/Rates!$D$4*(1+$C$22)^MOD(M$56-1,$C$21)*M$65-('Compute-Revenue'!$B$23+$C$9*B$34+B$43+B$44+B$45)-IF(AND(MOD(M$56,$C$21)=0,M$56&lt;Rates!$D$71),B$34,0),0)</f>
        <v/>
      </c>
      <c r="N78" s="90">
        <f>IF(N$56&lt;=Rates!$D$71,B$33*8760*$C$18*$C$15*Connectivity!$C$13/Rates!$D$4*(1+$C$22)^MOD(N$56-1,$C$21)*N$65-('Compute-Revenue'!$B$23+$C$9*B$34+B$43+B$44+B$45)-IF(AND(MOD(N$56,$C$21)=0,N$56&lt;Rates!$D$71),B$34,0),0)</f>
        <v/>
      </c>
      <c r="O78" s="90">
        <f>IF(O$56&lt;=Rates!$D$71,B$33*8760*$C$18*$C$15*Connectivity!$C$13/Rates!$D$4*(1+$C$22)^MOD(O$56-1,$C$21)*O$65-('Compute-Revenue'!$B$23+$C$9*B$34+B$43+B$44+B$45)-IF(AND(MOD(O$56,$C$21)=0,O$56&lt;Rates!$D$71),B$34,0),0)</f>
        <v/>
      </c>
      <c r="P78" s="90">
        <f>IF(P$56&lt;=Rates!$D$71,B$33*8760*$C$18*$C$15*Connectivity!$C$13/Rates!$D$4*(1+$C$22)^MOD(P$56-1,$C$21)*P$65-('Compute-Revenue'!$B$23+$C$9*B$34+B$43+B$44+B$45)-IF(AND(MOD(P$56,$C$21)=0,P$56&lt;Rates!$D$71),B$34,0),0)</f>
        <v/>
      </c>
      <c r="Q78" s="90">
        <f>IF(Q$56&lt;=Rates!$D$71,B$33*8760*$C$18*$C$15*Connectivity!$C$13/Rates!$D$4*(1+$C$22)^MOD(Q$56-1,$C$21)*Q$65-('Compute-Revenue'!$B$23+$C$9*B$34+B$43+B$44+B$45)-IF(AND(MOD(Q$56,$C$21)=0,Q$56&lt;Rates!$D$71),B$34,0),0)</f>
        <v/>
      </c>
      <c r="R78" s="90">
        <f>IF(R$56&lt;=Rates!$D$71,B$33*8760*$C$18*$C$15*Connectivity!$C$13/Rates!$D$4*(1+$C$22)^MOD(R$56-1,$C$21)*R$65-('Compute-Revenue'!$B$23+$C$9*B$34+B$43+B$44+B$45)-IF(AND(MOD(R$56,$C$21)=0,R$56&lt;Rates!$D$71),B$34,0),0)</f>
        <v/>
      </c>
      <c r="S78" s="90">
        <f>IF(S$56&lt;=Rates!$D$71,B$33*8760*$C$18*$C$15*Connectivity!$C$13/Rates!$D$4*(1+$C$22)^MOD(S$56-1,$C$21)*S$65-('Compute-Revenue'!$B$23+$C$9*B$34+B$43+B$44+B$45)-IF(AND(MOD(S$56,$C$21)=0,S$56&lt;Rates!$D$71),B$34,0),0)</f>
        <v/>
      </c>
      <c r="T78" s="90">
        <f>IF(T$56&lt;=Rates!$D$71,B$33*8760*$C$18*$C$15*Connectivity!$C$13/Rates!$D$4*(1+$C$22)^MOD(T$56-1,$C$21)*T$65-('Compute-Revenue'!$B$23+$C$9*B$34+B$43+B$44+B$45)-IF(AND(MOD(T$56,$C$21)=0,T$56&lt;Rates!$D$71),B$34,0),0)</f>
        <v/>
      </c>
      <c r="U78" s="90">
        <f>IF(U$56&lt;=Rates!$D$71,B$33*8760*$C$18*$C$15*Connectivity!$C$13/Rates!$D$4*(1+$C$22)^MOD(U$56-1,$C$21)*U$65-('Compute-Revenue'!$B$23+$C$9*B$34+B$43+B$44+B$45)-IF(AND(MOD(U$56,$C$21)=0,U$56&lt;Rates!$D$71),B$34,0),0)</f>
        <v/>
      </c>
      <c r="V78" s="90">
        <f>IF(V$56&lt;=Rates!$D$71,B$33*8760*$C$18*$C$15*Connectivity!$C$13/Rates!$D$4*(1+$C$22)^MOD(V$56-1,$C$21)*V$65-('Compute-Revenue'!$B$23+$C$9*B$34+B$43+B$44+B$45)-IF(AND(MOD(V$56,$C$21)=0,V$56&lt;Rates!$D$71),B$34,0),0)</f>
        <v/>
      </c>
      <c r="W78" s="90">
        <f>IF(W$56&lt;=Rates!$D$71,B$33*8760*$C$18*$C$15*Connectivity!$C$13/Rates!$D$4*(1+$C$22)^MOD(W$56-1,$C$21)*W$65-('Compute-Revenue'!$B$23+$C$9*B$34+B$43+B$44+B$45)-IF(AND(MOD(W$56,$C$21)=0,W$56&lt;Rates!$D$71),B$34,0),0)</f>
        <v/>
      </c>
      <c r="X78" s="90">
        <f>IF(X$56&lt;=Rates!$D$71,B$33*8760*$C$18*$C$15*Connectivity!$C$13/Rates!$D$4*(1+$C$22)^MOD(X$56-1,$C$21)*X$65-('Compute-Revenue'!$B$23+$C$9*B$34+B$43+B$44+B$45)-IF(AND(MOD(X$56,$C$21)=0,X$56&lt;Rates!$D$71),B$34,0),0)</f>
        <v/>
      </c>
      <c r="Y78" s="90">
        <f>IF(Y$56&lt;=Rates!$D$71,B$33*8760*$C$18*$C$15*Connectivity!$C$13/Rates!$D$4*(1+$C$22)^MOD(Y$56-1,$C$21)*Y$65-('Compute-Revenue'!$B$23+$C$9*B$34+B$43+B$44+B$45)-IF(AND(MOD(Y$56,$C$21)=0,Y$56&lt;Rates!$D$71),B$34,0),0)</f>
        <v/>
      </c>
      <c r="Z78" s="90">
        <f>IF(Z$56&lt;=Rates!$D$71,B$33*8760*$C$18*$C$15*Connectivity!$C$13/Rates!$D$4*(1+$C$22)^MOD(Z$56-1,$C$21)*Z$65-('Compute-Revenue'!$B$23+$C$9*B$34+B$43+B$44+B$45)-IF(AND(MOD(Z$56,$C$21)=0,Z$56&lt;Rates!$D$71),B$34,0),0)</f>
        <v/>
      </c>
      <c r="AA78" s="90">
        <f>IF(AA$56&lt;=Rates!$D$71,B$33*8760*$C$18*$C$15*Connectivity!$C$13/Rates!$D$4*(1+$C$22)^MOD(AA$56-1,$C$21)*AA$65-('Compute-Revenue'!$B$23+$C$9*B$34+B$43+B$44+B$45)-IF(AND(MOD(AA$56,$C$21)=0,AA$56&lt;Rates!$D$71),B$34,0),0)</f>
        <v/>
      </c>
      <c r="AB78" s="90">
        <f>IF(AB$56&lt;=Rates!$D$71,B$33*8760*$C$18*$C$15*Connectivity!$C$13/Rates!$D$4*(1+$C$22)^MOD(AB$56-1,$C$21)*AB$65-('Compute-Revenue'!$B$23+$C$9*B$34+B$43+B$44+B$45)-IF(AND(MOD(AB$56,$C$21)=0,AB$56&lt;Rates!$D$71),B$34,0),0)</f>
        <v/>
      </c>
    </row>
    <row r="79">
      <c r="A79" s="68" t="inlineStr">
        <is>
          <t>helper: p_base x u_base</t>
        </is>
      </c>
      <c r="C79" s="90">
        <f>-B$36</f>
        <v/>
      </c>
      <c r="D79" s="90">
        <f>IF(D$56&lt;=Rates!$D$71,B$33*8760*$C$19*$C$15*Connectivity!$C$13/Rates!$D$4*(1+$C$22)^MOD(D$56-1,$C$21)*D$65-('Compute-Revenue'!$B$23+$C$9*B$34+B$43+B$44+B$45)-IF(AND(MOD(D$56,$C$21)=0,D$56&lt;Rates!$D$71),B$34,0),0)</f>
        <v/>
      </c>
      <c r="E79" s="90">
        <f>IF(E$56&lt;=Rates!$D$71,B$33*8760*$C$19*$C$15*Connectivity!$C$13/Rates!$D$4*(1+$C$22)^MOD(E$56-1,$C$21)*E$65-('Compute-Revenue'!$B$23+$C$9*B$34+B$43+B$44+B$45)-IF(AND(MOD(E$56,$C$21)=0,E$56&lt;Rates!$D$71),B$34,0),0)</f>
        <v/>
      </c>
      <c r="F79" s="90">
        <f>IF(F$56&lt;=Rates!$D$71,B$33*8760*$C$19*$C$15*Connectivity!$C$13/Rates!$D$4*(1+$C$22)^MOD(F$56-1,$C$21)*F$65-('Compute-Revenue'!$B$23+$C$9*B$34+B$43+B$44+B$45)-IF(AND(MOD(F$56,$C$21)=0,F$56&lt;Rates!$D$71),B$34,0),0)</f>
        <v/>
      </c>
      <c r="G79" s="90">
        <f>IF(G$56&lt;=Rates!$D$71,B$33*8760*$C$19*$C$15*Connectivity!$C$13/Rates!$D$4*(1+$C$22)^MOD(G$56-1,$C$21)*G$65-('Compute-Revenue'!$B$23+$C$9*B$34+B$43+B$44+B$45)-IF(AND(MOD(G$56,$C$21)=0,G$56&lt;Rates!$D$71),B$34,0),0)</f>
        <v/>
      </c>
      <c r="H79" s="90">
        <f>IF(H$56&lt;=Rates!$D$71,B$33*8760*$C$19*$C$15*Connectivity!$C$13/Rates!$D$4*(1+$C$22)^MOD(H$56-1,$C$21)*H$65-('Compute-Revenue'!$B$23+$C$9*B$34+B$43+B$44+B$45)-IF(AND(MOD(H$56,$C$21)=0,H$56&lt;Rates!$D$71),B$34,0),0)</f>
        <v/>
      </c>
      <c r="I79" s="90">
        <f>IF(I$56&lt;=Rates!$D$71,B$33*8760*$C$19*$C$15*Connectivity!$C$13/Rates!$D$4*(1+$C$22)^MOD(I$56-1,$C$21)*I$65-('Compute-Revenue'!$B$23+$C$9*B$34+B$43+B$44+B$45)-IF(AND(MOD(I$56,$C$21)=0,I$56&lt;Rates!$D$71),B$34,0),0)</f>
        <v/>
      </c>
      <c r="J79" s="90">
        <f>IF(J$56&lt;=Rates!$D$71,B$33*8760*$C$19*$C$15*Connectivity!$C$13/Rates!$D$4*(1+$C$22)^MOD(J$56-1,$C$21)*J$65-('Compute-Revenue'!$B$23+$C$9*B$34+B$43+B$44+B$45)-IF(AND(MOD(J$56,$C$21)=0,J$56&lt;Rates!$D$71),B$34,0),0)</f>
        <v/>
      </c>
      <c r="K79" s="90">
        <f>IF(K$56&lt;=Rates!$D$71,B$33*8760*$C$19*$C$15*Connectivity!$C$13/Rates!$D$4*(1+$C$22)^MOD(K$56-1,$C$21)*K$65-('Compute-Revenue'!$B$23+$C$9*B$34+B$43+B$44+B$45)-IF(AND(MOD(K$56,$C$21)=0,K$56&lt;Rates!$D$71),B$34,0),0)</f>
        <v/>
      </c>
      <c r="L79" s="90">
        <f>IF(L$56&lt;=Rates!$D$71,B$33*8760*$C$19*$C$15*Connectivity!$C$13/Rates!$D$4*(1+$C$22)^MOD(L$56-1,$C$21)*L$65-('Compute-Revenue'!$B$23+$C$9*B$34+B$43+B$44+B$45)-IF(AND(MOD(L$56,$C$21)=0,L$56&lt;Rates!$D$71),B$34,0),0)</f>
        <v/>
      </c>
      <c r="M79" s="90">
        <f>IF(M$56&lt;=Rates!$D$71,B$33*8760*$C$19*$C$15*Connectivity!$C$13/Rates!$D$4*(1+$C$22)^MOD(M$56-1,$C$21)*M$65-('Compute-Revenue'!$B$23+$C$9*B$34+B$43+B$44+B$45)-IF(AND(MOD(M$56,$C$21)=0,M$56&lt;Rates!$D$71),B$34,0),0)</f>
        <v/>
      </c>
      <c r="N79" s="90">
        <f>IF(N$56&lt;=Rates!$D$71,B$33*8760*$C$19*$C$15*Connectivity!$C$13/Rates!$D$4*(1+$C$22)^MOD(N$56-1,$C$21)*N$65-('Compute-Revenue'!$B$23+$C$9*B$34+B$43+B$44+B$45)-IF(AND(MOD(N$56,$C$21)=0,N$56&lt;Rates!$D$71),B$34,0),0)</f>
        <v/>
      </c>
      <c r="O79" s="90">
        <f>IF(O$56&lt;=Rates!$D$71,B$33*8760*$C$19*$C$15*Connectivity!$C$13/Rates!$D$4*(1+$C$22)^MOD(O$56-1,$C$21)*O$65-('Compute-Revenue'!$B$23+$C$9*B$34+B$43+B$44+B$45)-IF(AND(MOD(O$56,$C$21)=0,O$56&lt;Rates!$D$71),B$34,0),0)</f>
        <v/>
      </c>
      <c r="P79" s="90">
        <f>IF(P$56&lt;=Rates!$D$71,B$33*8760*$C$19*$C$15*Connectivity!$C$13/Rates!$D$4*(1+$C$22)^MOD(P$56-1,$C$21)*P$65-('Compute-Revenue'!$B$23+$C$9*B$34+B$43+B$44+B$45)-IF(AND(MOD(P$56,$C$21)=0,P$56&lt;Rates!$D$71),B$34,0),0)</f>
        <v/>
      </c>
      <c r="Q79" s="90">
        <f>IF(Q$56&lt;=Rates!$D$71,B$33*8760*$C$19*$C$15*Connectivity!$C$13/Rates!$D$4*(1+$C$22)^MOD(Q$56-1,$C$21)*Q$65-('Compute-Revenue'!$B$23+$C$9*B$34+B$43+B$44+B$45)-IF(AND(MOD(Q$56,$C$21)=0,Q$56&lt;Rates!$D$71),B$34,0),0)</f>
        <v/>
      </c>
      <c r="R79" s="90">
        <f>IF(R$56&lt;=Rates!$D$71,B$33*8760*$C$19*$C$15*Connectivity!$C$13/Rates!$D$4*(1+$C$22)^MOD(R$56-1,$C$21)*R$65-('Compute-Revenue'!$B$23+$C$9*B$34+B$43+B$44+B$45)-IF(AND(MOD(R$56,$C$21)=0,R$56&lt;Rates!$D$71),B$34,0),0)</f>
        <v/>
      </c>
      <c r="S79" s="90">
        <f>IF(S$56&lt;=Rates!$D$71,B$33*8760*$C$19*$C$15*Connectivity!$C$13/Rates!$D$4*(1+$C$22)^MOD(S$56-1,$C$21)*S$65-('Compute-Revenue'!$B$23+$C$9*B$34+B$43+B$44+B$45)-IF(AND(MOD(S$56,$C$21)=0,S$56&lt;Rates!$D$71),B$34,0),0)</f>
        <v/>
      </c>
      <c r="T79" s="90">
        <f>IF(T$56&lt;=Rates!$D$71,B$33*8760*$C$19*$C$15*Connectivity!$C$13/Rates!$D$4*(1+$C$22)^MOD(T$56-1,$C$21)*T$65-('Compute-Revenue'!$B$23+$C$9*B$34+B$43+B$44+B$45)-IF(AND(MOD(T$56,$C$21)=0,T$56&lt;Rates!$D$71),B$34,0),0)</f>
        <v/>
      </c>
      <c r="U79" s="90">
        <f>IF(U$56&lt;=Rates!$D$71,B$33*8760*$C$19*$C$15*Connectivity!$C$13/Rates!$D$4*(1+$C$22)^MOD(U$56-1,$C$21)*U$65-('Compute-Revenue'!$B$23+$C$9*B$34+B$43+B$44+B$45)-IF(AND(MOD(U$56,$C$21)=0,U$56&lt;Rates!$D$71),B$34,0),0)</f>
        <v/>
      </c>
      <c r="V79" s="90">
        <f>IF(V$56&lt;=Rates!$D$71,B$33*8760*$C$19*$C$15*Connectivity!$C$13/Rates!$D$4*(1+$C$22)^MOD(V$56-1,$C$21)*V$65-('Compute-Revenue'!$B$23+$C$9*B$34+B$43+B$44+B$45)-IF(AND(MOD(V$56,$C$21)=0,V$56&lt;Rates!$D$71),B$34,0),0)</f>
        <v/>
      </c>
      <c r="W79" s="90">
        <f>IF(W$56&lt;=Rates!$D$71,B$33*8760*$C$19*$C$15*Connectivity!$C$13/Rates!$D$4*(1+$C$22)^MOD(W$56-1,$C$21)*W$65-('Compute-Revenue'!$B$23+$C$9*B$34+B$43+B$44+B$45)-IF(AND(MOD(W$56,$C$21)=0,W$56&lt;Rates!$D$71),B$34,0),0)</f>
        <v/>
      </c>
      <c r="X79" s="90">
        <f>IF(X$56&lt;=Rates!$D$71,B$33*8760*$C$19*$C$15*Connectivity!$C$13/Rates!$D$4*(1+$C$22)^MOD(X$56-1,$C$21)*X$65-('Compute-Revenue'!$B$23+$C$9*B$34+B$43+B$44+B$45)-IF(AND(MOD(X$56,$C$21)=0,X$56&lt;Rates!$D$71),B$34,0),0)</f>
        <v/>
      </c>
      <c r="Y79" s="90">
        <f>IF(Y$56&lt;=Rates!$D$71,B$33*8760*$C$19*$C$15*Connectivity!$C$13/Rates!$D$4*(1+$C$22)^MOD(Y$56-1,$C$21)*Y$65-('Compute-Revenue'!$B$23+$C$9*B$34+B$43+B$44+B$45)-IF(AND(MOD(Y$56,$C$21)=0,Y$56&lt;Rates!$D$71),B$34,0),0)</f>
        <v/>
      </c>
      <c r="Z79" s="90">
        <f>IF(Z$56&lt;=Rates!$D$71,B$33*8760*$C$19*$C$15*Connectivity!$C$13/Rates!$D$4*(1+$C$22)^MOD(Z$56-1,$C$21)*Z$65-('Compute-Revenue'!$B$23+$C$9*B$34+B$43+B$44+B$45)-IF(AND(MOD(Z$56,$C$21)=0,Z$56&lt;Rates!$D$71),B$34,0),0)</f>
        <v/>
      </c>
      <c r="AA79" s="90">
        <f>IF(AA$56&lt;=Rates!$D$71,B$33*8760*$C$19*$C$15*Connectivity!$C$13/Rates!$D$4*(1+$C$22)^MOD(AA$56-1,$C$21)*AA$65-('Compute-Revenue'!$B$23+$C$9*B$34+B$43+B$44+B$45)-IF(AND(MOD(AA$56,$C$21)=0,AA$56&lt;Rates!$D$71),B$34,0),0)</f>
        <v/>
      </c>
      <c r="AB79" s="90">
        <f>IF(AB$56&lt;=Rates!$D$71,B$33*8760*$C$19*$C$15*Connectivity!$C$13/Rates!$D$4*(1+$C$22)^MOD(AB$56-1,$C$21)*AB$65-('Compute-Revenue'!$B$23+$C$9*B$34+B$43+B$44+B$45)-IF(AND(MOD(AB$56,$C$21)=0,AB$56&lt;Rates!$D$71),B$34,0),0)</f>
        <v/>
      </c>
    </row>
    <row r="80">
      <c r="A80" s="68" t="inlineStr">
        <is>
          <t>helper: p_base x u_high</t>
        </is>
      </c>
      <c r="C80" s="90">
        <f>-B$36</f>
        <v/>
      </c>
      <c r="D80" s="90">
        <f>IF(D$56&lt;=Rates!$D$71,B$33*8760*$C$20*$C$15*Connectivity!$C$13/Rates!$D$4*(1+$C$22)^MOD(D$56-1,$C$21)*D$65-('Compute-Revenue'!$B$23+$C$9*B$34+B$43+B$44+B$45)-IF(AND(MOD(D$56,$C$21)=0,D$56&lt;Rates!$D$71),B$34,0),0)</f>
        <v/>
      </c>
      <c r="E80" s="90">
        <f>IF(E$56&lt;=Rates!$D$71,B$33*8760*$C$20*$C$15*Connectivity!$C$13/Rates!$D$4*(1+$C$22)^MOD(E$56-1,$C$21)*E$65-('Compute-Revenue'!$B$23+$C$9*B$34+B$43+B$44+B$45)-IF(AND(MOD(E$56,$C$21)=0,E$56&lt;Rates!$D$71),B$34,0),0)</f>
        <v/>
      </c>
      <c r="F80" s="90">
        <f>IF(F$56&lt;=Rates!$D$71,B$33*8760*$C$20*$C$15*Connectivity!$C$13/Rates!$D$4*(1+$C$22)^MOD(F$56-1,$C$21)*F$65-('Compute-Revenue'!$B$23+$C$9*B$34+B$43+B$44+B$45)-IF(AND(MOD(F$56,$C$21)=0,F$56&lt;Rates!$D$71),B$34,0),0)</f>
        <v/>
      </c>
      <c r="G80" s="90">
        <f>IF(G$56&lt;=Rates!$D$71,B$33*8760*$C$20*$C$15*Connectivity!$C$13/Rates!$D$4*(1+$C$22)^MOD(G$56-1,$C$21)*G$65-('Compute-Revenue'!$B$23+$C$9*B$34+B$43+B$44+B$45)-IF(AND(MOD(G$56,$C$21)=0,G$56&lt;Rates!$D$71),B$34,0),0)</f>
        <v/>
      </c>
      <c r="H80" s="90">
        <f>IF(H$56&lt;=Rates!$D$71,B$33*8760*$C$20*$C$15*Connectivity!$C$13/Rates!$D$4*(1+$C$22)^MOD(H$56-1,$C$21)*H$65-('Compute-Revenue'!$B$23+$C$9*B$34+B$43+B$44+B$45)-IF(AND(MOD(H$56,$C$21)=0,H$56&lt;Rates!$D$71),B$34,0),0)</f>
        <v/>
      </c>
      <c r="I80" s="90">
        <f>IF(I$56&lt;=Rates!$D$71,B$33*8760*$C$20*$C$15*Connectivity!$C$13/Rates!$D$4*(1+$C$22)^MOD(I$56-1,$C$21)*I$65-('Compute-Revenue'!$B$23+$C$9*B$34+B$43+B$44+B$45)-IF(AND(MOD(I$56,$C$21)=0,I$56&lt;Rates!$D$71),B$34,0),0)</f>
        <v/>
      </c>
      <c r="J80" s="90">
        <f>IF(J$56&lt;=Rates!$D$71,B$33*8760*$C$20*$C$15*Connectivity!$C$13/Rates!$D$4*(1+$C$22)^MOD(J$56-1,$C$21)*J$65-('Compute-Revenue'!$B$23+$C$9*B$34+B$43+B$44+B$45)-IF(AND(MOD(J$56,$C$21)=0,J$56&lt;Rates!$D$71),B$34,0),0)</f>
        <v/>
      </c>
      <c r="K80" s="90">
        <f>IF(K$56&lt;=Rates!$D$71,B$33*8760*$C$20*$C$15*Connectivity!$C$13/Rates!$D$4*(1+$C$22)^MOD(K$56-1,$C$21)*K$65-('Compute-Revenue'!$B$23+$C$9*B$34+B$43+B$44+B$45)-IF(AND(MOD(K$56,$C$21)=0,K$56&lt;Rates!$D$71),B$34,0),0)</f>
        <v/>
      </c>
      <c r="L80" s="90">
        <f>IF(L$56&lt;=Rates!$D$71,B$33*8760*$C$20*$C$15*Connectivity!$C$13/Rates!$D$4*(1+$C$22)^MOD(L$56-1,$C$21)*L$65-('Compute-Revenue'!$B$23+$C$9*B$34+B$43+B$44+B$45)-IF(AND(MOD(L$56,$C$21)=0,L$56&lt;Rates!$D$71),B$34,0),0)</f>
        <v/>
      </c>
      <c r="M80" s="90">
        <f>IF(M$56&lt;=Rates!$D$71,B$33*8760*$C$20*$C$15*Connectivity!$C$13/Rates!$D$4*(1+$C$22)^MOD(M$56-1,$C$21)*M$65-('Compute-Revenue'!$B$23+$C$9*B$34+B$43+B$44+B$45)-IF(AND(MOD(M$56,$C$21)=0,M$56&lt;Rates!$D$71),B$34,0),0)</f>
        <v/>
      </c>
      <c r="N80" s="90">
        <f>IF(N$56&lt;=Rates!$D$71,B$33*8760*$C$20*$C$15*Connectivity!$C$13/Rates!$D$4*(1+$C$22)^MOD(N$56-1,$C$21)*N$65-('Compute-Revenue'!$B$23+$C$9*B$34+B$43+B$44+B$45)-IF(AND(MOD(N$56,$C$21)=0,N$56&lt;Rates!$D$71),B$34,0),0)</f>
        <v/>
      </c>
      <c r="O80" s="90">
        <f>IF(O$56&lt;=Rates!$D$71,B$33*8760*$C$20*$C$15*Connectivity!$C$13/Rates!$D$4*(1+$C$22)^MOD(O$56-1,$C$21)*O$65-('Compute-Revenue'!$B$23+$C$9*B$34+B$43+B$44+B$45)-IF(AND(MOD(O$56,$C$21)=0,O$56&lt;Rates!$D$71),B$34,0),0)</f>
        <v/>
      </c>
      <c r="P80" s="90">
        <f>IF(P$56&lt;=Rates!$D$71,B$33*8760*$C$20*$C$15*Connectivity!$C$13/Rates!$D$4*(1+$C$22)^MOD(P$56-1,$C$21)*P$65-('Compute-Revenue'!$B$23+$C$9*B$34+B$43+B$44+B$45)-IF(AND(MOD(P$56,$C$21)=0,P$56&lt;Rates!$D$71),B$34,0),0)</f>
        <v/>
      </c>
      <c r="Q80" s="90">
        <f>IF(Q$56&lt;=Rates!$D$71,B$33*8760*$C$20*$C$15*Connectivity!$C$13/Rates!$D$4*(1+$C$22)^MOD(Q$56-1,$C$21)*Q$65-('Compute-Revenue'!$B$23+$C$9*B$34+B$43+B$44+B$45)-IF(AND(MOD(Q$56,$C$21)=0,Q$56&lt;Rates!$D$71),B$34,0),0)</f>
        <v/>
      </c>
      <c r="R80" s="90">
        <f>IF(R$56&lt;=Rates!$D$71,B$33*8760*$C$20*$C$15*Connectivity!$C$13/Rates!$D$4*(1+$C$22)^MOD(R$56-1,$C$21)*R$65-('Compute-Revenue'!$B$23+$C$9*B$34+B$43+B$44+B$45)-IF(AND(MOD(R$56,$C$21)=0,R$56&lt;Rates!$D$71),B$34,0),0)</f>
        <v/>
      </c>
      <c r="S80" s="90">
        <f>IF(S$56&lt;=Rates!$D$71,B$33*8760*$C$20*$C$15*Connectivity!$C$13/Rates!$D$4*(1+$C$22)^MOD(S$56-1,$C$21)*S$65-('Compute-Revenue'!$B$23+$C$9*B$34+B$43+B$44+B$45)-IF(AND(MOD(S$56,$C$21)=0,S$56&lt;Rates!$D$71),B$34,0),0)</f>
        <v/>
      </c>
      <c r="T80" s="90">
        <f>IF(T$56&lt;=Rates!$D$71,B$33*8760*$C$20*$C$15*Connectivity!$C$13/Rates!$D$4*(1+$C$22)^MOD(T$56-1,$C$21)*T$65-('Compute-Revenue'!$B$23+$C$9*B$34+B$43+B$44+B$45)-IF(AND(MOD(T$56,$C$21)=0,T$56&lt;Rates!$D$71),B$34,0),0)</f>
        <v/>
      </c>
      <c r="U80" s="90">
        <f>IF(U$56&lt;=Rates!$D$71,B$33*8760*$C$20*$C$15*Connectivity!$C$13/Rates!$D$4*(1+$C$22)^MOD(U$56-1,$C$21)*U$65-('Compute-Revenue'!$B$23+$C$9*B$34+B$43+B$44+B$45)-IF(AND(MOD(U$56,$C$21)=0,U$56&lt;Rates!$D$71),B$34,0),0)</f>
        <v/>
      </c>
      <c r="V80" s="90">
        <f>IF(V$56&lt;=Rates!$D$71,B$33*8760*$C$20*$C$15*Connectivity!$C$13/Rates!$D$4*(1+$C$22)^MOD(V$56-1,$C$21)*V$65-('Compute-Revenue'!$B$23+$C$9*B$34+B$43+B$44+B$45)-IF(AND(MOD(V$56,$C$21)=0,V$56&lt;Rates!$D$71),B$34,0),0)</f>
        <v/>
      </c>
      <c r="W80" s="90">
        <f>IF(W$56&lt;=Rates!$D$71,B$33*8760*$C$20*$C$15*Connectivity!$C$13/Rates!$D$4*(1+$C$22)^MOD(W$56-1,$C$21)*W$65-('Compute-Revenue'!$B$23+$C$9*B$34+B$43+B$44+B$45)-IF(AND(MOD(W$56,$C$21)=0,W$56&lt;Rates!$D$71),B$34,0),0)</f>
        <v/>
      </c>
      <c r="X80" s="90">
        <f>IF(X$56&lt;=Rates!$D$71,B$33*8760*$C$20*$C$15*Connectivity!$C$13/Rates!$D$4*(1+$C$22)^MOD(X$56-1,$C$21)*X$65-('Compute-Revenue'!$B$23+$C$9*B$34+B$43+B$44+B$45)-IF(AND(MOD(X$56,$C$21)=0,X$56&lt;Rates!$D$71),B$34,0),0)</f>
        <v/>
      </c>
      <c r="Y80" s="90">
        <f>IF(Y$56&lt;=Rates!$D$71,B$33*8760*$C$20*$C$15*Connectivity!$C$13/Rates!$D$4*(1+$C$22)^MOD(Y$56-1,$C$21)*Y$65-('Compute-Revenue'!$B$23+$C$9*B$34+B$43+B$44+B$45)-IF(AND(MOD(Y$56,$C$21)=0,Y$56&lt;Rates!$D$71),B$34,0),0)</f>
        <v/>
      </c>
      <c r="Z80" s="90">
        <f>IF(Z$56&lt;=Rates!$D$71,B$33*8760*$C$20*$C$15*Connectivity!$C$13/Rates!$D$4*(1+$C$22)^MOD(Z$56-1,$C$21)*Z$65-('Compute-Revenue'!$B$23+$C$9*B$34+B$43+B$44+B$45)-IF(AND(MOD(Z$56,$C$21)=0,Z$56&lt;Rates!$D$71),B$34,0),0)</f>
        <v/>
      </c>
      <c r="AA80" s="90">
        <f>IF(AA$56&lt;=Rates!$D$71,B$33*8760*$C$20*$C$15*Connectivity!$C$13/Rates!$D$4*(1+$C$22)^MOD(AA$56-1,$C$21)*AA$65-('Compute-Revenue'!$B$23+$C$9*B$34+B$43+B$44+B$45)-IF(AND(MOD(AA$56,$C$21)=0,AA$56&lt;Rates!$D$71),B$34,0),0)</f>
        <v/>
      </c>
      <c r="AB80" s="90">
        <f>IF(AB$56&lt;=Rates!$D$71,B$33*8760*$C$20*$C$15*Connectivity!$C$13/Rates!$D$4*(1+$C$22)^MOD(AB$56-1,$C$21)*AB$65-('Compute-Revenue'!$B$23+$C$9*B$34+B$43+B$44+B$45)-IF(AND(MOD(AB$56,$C$21)=0,AB$56&lt;Rates!$D$71),B$34,0),0)</f>
        <v/>
      </c>
    </row>
    <row r="81">
      <c r="A81" s="68" t="inlineStr">
        <is>
          <t>helper: p_high x u_low</t>
        </is>
      </c>
      <c r="C81" s="90">
        <f>-B$36</f>
        <v/>
      </c>
      <c r="D81" s="90">
        <f>IF(D$56&lt;=Rates!$D$71,B$33*8760*$C$18*$C$16*Connectivity!$C$13/Rates!$D$4*(1+$C$22)^MOD(D$56-1,$C$21)*D$65-('Compute-Revenue'!$B$23+$C$9*B$34+B$43+B$44+B$45)-IF(AND(MOD(D$56,$C$21)=0,D$56&lt;Rates!$D$71),B$34,0),0)</f>
        <v/>
      </c>
      <c r="E81" s="90">
        <f>IF(E$56&lt;=Rates!$D$71,B$33*8760*$C$18*$C$16*Connectivity!$C$13/Rates!$D$4*(1+$C$22)^MOD(E$56-1,$C$21)*E$65-('Compute-Revenue'!$B$23+$C$9*B$34+B$43+B$44+B$45)-IF(AND(MOD(E$56,$C$21)=0,E$56&lt;Rates!$D$71),B$34,0),0)</f>
        <v/>
      </c>
      <c r="F81" s="90">
        <f>IF(F$56&lt;=Rates!$D$71,B$33*8760*$C$18*$C$16*Connectivity!$C$13/Rates!$D$4*(1+$C$22)^MOD(F$56-1,$C$21)*F$65-('Compute-Revenue'!$B$23+$C$9*B$34+B$43+B$44+B$45)-IF(AND(MOD(F$56,$C$21)=0,F$56&lt;Rates!$D$71),B$34,0),0)</f>
        <v/>
      </c>
      <c r="G81" s="90">
        <f>IF(G$56&lt;=Rates!$D$71,B$33*8760*$C$18*$C$16*Connectivity!$C$13/Rates!$D$4*(1+$C$22)^MOD(G$56-1,$C$21)*G$65-('Compute-Revenue'!$B$23+$C$9*B$34+B$43+B$44+B$45)-IF(AND(MOD(G$56,$C$21)=0,G$56&lt;Rates!$D$71),B$34,0),0)</f>
        <v/>
      </c>
      <c r="H81" s="90">
        <f>IF(H$56&lt;=Rates!$D$71,B$33*8760*$C$18*$C$16*Connectivity!$C$13/Rates!$D$4*(1+$C$22)^MOD(H$56-1,$C$21)*H$65-('Compute-Revenue'!$B$23+$C$9*B$34+B$43+B$44+B$45)-IF(AND(MOD(H$56,$C$21)=0,H$56&lt;Rates!$D$71),B$34,0),0)</f>
        <v/>
      </c>
      <c r="I81" s="90">
        <f>IF(I$56&lt;=Rates!$D$71,B$33*8760*$C$18*$C$16*Connectivity!$C$13/Rates!$D$4*(1+$C$22)^MOD(I$56-1,$C$21)*I$65-('Compute-Revenue'!$B$23+$C$9*B$34+B$43+B$44+B$45)-IF(AND(MOD(I$56,$C$21)=0,I$56&lt;Rates!$D$71),B$34,0),0)</f>
        <v/>
      </c>
      <c r="J81" s="90">
        <f>IF(J$56&lt;=Rates!$D$71,B$33*8760*$C$18*$C$16*Connectivity!$C$13/Rates!$D$4*(1+$C$22)^MOD(J$56-1,$C$21)*J$65-('Compute-Revenue'!$B$23+$C$9*B$34+B$43+B$44+B$45)-IF(AND(MOD(J$56,$C$21)=0,J$56&lt;Rates!$D$71),B$34,0),0)</f>
        <v/>
      </c>
      <c r="K81" s="90">
        <f>IF(K$56&lt;=Rates!$D$71,B$33*8760*$C$18*$C$16*Connectivity!$C$13/Rates!$D$4*(1+$C$22)^MOD(K$56-1,$C$21)*K$65-('Compute-Revenue'!$B$23+$C$9*B$34+B$43+B$44+B$45)-IF(AND(MOD(K$56,$C$21)=0,K$56&lt;Rates!$D$71),B$34,0),0)</f>
        <v/>
      </c>
      <c r="L81" s="90">
        <f>IF(L$56&lt;=Rates!$D$71,B$33*8760*$C$18*$C$16*Connectivity!$C$13/Rates!$D$4*(1+$C$22)^MOD(L$56-1,$C$21)*L$65-('Compute-Revenue'!$B$23+$C$9*B$34+B$43+B$44+B$45)-IF(AND(MOD(L$56,$C$21)=0,L$56&lt;Rates!$D$71),B$34,0),0)</f>
        <v/>
      </c>
      <c r="M81" s="90">
        <f>IF(M$56&lt;=Rates!$D$71,B$33*8760*$C$18*$C$16*Connectivity!$C$13/Rates!$D$4*(1+$C$22)^MOD(M$56-1,$C$21)*M$65-('Compute-Revenue'!$B$23+$C$9*B$34+B$43+B$44+B$45)-IF(AND(MOD(M$56,$C$21)=0,M$56&lt;Rates!$D$71),B$34,0),0)</f>
        <v/>
      </c>
      <c r="N81" s="90">
        <f>IF(N$56&lt;=Rates!$D$71,B$33*8760*$C$18*$C$16*Connectivity!$C$13/Rates!$D$4*(1+$C$22)^MOD(N$56-1,$C$21)*N$65-('Compute-Revenue'!$B$23+$C$9*B$34+B$43+B$44+B$45)-IF(AND(MOD(N$56,$C$21)=0,N$56&lt;Rates!$D$71),B$34,0),0)</f>
        <v/>
      </c>
      <c r="O81" s="90">
        <f>IF(O$56&lt;=Rates!$D$71,B$33*8760*$C$18*$C$16*Connectivity!$C$13/Rates!$D$4*(1+$C$22)^MOD(O$56-1,$C$21)*O$65-('Compute-Revenue'!$B$23+$C$9*B$34+B$43+B$44+B$45)-IF(AND(MOD(O$56,$C$21)=0,O$56&lt;Rates!$D$71),B$34,0),0)</f>
        <v/>
      </c>
      <c r="P81" s="90">
        <f>IF(P$56&lt;=Rates!$D$71,B$33*8760*$C$18*$C$16*Connectivity!$C$13/Rates!$D$4*(1+$C$22)^MOD(P$56-1,$C$21)*P$65-('Compute-Revenue'!$B$23+$C$9*B$34+B$43+B$44+B$45)-IF(AND(MOD(P$56,$C$21)=0,P$56&lt;Rates!$D$71),B$34,0),0)</f>
        <v/>
      </c>
      <c r="Q81" s="90">
        <f>IF(Q$56&lt;=Rates!$D$71,B$33*8760*$C$18*$C$16*Connectivity!$C$13/Rates!$D$4*(1+$C$22)^MOD(Q$56-1,$C$21)*Q$65-('Compute-Revenue'!$B$23+$C$9*B$34+B$43+B$44+B$45)-IF(AND(MOD(Q$56,$C$21)=0,Q$56&lt;Rates!$D$71),B$34,0),0)</f>
        <v/>
      </c>
      <c r="R81" s="90">
        <f>IF(R$56&lt;=Rates!$D$71,B$33*8760*$C$18*$C$16*Connectivity!$C$13/Rates!$D$4*(1+$C$22)^MOD(R$56-1,$C$21)*R$65-('Compute-Revenue'!$B$23+$C$9*B$34+B$43+B$44+B$45)-IF(AND(MOD(R$56,$C$21)=0,R$56&lt;Rates!$D$71),B$34,0),0)</f>
        <v/>
      </c>
      <c r="S81" s="90">
        <f>IF(S$56&lt;=Rates!$D$71,B$33*8760*$C$18*$C$16*Connectivity!$C$13/Rates!$D$4*(1+$C$22)^MOD(S$56-1,$C$21)*S$65-('Compute-Revenue'!$B$23+$C$9*B$34+B$43+B$44+B$45)-IF(AND(MOD(S$56,$C$21)=0,S$56&lt;Rates!$D$71),B$34,0),0)</f>
        <v/>
      </c>
      <c r="T81" s="90">
        <f>IF(T$56&lt;=Rates!$D$71,B$33*8760*$C$18*$C$16*Connectivity!$C$13/Rates!$D$4*(1+$C$22)^MOD(T$56-1,$C$21)*T$65-('Compute-Revenue'!$B$23+$C$9*B$34+B$43+B$44+B$45)-IF(AND(MOD(T$56,$C$21)=0,T$56&lt;Rates!$D$71),B$34,0),0)</f>
        <v/>
      </c>
      <c r="U81" s="90">
        <f>IF(U$56&lt;=Rates!$D$71,B$33*8760*$C$18*$C$16*Connectivity!$C$13/Rates!$D$4*(1+$C$22)^MOD(U$56-1,$C$21)*U$65-('Compute-Revenue'!$B$23+$C$9*B$34+B$43+B$44+B$45)-IF(AND(MOD(U$56,$C$21)=0,U$56&lt;Rates!$D$71),B$34,0),0)</f>
        <v/>
      </c>
      <c r="V81" s="90">
        <f>IF(V$56&lt;=Rates!$D$71,B$33*8760*$C$18*$C$16*Connectivity!$C$13/Rates!$D$4*(1+$C$22)^MOD(V$56-1,$C$21)*V$65-('Compute-Revenue'!$B$23+$C$9*B$34+B$43+B$44+B$45)-IF(AND(MOD(V$56,$C$21)=0,V$56&lt;Rates!$D$71),B$34,0),0)</f>
        <v/>
      </c>
      <c r="W81" s="90">
        <f>IF(W$56&lt;=Rates!$D$71,B$33*8760*$C$18*$C$16*Connectivity!$C$13/Rates!$D$4*(1+$C$22)^MOD(W$56-1,$C$21)*W$65-('Compute-Revenue'!$B$23+$C$9*B$34+B$43+B$44+B$45)-IF(AND(MOD(W$56,$C$21)=0,W$56&lt;Rates!$D$71),B$34,0),0)</f>
        <v/>
      </c>
      <c r="X81" s="90">
        <f>IF(X$56&lt;=Rates!$D$71,B$33*8760*$C$18*$C$16*Connectivity!$C$13/Rates!$D$4*(1+$C$22)^MOD(X$56-1,$C$21)*X$65-('Compute-Revenue'!$B$23+$C$9*B$34+B$43+B$44+B$45)-IF(AND(MOD(X$56,$C$21)=0,X$56&lt;Rates!$D$71),B$34,0),0)</f>
        <v/>
      </c>
      <c r="Y81" s="90">
        <f>IF(Y$56&lt;=Rates!$D$71,B$33*8760*$C$18*$C$16*Connectivity!$C$13/Rates!$D$4*(1+$C$22)^MOD(Y$56-1,$C$21)*Y$65-('Compute-Revenue'!$B$23+$C$9*B$34+B$43+B$44+B$45)-IF(AND(MOD(Y$56,$C$21)=0,Y$56&lt;Rates!$D$71),B$34,0),0)</f>
        <v/>
      </c>
      <c r="Z81" s="90">
        <f>IF(Z$56&lt;=Rates!$D$71,B$33*8760*$C$18*$C$16*Connectivity!$C$13/Rates!$D$4*(1+$C$22)^MOD(Z$56-1,$C$21)*Z$65-('Compute-Revenue'!$B$23+$C$9*B$34+B$43+B$44+B$45)-IF(AND(MOD(Z$56,$C$21)=0,Z$56&lt;Rates!$D$71),B$34,0),0)</f>
        <v/>
      </c>
      <c r="AA81" s="90">
        <f>IF(AA$56&lt;=Rates!$D$71,B$33*8760*$C$18*$C$16*Connectivity!$C$13/Rates!$D$4*(1+$C$22)^MOD(AA$56-1,$C$21)*AA$65-('Compute-Revenue'!$B$23+$C$9*B$34+B$43+B$44+B$45)-IF(AND(MOD(AA$56,$C$21)=0,AA$56&lt;Rates!$D$71),B$34,0),0)</f>
        <v/>
      </c>
      <c r="AB81" s="90">
        <f>IF(AB$56&lt;=Rates!$D$71,B$33*8760*$C$18*$C$16*Connectivity!$C$13/Rates!$D$4*(1+$C$22)^MOD(AB$56-1,$C$21)*AB$65-('Compute-Revenue'!$B$23+$C$9*B$34+B$43+B$44+B$45)-IF(AND(MOD(AB$56,$C$21)=0,AB$56&lt;Rates!$D$71),B$34,0),0)</f>
        <v/>
      </c>
    </row>
    <row r="82">
      <c r="A82" s="68" t="inlineStr">
        <is>
          <t>helper: p_high x u_base</t>
        </is>
      </c>
      <c r="C82" s="90">
        <f>-B$36</f>
        <v/>
      </c>
      <c r="D82" s="90">
        <f>IF(D$56&lt;=Rates!$D$71,B$33*8760*$C$19*$C$16*Connectivity!$C$13/Rates!$D$4*(1+$C$22)^MOD(D$56-1,$C$21)*D$65-('Compute-Revenue'!$B$23+$C$9*B$34+B$43+B$44+B$45)-IF(AND(MOD(D$56,$C$21)=0,D$56&lt;Rates!$D$71),B$34,0),0)</f>
        <v/>
      </c>
      <c r="E82" s="90">
        <f>IF(E$56&lt;=Rates!$D$71,B$33*8760*$C$19*$C$16*Connectivity!$C$13/Rates!$D$4*(1+$C$22)^MOD(E$56-1,$C$21)*E$65-('Compute-Revenue'!$B$23+$C$9*B$34+B$43+B$44+B$45)-IF(AND(MOD(E$56,$C$21)=0,E$56&lt;Rates!$D$71),B$34,0),0)</f>
        <v/>
      </c>
      <c r="F82" s="90">
        <f>IF(F$56&lt;=Rates!$D$71,B$33*8760*$C$19*$C$16*Connectivity!$C$13/Rates!$D$4*(1+$C$22)^MOD(F$56-1,$C$21)*F$65-('Compute-Revenue'!$B$23+$C$9*B$34+B$43+B$44+B$45)-IF(AND(MOD(F$56,$C$21)=0,F$56&lt;Rates!$D$71),B$34,0),0)</f>
        <v/>
      </c>
      <c r="G82" s="90">
        <f>IF(G$56&lt;=Rates!$D$71,B$33*8760*$C$19*$C$16*Connectivity!$C$13/Rates!$D$4*(1+$C$22)^MOD(G$56-1,$C$21)*G$65-('Compute-Revenue'!$B$23+$C$9*B$34+B$43+B$44+B$45)-IF(AND(MOD(G$56,$C$21)=0,G$56&lt;Rates!$D$71),B$34,0),0)</f>
        <v/>
      </c>
      <c r="H82" s="90">
        <f>IF(H$56&lt;=Rates!$D$71,B$33*8760*$C$19*$C$16*Connectivity!$C$13/Rates!$D$4*(1+$C$22)^MOD(H$56-1,$C$21)*H$65-('Compute-Revenue'!$B$23+$C$9*B$34+B$43+B$44+B$45)-IF(AND(MOD(H$56,$C$21)=0,H$56&lt;Rates!$D$71),B$34,0),0)</f>
        <v/>
      </c>
      <c r="I82" s="90">
        <f>IF(I$56&lt;=Rates!$D$71,B$33*8760*$C$19*$C$16*Connectivity!$C$13/Rates!$D$4*(1+$C$22)^MOD(I$56-1,$C$21)*I$65-('Compute-Revenue'!$B$23+$C$9*B$34+B$43+B$44+B$45)-IF(AND(MOD(I$56,$C$21)=0,I$56&lt;Rates!$D$71),B$34,0),0)</f>
        <v/>
      </c>
      <c r="J82" s="90">
        <f>IF(J$56&lt;=Rates!$D$71,B$33*8760*$C$19*$C$16*Connectivity!$C$13/Rates!$D$4*(1+$C$22)^MOD(J$56-1,$C$21)*J$65-('Compute-Revenue'!$B$23+$C$9*B$34+B$43+B$44+B$45)-IF(AND(MOD(J$56,$C$21)=0,J$56&lt;Rates!$D$71),B$34,0),0)</f>
        <v/>
      </c>
      <c r="K82" s="90">
        <f>IF(K$56&lt;=Rates!$D$71,B$33*8760*$C$19*$C$16*Connectivity!$C$13/Rates!$D$4*(1+$C$22)^MOD(K$56-1,$C$21)*K$65-('Compute-Revenue'!$B$23+$C$9*B$34+B$43+B$44+B$45)-IF(AND(MOD(K$56,$C$21)=0,K$56&lt;Rates!$D$71),B$34,0),0)</f>
        <v/>
      </c>
      <c r="L82" s="90">
        <f>IF(L$56&lt;=Rates!$D$71,B$33*8760*$C$19*$C$16*Connectivity!$C$13/Rates!$D$4*(1+$C$22)^MOD(L$56-1,$C$21)*L$65-('Compute-Revenue'!$B$23+$C$9*B$34+B$43+B$44+B$45)-IF(AND(MOD(L$56,$C$21)=0,L$56&lt;Rates!$D$71),B$34,0),0)</f>
        <v/>
      </c>
      <c r="M82" s="90">
        <f>IF(M$56&lt;=Rates!$D$71,B$33*8760*$C$19*$C$16*Connectivity!$C$13/Rates!$D$4*(1+$C$22)^MOD(M$56-1,$C$21)*M$65-('Compute-Revenue'!$B$23+$C$9*B$34+B$43+B$44+B$45)-IF(AND(MOD(M$56,$C$21)=0,M$56&lt;Rates!$D$71),B$34,0),0)</f>
        <v/>
      </c>
      <c r="N82" s="90">
        <f>IF(N$56&lt;=Rates!$D$71,B$33*8760*$C$19*$C$16*Connectivity!$C$13/Rates!$D$4*(1+$C$22)^MOD(N$56-1,$C$21)*N$65-('Compute-Revenue'!$B$23+$C$9*B$34+B$43+B$44+B$45)-IF(AND(MOD(N$56,$C$21)=0,N$56&lt;Rates!$D$71),B$34,0),0)</f>
        <v/>
      </c>
      <c r="O82" s="90">
        <f>IF(O$56&lt;=Rates!$D$71,B$33*8760*$C$19*$C$16*Connectivity!$C$13/Rates!$D$4*(1+$C$22)^MOD(O$56-1,$C$21)*O$65-('Compute-Revenue'!$B$23+$C$9*B$34+B$43+B$44+B$45)-IF(AND(MOD(O$56,$C$21)=0,O$56&lt;Rates!$D$71),B$34,0),0)</f>
        <v/>
      </c>
      <c r="P82" s="90">
        <f>IF(P$56&lt;=Rates!$D$71,B$33*8760*$C$19*$C$16*Connectivity!$C$13/Rates!$D$4*(1+$C$22)^MOD(P$56-1,$C$21)*P$65-('Compute-Revenue'!$B$23+$C$9*B$34+B$43+B$44+B$45)-IF(AND(MOD(P$56,$C$21)=0,P$56&lt;Rates!$D$71),B$34,0),0)</f>
        <v/>
      </c>
      <c r="Q82" s="90">
        <f>IF(Q$56&lt;=Rates!$D$71,B$33*8760*$C$19*$C$16*Connectivity!$C$13/Rates!$D$4*(1+$C$22)^MOD(Q$56-1,$C$21)*Q$65-('Compute-Revenue'!$B$23+$C$9*B$34+B$43+B$44+B$45)-IF(AND(MOD(Q$56,$C$21)=0,Q$56&lt;Rates!$D$71),B$34,0),0)</f>
        <v/>
      </c>
      <c r="R82" s="90">
        <f>IF(R$56&lt;=Rates!$D$71,B$33*8760*$C$19*$C$16*Connectivity!$C$13/Rates!$D$4*(1+$C$22)^MOD(R$56-1,$C$21)*R$65-('Compute-Revenue'!$B$23+$C$9*B$34+B$43+B$44+B$45)-IF(AND(MOD(R$56,$C$21)=0,R$56&lt;Rates!$D$71),B$34,0),0)</f>
        <v/>
      </c>
      <c r="S82" s="90">
        <f>IF(S$56&lt;=Rates!$D$71,B$33*8760*$C$19*$C$16*Connectivity!$C$13/Rates!$D$4*(1+$C$22)^MOD(S$56-1,$C$21)*S$65-('Compute-Revenue'!$B$23+$C$9*B$34+B$43+B$44+B$45)-IF(AND(MOD(S$56,$C$21)=0,S$56&lt;Rates!$D$71),B$34,0),0)</f>
        <v/>
      </c>
      <c r="T82" s="90">
        <f>IF(T$56&lt;=Rates!$D$71,B$33*8760*$C$19*$C$16*Connectivity!$C$13/Rates!$D$4*(1+$C$22)^MOD(T$56-1,$C$21)*T$65-('Compute-Revenue'!$B$23+$C$9*B$34+B$43+B$44+B$45)-IF(AND(MOD(T$56,$C$21)=0,T$56&lt;Rates!$D$71),B$34,0),0)</f>
        <v/>
      </c>
      <c r="U82" s="90">
        <f>IF(U$56&lt;=Rates!$D$71,B$33*8760*$C$19*$C$16*Connectivity!$C$13/Rates!$D$4*(1+$C$22)^MOD(U$56-1,$C$21)*U$65-('Compute-Revenue'!$B$23+$C$9*B$34+B$43+B$44+B$45)-IF(AND(MOD(U$56,$C$21)=0,U$56&lt;Rates!$D$71),B$34,0),0)</f>
        <v/>
      </c>
      <c r="V82" s="90">
        <f>IF(V$56&lt;=Rates!$D$71,B$33*8760*$C$19*$C$16*Connectivity!$C$13/Rates!$D$4*(1+$C$22)^MOD(V$56-1,$C$21)*V$65-('Compute-Revenue'!$B$23+$C$9*B$34+B$43+B$44+B$45)-IF(AND(MOD(V$56,$C$21)=0,V$56&lt;Rates!$D$71),B$34,0),0)</f>
        <v/>
      </c>
      <c r="W82" s="90">
        <f>IF(W$56&lt;=Rates!$D$71,B$33*8760*$C$19*$C$16*Connectivity!$C$13/Rates!$D$4*(1+$C$22)^MOD(W$56-1,$C$21)*W$65-('Compute-Revenue'!$B$23+$C$9*B$34+B$43+B$44+B$45)-IF(AND(MOD(W$56,$C$21)=0,W$56&lt;Rates!$D$71),B$34,0),0)</f>
        <v/>
      </c>
      <c r="X82" s="90">
        <f>IF(X$56&lt;=Rates!$D$71,B$33*8760*$C$19*$C$16*Connectivity!$C$13/Rates!$D$4*(1+$C$22)^MOD(X$56-1,$C$21)*X$65-('Compute-Revenue'!$B$23+$C$9*B$34+B$43+B$44+B$45)-IF(AND(MOD(X$56,$C$21)=0,X$56&lt;Rates!$D$71),B$34,0),0)</f>
        <v/>
      </c>
      <c r="Y82" s="90">
        <f>IF(Y$56&lt;=Rates!$D$71,B$33*8760*$C$19*$C$16*Connectivity!$C$13/Rates!$D$4*(1+$C$22)^MOD(Y$56-1,$C$21)*Y$65-('Compute-Revenue'!$B$23+$C$9*B$34+B$43+B$44+B$45)-IF(AND(MOD(Y$56,$C$21)=0,Y$56&lt;Rates!$D$71),B$34,0),0)</f>
        <v/>
      </c>
      <c r="Z82" s="90">
        <f>IF(Z$56&lt;=Rates!$D$71,B$33*8760*$C$19*$C$16*Connectivity!$C$13/Rates!$D$4*(1+$C$22)^MOD(Z$56-1,$C$21)*Z$65-('Compute-Revenue'!$B$23+$C$9*B$34+B$43+B$44+B$45)-IF(AND(MOD(Z$56,$C$21)=0,Z$56&lt;Rates!$D$71),B$34,0),0)</f>
        <v/>
      </c>
      <c r="AA82" s="90">
        <f>IF(AA$56&lt;=Rates!$D$71,B$33*8760*$C$19*$C$16*Connectivity!$C$13/Rates!$D$4*(1+$C$22)^MOD(AA$56-1,$C$21)*AA$65-('Compute-Revenue'!$B$23+$C$9*B$34+B$43+B$44+B$45)-IF(AND(MOD(AA$56,$C$21)=0,AA$56&lt;Rates!$D$71),B$34,0),0)</f>
        <v/>
      </c>
      <c r="AB82" s="90">
        <f>IF(AB$56&lt;=Rates!$D$71,B$33*8760*$C$19*$C$16*Connectivity!$C$13/Rates!$D$4*(1+$C$22)^MOD(AB$56-1,$C$21)*AB$65-('Compute-Revenue'!$B$23+$C$9*B$34+B$43+B$44+B$45)-IF(AND(MOD(AB$56,$C$21)=0,AB$56&lt;Rates!$D$71),B$34,0),0)</f>
        <v/>
      </c>
    </row>
    <row r="83">
      <c r="A83" s="68" t="inlineStr">
        <is>
          <t>helper: p_high x u_high</t>
        </is>
      </c>
      <c r="C83" s="90">
        <f>-B$36</f>
        <v/>
      </c>
      <c r="D83" s="90">
        <f>IF(D$56&lt;=Rates!$D$71,B$33*8760*$C$20*$C$16*Connectivity!$C$13/Rates!$D$4*(1+$C$22)^MOD(D$56-1,$C$21)*D$65-('Compute-Revenue'!$B$23+$C$9*B$34+B$43+B$44+B$45)-IF(AND(MOD(D$56,$C$21)=0,D$56&lt;Rates!$D$71),B$34,0),0)</f>
        <v/>
      </c>
      <c r="E83" s="90">
        <f>IF(E$56&lt;=Rates!$D$71,B$33*8760*$C$20*$C$16*Connectivity!$C$13/Rates!$D$4*(1+$C$22)^MOD(E$56-1,$C$21)*E$65-('Compute-Revenue'!$B$23+$C$9*B$34+B$43+B$44+B$45)-IF(AND(MOD(E$56,$C$21)=0,E$56&lt;Rates!$D$71),B$34,0),0)</f>
        <v/>
      </c>
      <c r="F83" s="90">
        <f>IF(F$56&lt;=Rates!$D$71,B$33*8760*$C$20*$C$16*Connectivity!$C$13/Rates!$D$4*(1+$C$22)^MOD(F$56-1,$C$21)*F$65-('Compute-Revenue'!$B$23+$C$9*B$34+B$43+B$44+B$45)-IF(AND(MOD(F$56,$C$21)=0,F$56&lt;Rates!$D$71),B$34,0),0)</f>
        <v/>
      </c>
      <c r="G83" s="90">
        <f>IF(G$56&lt;=Rates!$D$71,B$33*8760*$C$20*$C$16*Connectivity!$C$13/Rates!$D$4*(1+$C$22)^MOD(G$56-1,$C$21)*G$65-('Compute-Revenue'!$B$23+$C$9*B$34+B$43+B$44+B$45)-IF(AND(MOD(G$56,$C$21)=0,G$56&lt;Rates!$D$71),B$34,0),0)</f>
        <v/>
      </c>
      <c r="H83" s="90">
        <f>IF(H$56&lt;=Rates!$D$71,B$33*8760*$C$20*$C$16*Connectivity!$C$13/Rates!$D$4*(1+$C$22)^MOD(H$56-1,$C$21)*H$65-('Compute-Revenue'!$B$23+$C$9*B$34+B$43+B$44+B$45)-IF(AND(MOD(H$56,$C$21)=0,H$56&lt;Rates!$D$71),B$34,0),0)</f>
        <v/>
      </c>
      <c r="I83" s="90">
        <f>IF(I$56&lt;=Rates!$D$71,B$33*8760*$C$20*$C$16*Connectivity!$C$13/Rates!$D$4*(1+$C$22)^MOD(I$56-1,$C$21)*I$65-('Compute-Revenue'!$B$23+$C$9*B$34+B$43+B$44+B$45)-IF(AND(MOD(I$56,$C$21)=0,I$56&lt;Rates!$D$71),B$34,0),0)</f>
        <v/>
      </c>
      <c r="J83" s="90">
        <f>IF(J$56&lt;=Rates!$D$71,B$33*8760*$C$20*$C$16*Connectivity!$C$13/Rates!$D$4*(1+$C$22)^MOD(J$56-1,$C$21)*J$65-('Compute-Revenue'!$B$23+$C$9*B$34+B$43+B$44+B$45)-IF(AND(MOD(J$56,$C$21)=0,J$56&lt;Rates!$D$71),B$34,0),0)</f>
        <v/>
      </c>
      <c r="K83" s="90">
        <f>IF(K$56&lt;=Rates!$D$71,B$33*8760*$C$20*$C$16*Connectivity!$C$13/Rates!$D$4*(1+$C$22)^MOD(K$56-1,$C$21)*K$65-('Compute-Revenue'!$B$23+$C$9*B$34+B$43+B$44+B$45)-IF(AND(MOD(K$56,$C$21)=0,K$56&lt;Rates!$D$71),B$34,0),0)</f>
        <v/>
      </c>
      <c r="L83" s="90">
        <f>IF(L$56&lt;=Rates!$D$71,B$33*8760*$C$20*$C$16*Connectivity!$C$13/Rates!$D$4*(1+$C$22)^MOD(L$56-1,$C$21)*L$65-('Compute-Revenue'!$B$23+$C$9*B$34+B$43+B$44+B$45)-IF(AND(MOD(L$56,$C$21)=0,L$56&lt;Rates!$D$71),B$34,0),0)</f>
        <v/>
      </c>
      <c r="M83" s="90">
        <f>IF(M$56&lt;=Rates!$D$71,B$33*8760*$C$20*$C$16*Connectivity!$C$13/Rates!$D$4*(1+$C$22)^MOD(M$56-1,$C$21)*M$65-('Compute-Revenue'!$B$23+$C$9*B$34+B$43+B$44+B$45)-IF(AND(MOD(M$56,$C$21)=0,M$56&lt;Rates!$D$71),B$34,0),0)</f>
        <v/>
      </c>
      <c r="N83" s="90">
        <f>IF(N$56&lt;=Rates!$D$71,B$33*8760*$C$20*$C$16*Connectivity!$C$13/Rates!$D$4*(1+$C$22)^MOD(N$56-1,$C$21)*N$65-('Compute-Revenue'!$B$23+$C$9*B$34+B$43+B$44+B$45)-IF(AND(MOD(N$56,$C$21)=0,N$56&lt;Rates!$D$71),B$34,0),0)</f>
        <v/>
      </c>
      <c r="O83" s="90">
        <f>IF(O$56&lt;=Rates!$D$71,B$33*8760*$C$20*$C$16*Connectivity!$C$13/Rates!$D$4*(1+$C$22)^MOD(O$56-1,$C$21)*O$65-('Compute-Revenue'!$B$23+$C$9*B$34+B$43+B$44+B$45)-IF(AND(MOD(O$56,$C$21)=0,O$56&lt;Rates!$D$71),B$34,0),0)</f>
        <v/>
      </c>
      <c r="P83" s="90">
        <f>IF(P$56&lt;=Rates!$D$71,B$33*8760*$C$20*$C$16*Connectivity!$C$13/Rates!$D$4*(1+$C$22)^MOD(P$56-1,$C$21)*P$65-('Compute-Revenue'!$B$23+$C$9*B$34+B$43+B$44+B$45)-IF(AND(MOD(P$56,$C$21)=0,P$56&lt;Rates!$D$71),B$34,0),0)</f>
        <v/>
      </c>
      <c r="Q83" s="90">
        <f>IF(Q$56&lt;=Rates!$D$71,B$33*8760*$C$20*$C$16*Connectivity!$C$13/Rates!$D$4*(1+$C$22)^MOD(Q$56-1,$C$21)*Q$65-('Compute-Revenue'!$B$23+$C$9*B$34+B$43+B$44+B$45)-IF(AND(MOD(Q$56,$C$21)=0,Q$56&lt;Rates!$D$71),B$34,0),0)</f>
        <v/>
      </c>
      <c r="R83" s="90">
        <f>IF(R$56&lt;=Rates!$D$71,B$33*8760*$C$20*$C$16*Connectivity!$C$13/Rates!$D$4*(1+$C$22)^MOD(R$56-1,$C$21)*R$65-('Compute-Revenue'!$B$23+$C$9*B$34+B$43+B$44+B$45)-IF(AND(MOD(R$56,$C$21)=0,R$56&lt;Rates!$D$71),B$34,0),0)</f>
        <v/>
      </c>
      <c r="S83" s="90">
        <f>IF(S$56&lt;=Rates!$D$71,B$33*8760*$C$20*$C$16*Connectivity!$C$13/Rates!$D$4*(1+$C$22)^MOD(S$56-1,$C$21)*S$65-('Compute-Revenue'!$B$23+$C$9*B$34+B$43+B$44+B$45)-IF(AND(MOD(S$56,$C$21)=0,S$56&lt;Rates!$D$71),B$34,0),0)</f>
        <v/>
      </c>
      <c r="T83" s="90">
        <f>IF(T$56&lt;=Rates!$D$71,B$33*8760*$C$20*$C$16*Connectivity!$C$13/Rates!$D$4*(1+$C$22)^MOD(T$56-1,$C$21)*T$65-('Compute-Revenue'!$B$23+$C$9*B$34+B$43+B$44+B$45)-IF(AND(MOD(T$56,$C$21)=0,T$56&lt;Rates!$D$71),B$34,0),0)</f>
        <v/>
      </c>
      <c r="U83" s="90">
        <f>IF(U$56&lt;=Rates!$D$71,B$33*8760*$C$20*$C$16*Connectivity!$C$13/Rates!$D$4*(1+$C$22)^MOD(U$56-1,$C$21)*U$65-('Compute-Revenue'!$B$23+$C$9*B$34+B$43+B$44+B$45)-IF(AND(MOD(U$56,$C$21)=0,U$56&lt;Rates!$D$71),B$34,0),0)</f>
        <v/>
      </c>
      <c r="V83" s="90">
        <f>IF(V$56&lt;=Rates!$D$71,B$33*8760*$C$20*$C$16*Connectivity!$C$13/Rates!$D$4*(1+$C$22)^MOD(V$56-1,$C$21)*V$65-('Compute-Revenue'!$B$23+$C$9*B$34+B$43+B$44+B$45)-IF(AND(MOD(V$56,$C$21)=0,V$56&lt;Rates!$D$71),B$34,0),0)</f>
        <v/>
      </c>
      <c r="W83" s="90">
        <f>IF(W$56&lt;=Rates!$D$71,B$33*8760*$C$20*$C$16*Connectivity!$C$13/Rates!$D$4*(1+$C$22)^MOD(W$56-1,$C$21)*W$65-('Compute-Revenue'!$B$23+$C$9*B$34+B$43+B$44+B$45)-IF(AND(MOD(W$56,$C$21)=0,W$56&lt;Rates!$D$71),B$34,0),0)</f>
        <v/>
      </c>
      <c r="X83" s="90">
        <f>IF(X$56&lt;=Rates!$D$71,B$33*8760*$C$20*$C$16*Connectivity!$C$13/Rates!$D$4*(1+$C$22)^MOD(X$56-1,$C$21)*X$65-('Compute-Revenue'!$B$23+$C$9*B$34+B$43+B$44+B$45)-IF(AND(MOD(X$56,$C$21)=0,X$56&lt;Rates!$D$71),B$34,0),0)</f>
        <v/>
      </c>
      <c r="Y83" s="90">
        <f>IF(Y$56&lt;=Rates!$D$71,B$33*8760*$C$20*$C$16*Connectivity!$C$13/Rates!$D$4*(1+$C$22)^MOD(Y$56-1,$C$21)*Y$65-('Compute-Revenue'!$B$23+$C$9*B$34+B$43+B$44+B$45)-IF(AND(MOD(Y$56,$C$21)=0,Y$56&lt;Rates!$D$71),B$34,0),0)</f>
        <v/>
      </c>
      <c r="Z83" s="90">
        <f>IF(Z$56&lt;=Rates!$D$71,B$33*8760*$C$20*$C$16*Connectivity!$C$13/Rates!$D$4*(1+$C$22)^MOD(Z$56-1,$C$21)*Z$65-('Compute-Revenue'!$B$23+$C$9*B$34+B$43+B$44+B$45)-IF(AND(MOD(Z$56,$C$21)=0,Z$56&lt;Rates!$D$71),B$34,0),0)</f>
        <v/>
      </c>
      <c r="AA83" s="90">
        <f>IF(AA$56&lt;=Rates!$D$71,B$33*8760*$C$20*$C$16*Connectivity!$C$13/Rates!$D$4*(1+$C$22)^MOD(AA$56-1,$C$21)*AA$65-('Compute-Revenue'!$B$23+$C$9*B$34+B$43+B$44+B$45)-IF(AND(MOD(AA$56,$C$21)=0,AA$56&lt;Rates!$D$71),B$34,0),0)</f>
        <v/>
      </c>
      <c r="AB83" s="90">
        <f>IF(AB$56&lt;=Rates!$D$71,B$33*8760*$C$20*$C$16*Connectivity!$C$13/Rates!$D$4*(1+$C$22)^MOD(AB$56-1,$C$21)*AB$65-('Compute-Revenue'!$B$23+$C$9*B$34+B$43+B$44+B$45)-IF(AND(MOD(AB$56,$C$21)=0,AB$56&lt;Rates!$D$71),B$34,0),0)</f>
        <v/>
      </c>
    </row>
    <row r="84">
      <c r="A84" s="68" t="inlineStr">
        <is>
          <t>helper: p_cw x u_low</t>
        </is>
      </c>
      <c r="C84" s="90">
        <f>-B$36</f>
        <v/>
      </c>
      <c r="D84" s="90">
        <f>IF(D$56&lt;=Rates!$D$71,B$33*8760*$C$18*$C$17*Connectivity!$C$13/Rates!$D$4*(1+$C$22)^MOD(D$56-1,$C$21)*D$65-('Compute-Revenue'!$B$23+$C$9*B$34+B$43+B$44+B$45)-IF(AND(MOD(D$56,$C$21)=0,D$56&lt;Rates!$D$71),B$34,0),0)</f>
        <v/>
      </c>
      <c r="E84" s="90">
        <f>IF(E$56&lt;=Rates!$D$71,B$33*8760*$C$18*$C$17*Connectivity!$C$13/Rates!$D$4*(1+$C$22)^MOD(E$56-1,$C$21)*E$65-('Compute-Revenue'!$B$23+$C$9*B$34+B$43+B$44+B$45)-IF(AND(MOD(E$56,$C$21)=0,E$56&lt;Rates!$D$71),B$34,0),0)</f>
        <v/>
      </c>
      <c r="F84" s="90">
        <f>IF(F$56&lt;=Rates!$D$71,B$33*8760*$C$18*$C$17*Connectivity!$C$13/Rates!$D$4*(1+$C$22)^MOD(F$56-1,$C$21)*F$65-('Compute-Revenue'!$B$23+$C$9*B$34+B$43+B$44+B$45)-IF(AND(MOD(F$56,$C$21)=0,F$56&lt;Rates!$D$71),B$34,0),0)</f>
        <v/>
      </c>
      <c r="G84" s="90">
        <f>IF(G$56&lt;=Rates!$D$71,B$33*8760*$C$18*$C$17*Connectivity!$C$13/Rates!$D$4*(1+$C$22)^MOD(G$56-1,$C$21)*G$65-('Compute-Revenue'!$B$23+$C$9*B$34+B$43+B$44+B$45)-IF(AND(MOD(G$56,$C$21)=0,G$56&lt;Rates!$D$71),B$34,0),0)</f>
        <v/>
      </c>
      <c r="H84" s="90">
        <f>IF(H$56&lt;=Rates!$D$71,B$33*8760*$C$18*$C$17*Connectivity!$C$13/Rates!$D$4*(1+$C$22)^MOD(H$56-1,$C$21)*H$65-('Compute-Revenue'!$B$23+$C$9*B$34+B$43+B$44+B$45)-IF(AND(MOD(H$56,$C$21)=0,H$56&lt;Rates!$D$71),B$34,0),0)</f>
        <v/>
      </c>
      <c r="I84" s="90">
        <f>IF(I$56&lt;=Rates!$D$71,B$33*8760*$C$18*$C$17*Connectivity!$C$13/Rates!$D$4*(1+$C$22)^MOD(I$56-1,$C$21)*I$65-('Compute-Revenue'!$B$23+$C$9*B$34+B$43+B$44+B$45)-IF(AND(MOD(I$56,$C$21)=0,I$56&lt;Rates!$D$71),B$34,0),0)</f>
        <v/>
      </c>
      <c r="J84" s="90">
        <f>IF(J$56&lt;=Rates!$D$71,B$33*8760*$C$18*$C$17*Connectivity!$C$13/Rates!$D$4*(1+$C$22)^MOD(J$56-1,$C$21)*J$65-('Compute-Revenue'!$B$23+$C$9*B$34+B$43+B$44+B$45)-IF(AND(MOD(J$56,$C$21)=0,J$56&lt;Rates!$D$71),B$34,0),0)</f>
        <v/>
      </c>
      <c r="K84" s="90">
        <f>IF(K$56&lt;=Rates!$D$71,B$33*8760*$C$18*$C$17*Connectivity!$C$13/Rates!$D$4*(1+$C$22)^MOD(K$56-1,$C$21)*K$65-('Compute-Revenue'!$B$23+$C$9*B$34+B$43+B$44+B$45)-IF(AND(MOD(K$56,$C$21)=0,K$56&lt;Rates!$D$71),B$34,0),0)</f>
        <v/>
      </c>
      <c r="L84" s="90">
        <f>IF(L$56&lt;=Rates!$D$71,B$33*8760*$C$18*$C$17*Connectivity!$C$13/Rates!$D$4*(1+$C$22)^MOD(L$56-1,$C$21)*L$65-('Compute-Revenue'!$B$23+$C$9*B$34+B$43+B$44+B$45)-IF(AND(MOD(L$56,$C$21)=0,L$56&lt;Rates!$D$71),B$34,0),0)</f>
        <v/>
      </c>
      <c r="M84" s="90">
        <f>IF(M$56&lt;=Rates!$D$71,B$33*8760*$C$18*$C$17*Connectivity!$C$13/Rates!$D$4*(1+$C$22)^MOD(M$56-1,$C$21)*M$65-('Compute-Revenue'!$B$23+$C$9*B$34+B$43+B$44+B$45)-IF(AND(MOD(M$56,$C$21)=0,M$56&lt;Rates!$D$71),B$34,0),0)</f>
        <v/>
      </c>
      <c r="N84" s="90">
        <f>IF(N$56&lt;=Rates!$D$71,B$33*8760*$C$18*$C$17*Connectivity!$C$13/Rates!$D$4*(1+$C$22)^MOD(N$56-1,$C$21)*N$65-('Compute-Revenue'!$B$23+$C$9*B$34+B$43+B$44+B$45)-IF(AND(MOD(N$56,$C$21)=0,N$56&lt;Rates!$D$71),B$34,0),0)</f>
        <v/>
      </c>
      <c r="O84" s="90">
        <f>IF(O$56&lt;=Rates!$D$71,B$33*8760*$C$18*$C$17*Connectivity!$C$13/Rates!$D$4*(1+$C$22)^MOD(O$56-1,$C$21)*O$65-('Compute-Revenue'!$B$23+$C$9*B$34+B$43+B$44+B$45)-IF(AND(MOD(O$56,$C$21)=0,O$56&lt;Rates!$D$71),B$34,0),0)</f>
        <v/>
      </c>
      <c r="P84" s="90">
        <f>IF(P$56&lt;=Rates!$D$71,B$33*8760*$C$18*$C$17*Connectivity!$C$13/Rates!$D$4*(1+$C$22)^MOD(P$56-1,$C$21)*P$65-('Compute-Revenue'!$B$23+$C$9*B$34+B$43+B$44+B$45)-IF(AND(MOD(P$56,$C$21)=0,P$56&lt;Rates!$D$71),B$34,0),0)</f>
        <v/>
      </c>
      <c r="Q84" s="90">
        <f>IF(Q$56&lt;=Rates!$D$71,B$33*8760*$C$18*$C$17*Connectivity!$C$13/Rates!$D$4*(1+$C$22)^MOD(Q$56-1,$C$21)*Q$65-('Compute-Revenue'!$B$23+$C$9*B$34+B$43+B$44+B$45)-IF(AND(MOD(Q$56,$C$21)=0,Q$56&lt;Rates!$D$71),B$34,0),0)</f>
        <v/>
      </c>
      <c r="R84" s="90">
        <f>IF(R$56&lt;=Rates!$D$71,B$33*8760*$C$18*$C$17*Connectivity!$C$13/Rates!$D$4*(1+$C$22)^MOD(R$56-1,$C$21)*R$65-('Compute-Revenue'!$B$23+$C$9*B$34+B$43+B$44+B$45)-IF(AND(MOD(R$56,$C$21)=0,R$56&lt;Rates!$D$71),B$34,0),0)</f>
        <v/>
      </c>
      <c r="S84" s="90">
        <f>IF(S$56&lt;=Rates!$D$71,B$33*8760*$C$18*$C$17*Connectivity!$C$13/Rates!$D$4*(1+$C$22)^MOD(S$56-1,$C$21)*S$65-('Compute-Revenue'!$B$23+$C$9*B$34+B$43+B$44+B$45)-IF(AND(MOD(S$56,$C$21)=0,S$56&lt;Rates!$D$71),B$34,0),0)</f>
        <v/>
      </c>
      <c r="T84" s="90">
        <f>IF(T$56&lt;=Rates!$D$71,B$33*8760*$C$18*$C$17*Connectivity!$C$13/Rates!$D$4*(1+$C$22)^MOD(T$56-1,$C$21)*T$65-('Compute-Revenue'!$B$23+$C$9*B$34+B$43+B$44+B$45)-IF(AND(MOD(T$56,$C$21)=0,T$56&lt;Rates!$D$71),B$34,0),0)</f>
        <v/>
      </c>
      <c r="U84" s="90">
        <f>IF(U$56&lt;=Rates!$D$71,B$33*8760*$C$18*$C$17*Connectivity!$C$13/Rates!$D$4*(1+$C$22)^MOD(U$56-1,$C$21)*U$65-('Compute-Revenue'!$B$23+$C$9*B$34+B$43+B$44+B$45)-IF(AND(MOD(U$56,$C$21)=0,U$56&lt;Rates!$D$71),B$34,0),0)</f>
        <v/>
      </c>
      <c r="V84" s="90">
        <f>IF(V$56&lt;=Rates!$D$71,B$33*8760*$C$18*$C$17*Connectivity!$C$13/Rates!$D$4*(1+$C$22)^MOD(V$56-1,$C$21)*V$65-('Compute-Revenue'!$B$23+$C$9*B$34+B$43+B$44+B$45)-IF(AND(MOD(V$56,$C$21)=0,V$56&lt;Rates!$D$71),B$34,0),0)</f>
        <v/>
      </c>
      <c r="W84" s="90">
        <f>IF(W$56&lt;=Rates!$D$71,B$33*8760*$C$18*$C$17*Connectivity!$C$13/Rates!$D$4*(1+$C$22)^MOD(W$56-1,$C$21)*W$65-('Compute-Revenue'!$B$23+$C$9*B$34+B$43+B$44+B$45)-IF(AND(MOD(W$56,$C$21)=0,W$56&lt;Rates!$D$71),B$34,0),0)</f>
        <v/>
      </c>
      <c r="X84" s="90">
        <f>IF(X$56&lt;=Rates!$D$71,B$33*8760*$C$18*$C$17*Connectivity!$C$13/Rates!$D$4*(1+$C$22)^MOD(X$56-1,$C$21)*X$65-('Compute-Revenue'!$B$23+$C$9*B$34+B$43+B$44+B$45)-IF(AND(MOD(X$56,$C$21)=0,X$56&lt;Rates!$D$71),B$34,0),0)</f>
        <v/>
      </c>
      <c r="Y84" s="90">
        <f>IF(Y$56&lt;=Rates!$D$71,B$33*8760*$C$18*$C$17*Connectivity!$C$13/Rates!$D$4*(1+$C$22)^MOD(Y$56-1,$C$21)*Y$65-('Compute-Revenue'!$B$23+$C$9*B$34+B$43+B$44+B$45)-IF(AND(MOD(Y$56,$C$21)=0,Y$56&lt;Rates!$D$71),B$34,0),0)</f>
        <v/>
      </c>
      <c r="Z84" s="90">
        <f>IF(Z$56&lt;=Rates!$D$71,B$33*8760*$C$18*$C$17*Connectivity!$C$13/Rates!$D$4*(1+$C$22)^MOD(Z$56-1,$C$21)*Z$65-('Compute-Revenue'!$B$23+$C$9*B$34+B$43+B$44+B$45)-IF(AND(MOD(Z$56,$C$21)=0,Z$56&lt;Rates!$D$71),B$34,0),0)</f>
        <v/>
      </c>
      <c r="AA84" s="90">
        <f>IF(AA$56&lt;=Rates!$D$71,B$33*8760*$C$18*$C$17*Connectivity!$C$13/Rates!$D$4*(1+$C$22)^MOD(AA$56-1,$C$21)*AA$65-('Compute-Revenue'!$B$23+$C$9*B$34+B$43+B$44+B$45)-IF(AND(MOD(AA$56,$C$21)=0,AA$56&lt;Rates!$D$71),B$34,0),0)</f>
        <v/>
      </c>
      <c r="AB84" s="90">
        <f>IF(AB$56&lt;=Rates!$D$71,B$33*8760*$C$18*$C$17*Connectivity!$C$13/Rates!$D$4*(1+$C$22)^MOD(AB$56-1,$C$21)*AB$65-('Compute-Revenue'!$B$23+$C$9*B$34+B$43+B$44+B$45)-IF(AND(MOD(AB$56,$C$21)=0,AB$56&lt;Rates!$D$71),B$34,0),0)</f>
        <v/>
      </c>
    </row>
    <row r="85">
      <c r="A85" s="68" t="inlineStr">
        <is>
          <t>helper: p_cw x u_base</t>
        </is>
      </c>
      <c r="C85" s="90">
        <f>-B$36</f>
        <v/>
      </c>
      <c r="D85" s="90">
        <f>IF(D$56&lt;=Rates!$D$71,B$33*8760*$C$19*$C$17*Connectivity!$C$13/Rates!$D$4*(1+$C$22)^MOD(D$56-1,$C$21)*D$65-('Compute-Revenue'!$B$23+$C$9*B$34+B$43+B$44+B$45)-IF(AND(MOD(D$56,$C$21)=0,D$56&lt;Rates!$D$71),B$34,0),0)</f>
        <v/>
      </c>
      <c r="E85" s="90">
        <f>IF(E$56&lt;=Rates!$D$71,B$33*8760*$C$19*$C$17*Connectivity!$C$13/Rates!$D$4*(1+$C$22)^MOD(E$56-1,$C$21)*E$65-('Compute-Revenue'!$B$23+$C$9*B$34+B$43+B$44+B$45)-IF(AND(MOD(E$56,$C$21)=0,E$56&lt;Rates!$D$71),B$34,0),0)</f>
        <v/>
      </c>
      <c r="F85" s="90">
        <f>IF(F$56&lt;=Rates!$D$71,B$33*8760*$C$19*$C$17*Connectivity!$C$13/Rates!$D$4*(1+$C$22)^MOD(F$56-1,$C$21)*F$65-('Compute-Revenue'!$B$23+$C$9*B$34+B$43+B$44+B$45)-IF(AND(MOD(F$56,$C$21)=0,F$56&lt;Rates!$D$71),B$34,0),0)</f>
        <v/>
      </c>
      <c r="G85" s="90">
        <f>IF(G$56&lt;=Rates!$D$71,B$33*8760*$C$19*$C$17*Connectivity!$C$13/Rates!$D$4*(1+$C$22)^MOD(G$56-1,$C$21)*G$65-('Compute-Revenue'!$B$23+$C$9*B$34+B$43+B$44+B$45)-IF(AND(MOD(G$56,$C$21)=0,G$56&lt;Rates!$D$71),B$34,0),0)</f>
        <v/>
      </c>
      <c r="H85" s="90">
        <f>IF(H$56&lt;=Rates!$D$71,B$33*8760*$C$19*$C$17*Connectivity!$C$13/Rates!$D$4*(1+$C$22)^MOD(H$56-1,$C$21)*H$65-('Compute-Revenue'!$B$23+$C$9*B$34+B$43+B$44+B$45)-IF(AND(MOD(H$56,$C$21)=0,H$56&lt;Rates!$D$71),B$34,0),0)</f>
        <v/>
      </c>
      <c r="I85" s="90">
        <f>IF(I$56&lt;=Rates!$D$71,B$33*8760*$C$19*$C$17*Connectivity!$C$13/Rates!$D$4*(1+$C$22)^MOD(I$56-1,$C$21)*I$65-('Compute-Revenue'!$B$23+$C$9*B$34+B$43+B$44+B$45)-IF(AND(MOD(I$56,$C$21)=0,I$56&lt;Rates!$D$71),B$34,0),0)</f>
        <v/>
      </c>
      <c r="J85" s="90">
        <f>IF(J$56&lt;=Rates!$D$71,B$33*8760*$C$19*$C$17*Connectivity!$C$13/Rates!$D$4*(1+$C$22)^MOD(J$56-1,$C$21)*J$65-('Compute-Revenue'!$B$23+$C$9*B$34+B$43+B$44+B$45)-IF(AND(MOD(J$56,$C$21)=0,J$56&lt;Rates!$D$71),B$34,0),0)</f>
        <v/>
      </c>
      <c r="K85" s="90">
        <f>IF(K$56&lt;=Rates!$D$71,B$33*8760*$C$19*$C$17*Connectivity!$C$13/Rates!$D$4*(1+$C$22)^MOD(K$56-1,$C$21)*K$65-('Compute-Revenue'!$B$23+$C$9*B$34+B$43+B$44+B$45)-IF(AND(MOD(K$56,$C$21)=0,K$56&lt;Rates!$D$71),B$34,0),0)</f>
        <v/>
      </c>
      <c r="L85" s="90">
        <f>IF(L$56&lt;=Rates!$D$71,B$33*8760*$C$19*$C$17*Connectivity!$C$13/Rates!$D$4*(1+$C$22)^MOD(L$56-1,$C$21)*L$65-('Compute-Revenue'!$B$23+$C$9*B$34+B$43+B$44+B$45)-IF(AND(MOD(L$56,$C$21)=0,L$56&lt;Rates!$D$71),B$34,0),0)</f>
        <v/>
      </c>
      <c r="M85" s="90">
        <f>IF(M$56&lt;=Rates!$D$71,B$33*8760*$C$19*$C$17*Connectivity!$C$13/Rates!$D$4*(1+$C$22)^MOD(M$56-1,$C$21)*M$65-('Compute-Revenue'!$B$23+$C$9*B$34+B$43+B$44+B$45)-IF(AND(MOD(M$56,$C$21)=0,M$56&lt;Rates!$D$71),B$34,0),0)</f>
        <v/>
      </c>
      <c r="N85" s="90">
        <f>IF(N$56&lt;=Rates!$D$71,B$33*8760*$C$19*$C$17*Connectivity!$C$13/Rates!$D$4*(1+$C$22)^MOD(N$56-1,$C$21)*N$65-('Compute-Revenue'!$B$23+$C$9*B$34+B$43+B$44+B$45)-IF(AND(MOD(N$56,$C$21)=0,N$56&lt;Rates!$D$71),B$34,0),0)</f>
        <v/>
      </c>
      <c r="O85" s="90">
        <f>IF(O$56&lt;=Rates!$D$71,B$33*8760*$C$19*$C$17*Connectivity!$C$13/Rates!$D$4*(1+$C$22)^MOD(O$56-1,$C$21)*O$65-('Compute-Revenue'!$B$23+$C$9*B$34+B$43+B$44+B$45)-IF(AND(MOD(O$56,$C$21)=0,O$56&lt;Rates!$D$71),B$34,0),0)</f>
        <v/>
      </c>
      <c r="P85" s="90">
        <f>IF(P$56&lt;=Rates!$D$71,B$33*8760*$C$19*$C$17*Connectivity!$C$13/Rates!$D$4*(1+$C$22)^MOD(P$56-1,$C$21)*P$65-('Compute-Revenue'!$B$23+$C$9*B$34+B$43+B$44+B$45)-IF(AND(MOD(P$56,$C$21)=0,P$56&lt;Rates!$D$71),B$34,0),0)</f>
        <v/>
      </c>
      <c r="Q85" s="90">
        <f>IF(Q$56&lt;=Rates!$D$71,B$33*8760*$C$19*$C$17*Connectivity!$C$13/Rates!$D$4*(1+$C$22)^MOD(Q$56-1,$C$21)*Q$65-('Compute-Revenue'!$B$23+$C$9*B$34+B$43+B$44+B$45)-IF(AND(MOD(Q$56,$C$21)=0,Q$56&lt;Rates!$D$71),B$34,0),0)</f>
        <v/>
      </c>
      <c r="R85" s="90">
        <f>IF(R$56&lt;=Rates!$D$71,B$33*8760*$C$19*$C$17*Connectivity!$C$13/Rates!$D$4*(1+$C$22)^MOD(R$56-1,$C$21)*R$65-('Compute-Revenue'!$B$23+$C$9*B$34+B$43+B$44+B$45)-IF(AND(MOD(R$56,$C$21)=0,R$56&lt;Rates!$D$71),B$34,0),0)</f>
        <v/>
      </c>
      <c r="S85" s="90">
        <f>IF(S$56&lt;=Rates!$D$71,B$33*8760*$C$19*$C$17*Connectivity!$C$13/Rates!$D$4*(1+$C$22)^MOD(S$56-1,$C$21)*S$65-('Compute-Revenue'!$B$23+$C$9*B$34+B$43+B$44+B$45)-IF(AND(MOD(S$56,$C$21)=0,S$56&lt;Rates!$D$71),B$34,0),0)</f>
        <v/>
      </c>
      <c r="T85" s="90">
        <f>IF(T$56&lt;=Rates!$D$71,B$33*8760*$C$19*$C$17*Connectivity!$C$13/Rates!$D$4*(1+$C$22)^MOD(T$56-1,$C$21)*T$65-('Compute-Revenue'!$B$23+$C$9*B$34+B$43+B$44+B$45)-IF(AND(MOD(T$56,$C$21)=0,T$56&lt;Rates!$D$71),B$34,0),0)</f>
        <v/>
      </c>
      <c r="U85" s="90">
        <f>IF(U$56&lt;=Rates!$D$71,B$33*8760*$C$19*$C$17*Connectivity!$C$13/Rates!$D$4*(1+$C$22)^MOD(U$56-1,$C$21)*U$65-('Compute-Revenue'!$B$23+$C$9*B$34+B$43+B$44+B$45)-IF(AND(MOD(U$56,$C$21)=0,U$56&lt;Rates!$D$71),B$34,0),0)</f>
        <v/>
      </c>
      <c r="V85" s="90">
        <f>IF(V$56&lt;=Rates!$D$71,B$33*8760*$C$19*$C$17*Connectivity!$C$13/Rates!$D$4*(1+$C$22)^MOD(V$56-1,$C$21)*V$65-('Compute-Revenue'!$B$23+$C$9*B$34+B$43+B$44+B$45)-IF(AND(MOD(V$56,$C$21)=0,V$56&lt;Rates!$D$71),B$34,0),0)</f>
        <v/>
      </c>
      <c r="W85" s="90">
        <f>IF(W$56&lt;=Rates!$D$71,B$33*8760*$C$19*$C$17*Connectivity!$C$13/Rates!$D$4*(1+$C$22)^MOD(W$56-1,$C$21)*W$65-('Compute-Revenue'!$B$23+$C$9*B$34+B$43+B$44+B$45)-IF(AND(MOD(W$56,$C$21)=0,W$56&lt;Rates!$D$71),B$34,0),0)</f>
        <v/>
      </c>
      <c r="X85" s="90">
        <f>IF(X$56&lt;=Rates!$D$71,B$33*8760*$C$19*$C$17*Connectivity!$C$13/Rates!$D$4*(1+$C$22)^MOD(X$56-1,$C$21)*X$65-('Compute-Revenue'!$B$23+$C$9*B$34+B$43+B$44+B$45)-IF(AND(MOD(X$56,$C$21)=0,X$56&lt;Rates!$D$71),B$34,0),0)</f>
        <v/>
      </c>
      <c r="Y85" s="90">
        <f>IF(Y$56&lt;=Rates!$D$71,B$33*8760*$C$19*$C$17*Connectivity!$C$13/Rates!$D$4*(1+$C$22)^MOD(Y$56-1,$C$21)*Y$65-('Compute-Revenue'!$B$23+$C$9*B$34+B$43+B$44+B$45)-IF(AND(MOD(Y$56,$C$21)=0,Y$56&lt;Rates!$D$71),B$34,0),0)</f>
        <v/>
      </c>
      <c r="Z85" s="90">
        <f>IF(Z$56&lt;=Rates!$D$71,B$33*8760*$C$19*$C$17*Connectivity!$C$13/Rates!$D$4*(1+$C$22)^MOD(Z$56-1,$C$21)*Z$65-('Compute-Revenue'!$B$23+$C$9*B$34+B$43+B$44+B$45)-IF(AND(MOD(Z$56,$C$21)=0,Z$56&lt;Rates!$D$71),B$34,0),0)</f>
        <v/>
      </c>
      <c r="AA85" s="90">
        <f>IF(AA$56&lt;=Rates!$D$71,B$33*8760*$C$19*$C$17*Connectivity!$C$13/Rates!$D$4*(1+$C$22)^MOD(AA$56-1,$C$21)*AA$65-('Compute-Revenue'!$B$23+$C$9*B$34+B$43+B$44+B$45)-IF(AND(MOD(AA$56,$C$21)=0,AA$56&lt;Rates!$D$71),B$34,0),0)</f>
        <v/>
      </c>
      <c r="AB85" s="90">
        <f>IF(AB$56&lt;=Rates!$D$71,B$33*8760*$C$19*$C$17*Connectivity!$C$13/Rates!$D$4*(1+$C$22)^MOD(AB$56-1,$C$21)*AB$65-('Compute-Revenue'!$B$23+$C$9*B$34+B$43+B$44+B$45)-IF(AND(MOD(AB$56,$C$21)=0,AB$56&lt;Rates!$D$71),B$34,0),0)</f>
        <v/>
      </c>
    </row>
    <row r="86">
      <c r="A86" s="68" t="inlineStr">
        <is>
          <t>helper: p_cw x u_high</t>
        </is>
      </c>
      <c r="C86" s="90">
        <f>-B$36</f>
        <v/>
      </c>
      <c r="D86" s="90">
        <f>IF(D$56&lt;=Rates!$D$71,B$33*8760*$C$20*$C$17*Connectivity!$C$13/Rates!$D$4*(1+$C$22)^MOD(D$56-1,$C$21)*D$65-('Compute-Revenue'!$B$23+$C$9*B$34+B$43+B$44+B$45)-IF(AND(MOD(D$56,$C$21)=0,D$56&lt;Rates!$D$71),B$34,0),0)</f>
        <v/>
      </c>
      <c r="E86" s="90">
        <f>IF(E$56&lt;=Rates!$D$71,B$33*8760*$C$20*$C$17*Connectivity!$C$13/Rates!$D$4*(1+$C$22)^MOD(E$56-1,$C$21)*E$65-('Compute-Revenue'!$B$23+$C$9*B$34+B$43+B$44+B$45)-IF(AND(MOD(E$56,$C$21)=0,E$56&lt;Rates!$D$71),B$34,0),0)</f>
        <v/>
      </c>
      <c r="F86" s="90">
        <f>IF(F$56&lt;=Rates!$D$71,B$33*8760*$C$20*$C$17*Connectivity!$C$13/Rates!$D$4*(1+$C$22)^MOD(F$56-1,$C$21)*F$65-('Compute-Revenue'!$B$23+$C$9*B$34+B$43+B$44+B$45)-IF(AND(MOD(F$56,$C$21)=0,F$56&lt;Rates!$D$71),B$34,0),0)</f>
        <v/>
      </c>
      <c r="G86" s="90">
        <f>IF(G$56&lt;=Rates!$D$71,B$33*8760*$C$20*$C$17*Connectivity!$C$13/Rates!$D$4*(1+$C$22)^MOD(G$56-1,$C$21)*G$65-('Compute-Revenue'!$B$23+$C$9*B$34+B$43+B$44+B$45)-IF(AND(MOD(G$56,$C$21)=0,G$56&lt;Rates!$D$71),B$34,0),0)</f>
        <v/>
      </c>
      <c r="H86" s="90">
        <f>IF(H$56&lt;=Rates!$D$71,B$33*8760*$C$20*$C$17*Connectivity!$C$13/Rates!$D$4*(1+$C$22)^MOD(H$56-1,$C$21)*H$65-('Compute-Revenue'!$B$23+$C$9*B$34+B$43+B$44+B$45)-IF(AND(MOD(H$56,$C$21)=0,H$56&lt;Rates!$D$71),B$34,0),0)</f>
        <v/>
      </c>
      <c r="I86" s="90">
        <f>IF(I$56&lt;=Rates!$D$71,B$33*8760*$C$20*$C$17*Connectivity!$C$13/Rates!$D$4*(1+$C$22)^MOD(I$56-1,$C$21)*I$65-('Compute-Revenue'!$B$23+$C$9*B$34+B$43+B$44+B$45)-IF(AND(MOD(I$56,$C$21)=0,I$56&lt;Rates!$D$71),B$34,0),0)</f>
        <v/>
      </c>
      <c r="J86" s="90">
        <f>IF(J$56&lt;=Rates!$D$71,B$33*8760*$C$20*$C$17*Connectivity!$C$13/Rates!$D$4*(1+$C$22)^MOD(J$56-1,$C$21)*J$65-('Compute-Revenue'!$B$23+$C$9*B$34+B$43+B$44+B$45)-IF(AND(MOD(J$56,$C$21)=0,J$56&lt;Rates!$D$71),B$34,0),0)</f>
        <v/>
      </c>
      <c r="K86" s="90">
        <f>IF(K$56&lt;=Rates!$D$71,B$33*8760*$C$20*$C$17*Connectivity!$C$13/Rates!$D$4*(1+$C$22)^MOD(K$56-1,$C$21)*K$65-('Compute-Revenue'!$B$23+$C$9*B$34+B$43+B$44+B$45)-IF(AND(MOD(K$56,$C$21)=0,K$56&lt;Rates!$D$71),B$34,0),0)</f>
        <v/>
      </c>
      <c r="L86" s="90">
        <f>IF(L$56&lt;=Rates!$D$71,B$33*8760*$C$20*$C$17*Connectivity!$C$13/Rates!$D$4*(1+$C$22)^MOD(L$56-1,$C$21)*L$65-('Compute-Revenue'!$B$23+$C$9*B$34+B$43+B$44+B$45)-IF(AND(MOD(L$56,$C$21)=0,L$56&lt;Rates!$D$71),B$34,0),0)</f>
        <v/>
      </c>
      <c r="M86" s="90">
        <f>IF(M$56&lt;=Rates!$D$71,B$33*8760*$C$20*$C$17*Connectivity!$C$13/Rates!$D$4*(1+$C$22)^MOD(M$56-1,$C$21)*M$65-('Compute-Revenue'!$B$23+$C$9*B$34+B$43+B$44+B$45)-IF(AND(MOD(M$56,$C$21)=0,M$56&lt;Rates!$D$71),B$34,0),0)</f>
        <v/>
      </c>
      <c r="N86" s="90">
        <f>IF(N$56&lt;=Rates!$D$71,B$33*8760*$C$20*$C$17*Connectivity!$C$13/Rates!$D$4*(1+$C$22)^MOD(N$56-1,$C$21)*N$65-('Compute-Revenue'!$B$23+$C$9*B$34+B$43+B$44+B$45)-IF(AND(MOD(N$56,$C$21)=0,N$56&lt;Rates!$D$71),B$34,0),0)</f>
        <v/>
      </c>
      <c r="O86" s="90">
        <f>IF(O$56&lt;=Rates!$D$71,B$33*8760*$C$20*$C$17*Connectivity!$C$13/Rates!$D$4*(1+$C$22)^MOD(O$56-1,$C$21)*O$65-('Compute-Revenue'!$B$23+$C$9*B$34+B$43+B$44+B$45)-IF(AND(MOD(O$56,$C$21)=0,O$56&lt;Rates!$D$71),B$34,0),0)</f>
        <v/>
      </c>
      <c r="P86" s="90">
        <f>IF(P$56&lt;=Rates!$D$71,B$33*8760*$C$20*$C$17*Connectivity!$C$13/Rates!$D$4*(1+$C$22)^MOD(P$56-1,$C$21)*P$65-('Compute-Revenue'!$B$23+$C$9*B$34+B$43+B$44+B$45)-IF(AND(MOD(P$56,$C$21)=0,P$56&lt;Rates!$D$71),B$34,0),0)</f>
        <v/>
      </c>
      <c r="Q86" s="90">
        <f>IF(Q$56&lt;=Rates!$D$71,B$33*8760*$C$20*$C$17*Connectivity!$C$13/Rates!$D$4*(1+$C$22)^MOD(Q$56-1,$C$21)*Q$65-('Compute-Revenue'!$B$23+$C$9*B$34+B$43+B$44+B$45)-IF(AND(MOD(Q$56,$C$21)=0,Q$56&lt;Rates!$D$71),B$34,0),0)</f>
        <v/>
      </c>
      <c r="R86" s="90">
        <f>IF(R$56&lt;=Rates!$D$71,B$33*8760*$C$20*$C$17*Connectivity!$C$13/Rates!$D$4*(1+$C$22)^MOD(R$56-1,$C$21)*R$65-('Compute-Revenue'!$B$23+$C$9*B$34+B$43+B$44+B$45)-IF(AND(MOD(R$56,$C$21)=0,R$56&lt;Rates!$D$71),B$34,0),0)</f>
        <v/>
      </c>
      <c r="S86" s="90">
        <f>IF(S$56&lt;=Rates!$D$71,B$33*8760*$C$20*$C$17*Connectivity!$C$13/Rates!$D$4*(1+$C$22)^MOD(S$56-1,$C$21)*S$65-('Compute-Revenue'!$B$23+$C$9*B$34+B$43+B$44+B$45)-IF(AND(MOD(S$56,$C$21)=0,S$56&lt;Rates!$D$71),B$34,0),0)</f>
        <v/>
      </c>
      <c r="T86" s="90">
        <f>IF(T$56&lt;=Rates!$D$71,B$33*8760*$C$20*$C$17*Connectivity!$C$13/Rates!$D$4*(1+$C$22)^MOD(T$56-1,$C$21)*T$65-('Compute-Revenue'!$B$23+$C$9*B$34+B$43+B$44+B$45)-IF(AND(MOD(T$56,$C$21)=0,T$56&lt;Rates!$D$71),B$34,0),0)</f>
        <v/>
      </c>
      <c r="U86" s="90">
        <f>IF(U$56&lt;=Rates!$D$71,B$33*8760*$C$20*$C$17*Connectivity!$C$13/Rates!$D$4*(1+$C$22)^MOD(U$56-1,$C$21)*U$65-('Compute-Revenue'!$B$23+$C$9*B$34+B$43+B$44+B$45)-IF(AND(MOD(U$56,$C$21)=0,U$56&lt;Rates!$D$71),B$34,0),0)</f>
        <v/>
      </c>
      <c r="V86" s="90">
        <f>IF(V$56&lt;=Rates!$D$71,B$33*8760*$C$20*$C$17*Connectivity!$C$13/Rates!$D$4*(1+$C$22)^MOD(V$56-1,$C$21)*V$65-('Compute-Revenue'!$B$23+$C$9*B$34+B$43+B$44+B$45)-IF(AND(MOD(V$56,$C$21)=0,V$56&lt;Rates!$D$71),B$34,0),0)</f>
        <v/>
      </c>
      <c r="W86" s="90">
        <f>IF(W$56&lt;=Rates!$D$71,B$33*8760*$C$20*$C$17*Connectivity!$C$13/Rates!$D$4*(1+$C$22)^MOD(W$56-1,$C$21)*W$65-('Compute-Revenue'!$B$23+$C$9*B$34+B$43+B$44+B$45)-IF(AND(MOD(W$56,$C$21)=0,W$56&lt;Rates!$D$71),B$34,0),0)</f>
        <v/>
      </c>
      <c r="X86" s="90">
        <f>IF(X$56&lt;=Rates!$D$71,B$33*8760*$C$20*$C$17*Connectivity!$C$13/Rates!$D$4*(1+$C$22)^MOD(X$56-1,$C$21)*X$65-('Compute-Revenue'!$B$23+$C$9*B$34+B$43+B$44+B$45)-IF(AND(MOD(X$56,$C$21)=0,X$56&lt;Rates!$D$71),B$34,0),0)</f>
        <v/>
      </c>
      <c r="Y86" s="90">
        <f>IF(Y$56&lt;=Rates!$D$71,B$33*8760*$C$20*$C$17*Connectivity!$C$13/Rates!$D$4*(1+$C$22)^MOD(Y$56-1,$C$21)*Y$65-('Compute-Revenue'!$B$23+$C$9*B$34+B$43+B$44+B$45)-IF(AND(MOD(Y$56,$C$21)=0,Y$56&lt;Rates!$D$71),B$34,0),0)</f>
        <v/>
      </c>
      <c r="Z86" s="90">
        <f>IF(Z$56&lt;=Rates!$D$71,B$33*8760*$C$20*$C$17*Connectivity!$C$13/Rates!$D$4*(1+$C$22)^MOD(Z$56-1,$C$21)*Z$65-('Compute-Revenue'!$B$23+$C$9*B$34+B$43+B$44+B$45)-IF(AND(MOD(Z$56,$C$21)=0,Z$56&lt;Rates!$D$71),B$34,0),0)</f>
        <v/>
      </c>
      <c r="AA86" s="90">
        <f>IF(AA$56&lt;=Rates!$D$71,B$33*8760*$C$20*$C$17*Connectivity!$C$13/Rates!$D$4*(1+$C$22)^MOD(AA$56-1,$C$21)*AA$65-('Compute-Revenue'!$B$23+$C$9*B$34+B$43+B$44+B$45)-IF(AND(MOD(AA$56,$C$21)=0,AA$56&lt;Rates!$D$71),B$34,0),0)</f>
        <v/>
      </c>
      <c r="AB86" s="90">
        <f>IF(AB$56&lt;=Rates!$D$71,B$33*8760*$C$20*$C$17*Connectivity!$C$13/Rates!$D$4*(1+$C$22)^MOD(AB$56-1,$C$21)*AB$65-('Compute-Revenue'!$B$23+$C$9*B$34+B$43+B$44+B$45)-IF(AND(MOD(AB$56,$C$21)=0,AB$56&lt;Rates!$D$71),B$34,0),0)</f>
        <v/>
      </c>
    </row>
    <row r="87"/>
    <row r="88"/>
    <row r="89">
      <c r="A89" s="136" t="inlineStr">
        <is>
          <t>SENSITIVITY: AU consolidated 25-yr IRR, price x utilisation, FLAT PRICES</t>
        </is>
      </c>
      <c r="B89" s="137" t="n"/>
      <c r="C89" s="137" t="n"/>
      <c r="D89" s="137" t="n"/>
      <c r="E89" s="137" t="n"/>
      <c r="F89" s="137" t="n"/>
    </row>
    <row r="90">
      <c r="A90" s="68" t="inlineStr">
        <is>
          <t>US$/GPU-h  \  utilisation</t>
        </is>
      </c>
      <c r="B90" s="145">
        <f>$C$18</f>
        <v/>
      </c>
      <c r="C90" s="145">
        <f>$C$19</f>
        <v/>
      </c>
      <c r="D90" s="145">
        <f>$C$20</f>
        <v/>
      </c>
    </row>
    <row r="91">
      <c r="A91" s="123">
        <f>$C$14</f>
        <v/>
      </c>
      <c r="B91" s="91">
        <f>IFERROR(IRR(C97:AB97),IF(SUM(C97:AB97)&lt;0,"never repays","no IRR"))</f>
        <v/>
      </c>
      <c r="C91" s="91">
        <f>IFERROR(IRR(C98:AB98),IF(SUM(C98:AB98)&lt;0,"never repays","no IRR"))</f>
        <v/>
      </c>
      <c r="D91" s="91">
        <f>IFERROR(IRR(C99:AB99),IF(SUM(C99:AB99)&lt;0,"never repays","no IRR"))</f>
        <v/>
      </c>
    </row>
    <row r="92">
      <c r="A92" s="123">
        <f>$C$15</f>
        <v/>
      </c>
      <c r="B92" s="91">
        <f>IFERROR(IRR(C100:AB100),IF(SUM(C100:AB100)&lt;0,"never repays","no IRR"))</f>
        <v/>
      </c>
      <c r="C92" s="91">
        <f>IFERROR(IRR(C101:AB101),IF(SUM(C101:AB101)&lt;0,"never repays","no IRR"))</f>
        <v/>
      </c>
      <c r="D92" s="91">
        <f>IFERROR(IRR(C102:AB102),IF(SUM(C102:AB102)&lt;0,"never repays","no IRR"))</f>
        <v/>
      </c>
    </row>
    <row r="93">
      <c r="A93" s="123">
        <f>$C$16</f>
        <v/>
      </c>
      <c r="B93" s="91">
        <f>IFERROR(IRR(C103:AB103),IF(SUM(C103:AB103)&lt;0,"never repays","no IRR"))</f>
        <v/>
      </c>
      <c r="C93" s="91">
        <f>IFERROR(IRR(C104:AB104),IF(SUM(C104:AB104)&lt;0,"never repays","no IRR"))</f>
        <v/>
      </c>
      <c r="D93" s="91">
        <f>IFERROR(IRR(C105:AB105),IF(SUM(C105:AB105)&lt;0,"never repays","no IRR"))</f>
        <v/>
      </c>
    </row>
    <row r="94">
      <c r="A94" s="123">
        <f>$C$17</f>
        <v/>
      </c>
      <c r="B94" s="91">
        <f>IFERROR(IRR(C106:AB106),IF(SUM(C106:AB106)&lt;0,"never repays","no IRR"))</f>
        <v/>
      </c>
      <c r="C94" s="91">
        <f>IFERROR(IRR(C107:AB107),IF(SUM(C107:AB107)&lt;0,"never repays","no IRR"))</f>
        <v/>
      </c>
      <c r="D94" s="91">
        <f>IFERROR(IRR(C108:AB108),IF(SUM(C108:AB108)&lt;0,"never repays","no IRR"))</f>
        <v/>
      </c>
    </row>
    <row r="95"/>
    <row r="96"/>
    <row r="97">
      <c r="A97" s="68" t="inlineStr">
        <is>
          <t>helper: p_low x u_low</t>
        </is>
      </c>
      <c r="C97" s="90">
        <f>-B$36</f>
        <v/>
      </c>
      <c r="D97" s="90">
        <f>IF(D$56&lt;=Rates!$D$71,B$33*8760*$C$18*$C$14*Connectivity!$C$13/Rates!$D$4*(1+$C$23)^MOD(D$56-1,$C$21)*D$65-('Compute-Revenue'!$B$23+$C$9*B$34+B$43+B$44+B$45)-IF(AND(MOD(D$56,$C$21)=0,D$56&lt;Rates!$D$71),B$34,0),0)</f>
        <v/>
      </c>
      <c r="E97" s="90">
        <f>IF(E$56&lt;=Rates!$D$71,B$33*8760*$C$18*$C$14*Connectivity!$C$13/Rates!$D$4*(1+$C$23)^MOD(E$56-1,$C$21)*E$65-('Compute-Revenue'!$B$23+$C$9*B$34+B$43+B$44+B$45)-IF(AND(MOD(E$56,$C$21)=0,E$56&lt;Rates!$D$71),B$34,0),0)</f>
        <v/>
      </c>
      <c r="F97" s="90">
        <f>IF(F$56&lt;=Rates!$D$71,B$33*8760*$C$18*$C$14*Connectivity!$C$13/Rates!$D$4*(1+$C$23)^MOD(F$56-1,$C$21)*F$65-('Compute-Revenue'!$B$23+$C$9*B$34+B$43+B$44+B$45)-IF(AND(MOD(F$56,$C$21)=0,F$56&lt;Rates!$D$71),B$34,0),0)</f>
        <v/>
      </c>
      <c r="G97" s="90">
        <f>IF(G$56&lt;=Rates!$D$71,B$33*8760*$C$18*$C$14*Connectivity!$C$13/Rates!$D$4*(1+$C$23)^MOD(G$56-1,$C$21)*G$65-('Compute-Revenue'!$B$23+$C$9*B$34+B$43+B$44+B$45)-IF(AND(MOD(G$56,$C$21)=0,G$56&lt;Rates!$D$71),B$34,0),0)</f>
        <v/>
      </c>
      <c r="H97" s="90">
        <f>IF(H$56&lt;=Rates!$D$71,B$33*8760*$C$18*$C$14*Connectivity!$C$13/Rates!$D$4*(1+$C$23)^MOD(H$56-1,$C$21)*H$65-('Compute-Revenue'!$B$23+$C$9*B$34+B$43+B$44+B$45)-IF(AND(MOD(H$56,$C$21)=0,H$56&lt;Rates!$D$71),B$34,0),0)</f>
        <v/>
      </c>
      <c r="I97" s="90">
        <f>IF(I$56&lt;=Rates!$D$71,B$33*8760*$C$18*$C$14*Connectivity!$C$13/Rates!$D$4*(1+$C$23)^MOD(I$56-1,$C$21)*I$65-('Compute-Revenue'!$B$23+$C$9*B$34+B$43+B$44+B$45)-IF(AND(MOD(I$56,$C$21)=0,I$56&lt;Rates!$D$71),B$34,0),0)</f>
        <v/>
      </c>
      <c r="J97" s="90">
        <f>IF(J$56&lt;=Rates!$D$71,B$33*8760*$C$18*$C$14*Connectivity!$C$13/Rates!$D$4*(1+$C$23)^MOD(J$56-1,$C$21)*J$65-('Compute-Revenue'!$B$23+$C$9*B$34+B$43+B$44+B$45)-IF(AND(MOD(J$56,$C$21)=0,J$56&lt;Rates!$D$71),B$34,0),0)</f>
        <v/>
      </c>
      <c r="K97" s="90">
        <f>IF(K$56&lt;=Rates!$D$71,B$33*8760*$C$18*$C$14*Connectivity!$C$13/Rates!$D$4*(1+$C$23)^MOD(K$56-1,$C$21)*K$65-('Compute-Revenue'!$B$23+$C$9*B$34+B$43+B$44+B$45)-IF(AND(MOD(K$56,$C$21)=0,K$56&lt;Rates!$D$71),B$34,0),0)</f>
        <v/>
      </c>
      <c r="L97" s="90">
        <f>IF(L$56&lt;=Rates!$D$71,B$33*8760*$C$18*$C$14*Connectivity!$C$13/Rates!$D$4*(1+$C$23)^MOD(L$56-1,$C$21)*L$65-('Compute-Revenue'!$B$23+$C$9*B$34+B$43+B$44+B$45)-IF(AND(MOD(L$56,$C$21)=0,L$56&lt;Rates!$D$71),B$34,0),0)</f>
        <v/>
      </c>
      <c r="M97" s="90">
        <f>IF(M$56&lt;=Rates!$D$71,B$33*8760*$C$18*$C$14*Connectivity!$C$13/Rates!$D$4*(1+$C$23)^MOD(M$56-1,$C$21)*M$65-('Compute-Revenue'!$B$23+$C$9*B$34+B$43+B$44+B$45)-IF(AND(MOD(M$56,$C$21)=0,M$56&lt;Rates!$D$71),B$34,0),0)</f>
        <v/>
      </c>
      <c r="N97" s="90">
        <f>IF(N$56&lt;=Rates!$D$71,B$33*8760*$C$18*$C$14*Connectivity!$C$13/Rates!$D$4*(1+$C$23)^MOD(N$56-1,$C$21)*N$65-('Compute-Revenue'!$B$23+$C$9*B$34+B$43+B$44+B$45)-IF(AND(MOD(N$56,$C$21)=0,N$56&lt;Rates!$D$71),B$34,0),0)</f>
        <v/>
      </c>
      <c r="O97" s="90">
        <f>IF(O$56&lt;=Rates!$D$71,B$33*8760*$C$18*$C$14*Connectivity!$C$13/Rates!$D$4*(1+$C$23)^MOD(O$56-1,$C$21)*O$65-('Compute-Revenue'!$B$23+$C$9*B$34+B$43+B$44+B$45)-IF(AND(MOD(O$56,$C$21)=0,O$56&lt;Rates!$D$71),B$34,0),0)</f>
        <v/>
      </c>
      <c r="P97" s="90">
        <f>IF(P$56&lt;=Rates!$D$71,B$33*8760*$C$18*$C$14*Connectivity!$C$13/Rates!$D$4*(1+$C$23)^MOD(P$56-1,$C$21)*P$65-('Compute-Revenue'!$B$23+$C$9*B$34+B$43+B$44+B$45)-IF(AND(MOD(P$56,$C$21)=0,P$56&lt;Rates!$D$71),B$34,0),0)</f>
        <v/>
      </c>
      <c r="Q97" s="90">
        <f>IF(Q$56&lt;=Rates!$D$71,B$33*8760*$C$18*$C$14*Connectivity!$C$13/Rates!$D$4*(1+$C$23)^MOD(Q$56-1,$C$21)*Q$65-('Compute-Revenue'!$B$23+$C$9*B$34+B$43+B$44+B$45)-IF(AND(MOD(Q$56,$C$21)=0,Q$56&lt;Rates!$D$71),B$34,0),0)</f>
        <v/>
      </c>
      <c r="R97" s="90">
        <f>IF(R$56&lt;=Rates!$D$71,B$33*8760*$C$18*$C$14*Connectivity!$C$13/Rates!$D$4*(1+$C$23)^MOD(R$56-1,$C$21)*R$65-('Compute-Revenue'!$B$23+$C$9*B$34+B$43+B$44+B$45)-IF(AND(MOD(R$56,$C$21)=0,R$56&lt;Rates!$D$71),B$34,0),0)</f>
        <v/>
      </c>
      <c r="S97" s="90">
        <f>IF(S$56&lt;=Rates!$D$71,B$33*8760*$C$18*$C$14*Connectivity!$C$13/Rates!$D$4*(1+$C$23)^MOD(S$56-1,$C$21)*S$65-('Compute-Revenue'!$B$23+$C$9*B$34+B$43+B$44+B$45)-IF(AND(MOD(S$56,$C$21)=0,S$56&lt;Rates!$D$71),B$34,0),0)</f>
        <v/>
      </c>
      <c r="T97" s="90">
        <f>IF(T$56&lt;=Rates!$D$71,B$33*8760*$C$18*$C$14*Connectivity!$C$13/Rates!$D$4*(1+$C$23)^MOD(T$56-1,$C$21)*T$65-('Compute-Revenue'!$B$23+$C$9*B$34+B$43+B$44+B$45)-IF(AND(MOD(T$56,$C$21)=0,T$56&lt;Rates!$D$71),B$34,0),0)</f>
        <v/>
      </c>
      <c r="U97" s="90">
        <f>IF(U$56&lt;=Rates!$D$71,B$33*8760*$C$18*$C$14*Connectivity!$C$13/Rates!$D$4*(1+$C$23)^MOD(U$56-1,$C$21)*U$65-('Compute-Revenue'!$B$23+$C$9*B$34+B$43+B$44+B$45)-IF(AND(MOD(U$56,$C$21)=0,U$56&lt;Rates!$D$71),B$34,0),0)</f>
        <v/>
      </c>
      <c r="V97" s="90">
        <f>IF(V$56&lt;=Rates!$D$71,B$33*8760*$C$18*$C$14*Connectivity!$C$13/Rates!$D$4*(1+$C$23)^MOD(V$56-1,$C$21)*V$65-('Compute-Revenue'!$B$23+$C$9*B$34+B$43+B$44+B$45)-IF(AND(MOD(V$56,$C$21)=0,V$56&lt;Rates!$D$71),B$34,0),0)</f>
        <v/>
      </c>
      <c r="W97" s="90">
        <f>IF(W$56&lt;=Rates!$D$71,B$33*8760*$C$18*$C$14*Connectivity!$C$13/Rates!$D$4*(1+$C$23)^MOD(W$56-1,$C$21)*W$65-('Compute-Revenue'!$B$23+$C$9*B$34+B$43+B$44+B$45)-IF(AND(MOD(W$56,$C$21)=0,W$56&lt;Rates!$D$71),B$34,0),0)</f>
        <v/>
      </c>
      <c r="X97" s="90">
        <f>IF(X$56&lt;=Rates!$D$71,B$33*8760*$C$18*$C$14*Connectivity!$C$13/Rates!$D$4*(1+$C$23)^MOD(X$56-1,$C$21)*X$65-('Compute-Revenue'!$B$23+$C$9*B$34+B$43+B$44+B$45)-IF(AND(MOD(X$56,$C$21)=0,X$56&lt;Rates!$D$71),B$34,0),0)</f>
        <v/>
      </c>
      <c r="Y97" s="90">
        <f>IF(Y$56&lt;=Rates!$D$71,B$33*8760*$C$18*$C$14*Connectivity!$C$13/Rates!$D$4*(1+$C$23)^MOD(Y$56-1,$C$21)*Y$65-('Compute-Revenue'!$B$23+$C$9*B$34+B$43+B$44+B$45)-IF(AND(MOD(Y$56,$C$21)=0,Y$56&lt;Rates!$D$71),B$34,0),0)</f>
        <v/>
      </c>
      <c r="Z97" s="90">
        <f>IF(Z$56&lt;=Rates!$D$71,B$33*8760*$C$18*$C$14*Connectivity!$C$13/Rates!$D$4*(1+$C$23)^MOD(Z$56-1,$C$21)*Z$65-('Compute-Revenue'!$B$23+$C$9*B$34+B$43+B$44+B$45)-IF(AND(MOD(Z$56,$C$21)=0,Z$56&lt;Rates!$D$71),B$34,0),0)</f>
        <v/>
      </c>
      <c r="AA97" s="90">
        <f>IF(AA$56&lt;=Rates!$D$71,B$33*8760*$C$18*$C$14*Connectivity!$C$13/Rates!$D$4*(1+$C$23)^MOD(AA$56-1,$C$21)*AA$65-('Compute-Revenue'!$B$23+$C$9*B$34+B$43+B$44+B$45)-IF(AND(MOD(AA$56,$C$21)=0,AA$56&lt;Rates!$D$71),B$34,0),0)</f>
        <v/>
      </c>
      <c r="AB97" s="90">
        <f>IF(AB$56&lt;=Rates!$D$71,B$33*8760*$C$18*$C$14*Connectivity!$C$13/Rates!$D$4*(1+$C$23)^MOD(AB$56-1,$C$21)*AB$65-('Compute-Revenue'!$B$23+$C$9*B$34+B$43+B$44+B$45)-IF(AND(MOD(AB$56,$C$21)=0,AB$56&lt;Rates!$D$71),B$34,0),0)</f>
        <v/>
      </c>
    </row>
    <row r="98">
      <c r="A98" s="68" t="inlineStr">
        <is>
          <t>helper: p_low x u_base</t>
        </is>
      </c>
      <c r="C98" s="90">
        <f>-B$36</f>
        <v/>
      </c>
      <c r="D98" s="90">
        <f>IF(D$56&lt;=Rates!$D$71,B$33*8760*$C$19*$C$14*Connectivity!$C$13/Rates!$D$4*(1+$C$23)^MOD(D$56-1,$C$21)*D$65-('Compute-Revenue'!$B$23+$C$9*B$34+B$43+B$44+B$45)-IF(AND(MOD(D$56,$C$21)=0,D$56&lt;Rates!$D$71),B$34,0),0)</f>
        <v/>
      </c>
      <c r="E98" s="90">
        <f>IF(E$56&lt;=Rates!$D$71,B$33*8760*$C$19*$C$14*Connectivity!$C$13/Rates!$D$4*(1+$C$23)^MOD(E$56-1,$C$21)*E$65-('Compute-Revenue'!$B$23+$C$9*B$34+B$43+B$44+B$45)-IF(AND(MOD(E$56,$C$21)=0,E$56&lt;Rates!$D$71),B$34,0),0)</f>
        <v/>
      </c>
      <c r="F98" s="90">
        <f>IF(F$56&lt;=Rates!$D$71,B$33*8760*$C$19*$C$14*Connectivity!$C$13/Rates!$D$4*(1+$C$23)^MOD(F$56-1,$C$21)*F$65-('Compute-Revenue'!$B$23+$C$9*B$34+B$43+B$44+B$45)-IF(AND(MOD(F$56,$C$21)=0,F$56&lt;Rates!$D$71),B$34,0),0)</f>
        <v/>
      </c>
      <c r="G98" s="90">
        <f>IF(G$56&lt;=Rates!$D$71,B$33*8760*$C$19*$C$14*Connectivity!$C$13/Rates!$D$4*(1+$C$23)^MOD(G$56-1,$C$21)*G$65-('Compute-Revenue'!$B$23+$C$9*B$34+B$43+B$44+B$45)-IF(AND(MOD(G$56,$C$21)=0,G$56&lt;Rates!$D$71),B$34,0),0)</f>
        <v/>
      </c>
      <c r="H98" s="90">
        <f>IF(H$56&lt;=Rates!$D$71,B$33*8760*$C$19*$C$14*Connectivity!$C$13/Rates!$D$4*(1+$C$23)^MOD(H$56-1,$C$21)*H$65-('Compute-Revenue'!$B$23+$C$9*B$34+B$43+B$44+B$45)-IF(AND(MOD(H$56,$C$21)=0,H$56&lt;Rates!$D$71),B$34,0),0)</f>
        <v/>
      </c>
      <c r="I98" s="90">
        <f>IF(I$56&lt;=Rates!$D$71,B$33*8760*$C$19*$C$14*Connectivity!$C$13/Rates!$D$4*(1+$C$23)^MOD(I$56-1,$C$21)*I$65-('Compute-Revenue'!$B$23+$C$9*B$34+B$43+B$44+B$45)-IF(AND(MOD(I$56,$C$21)=0,I$56&lt;Rates!$D$71),B$34,0),0)</f>
        <v/>
      </c>
      <c r="J98" s="90">
        <f>IF(J$56&lt;=Rates!$D$71,B$33*8760*$C$19*$C$14*Connectivity!$C$13/Rates!$D$4*(1+$C$23)^MOD(J$56-1,$C$21)*J$65-('Compute-Revenue'!$B$23+$C$9*B$34+B$43+B$44+B$45)-IF(AND(MOD(J$56,$C$21)=0,J$56&lt;Rates!$D$71),B$34,0),0)</f>
        <v/>
      </c>
      <c r="K98" s="90">
        <f>IF(K$56&lt;=Rates!$D$71,B$33*8760*$C$19*$C$14*Connectivity!$C$13/Rates!$D$4*(1+$C$23)^MOD(K$56-1,$C$21)*K$65-('Compute-Revenue'!$B$23+$C$9*B$34+B$43+B$44+B$45)-IF(AND(MOD(K$56,$C$21)=0,K$56&lt;Rates!$D$71),B$34,0),0)</f>
        <v/>
      </c>
      <c r="L98" s="90">
        <f>IF(L$56&lt;=Rates!$D$71,B$33*8760*$C$19*$C$14*Connectivity!$C$13/Rates!$D$4*(1+$C$23)^MOD(L$56-1,$C$21)*L$65-('Compute-Revenue'!$B$23+$C$9*B$34+B$43+B$44+B$45)-IF(AND(MOD(L$56,$C$21)=0,L$56&lt;Rates!$D$71),B$34,0),0)</f>
        <v/>
      </c>
      <c r="M98" s="90">
        <f>IF(M$56&lt;=Rates!$D$71,B$33*8760*$C$19*$C$14*Connectivity!$C$13/Rates!$D$4*(1+$C$23)^MOD(M$56-1,$C$21)*M$65-('Compute-Revenue'!$B$23+$C$9*B$34+B$43+B$44+B$45)-IF(AND(MOD(M$56,$C$21)=0,M$56&lt;Rates!$D$71),B$34,0),0)</f>
        <v/>
      </c>
      <c r="N98" s="90">
        <f>IF(N$56&lt;=Rates!$D$71,B$33*8760*$C$19*$C$14*Connectivity!$C$13/Rates!$D$4*(1+$C$23)^MOD(N$56-1,$C$21)*N$65-('Compute-Revenue'!$B$23+$C$9*B$34+B$43+B$44+B$45)-IF(AND(MOD(N$56,$C$21)=0,N$56&lt;Rates!$D$71),B$34,0),0)</f>
        <v/>
      </c>
      <c r="O98" s="90">
        <f>IF(O$56&lt;=Rates!$D$71,B$33*8760*$C$19*$C$14*Connectivity!$C$13/Rates!$D$4*(1+$C$23)^MOD(O$56-1,$C$21)*O$65-('Compute-Revenue'!$B$23+$C$9*B$34+B$43+B$44+B$45)-IF(AND(MOD(O$56,$C$21)=0,O$56&lt;Rates!$D$71),B$34,0),0)</f>
        <v/>
      </c>
      <c r="P98" s="90">
        <f>IF(P$56&lt;=Rates!$D$71,B$33*8760*$C$19*$C$14*Connectivity!$C$13/Rates!$D$4*(1+$C$23)^MOD(P$56-1,$C$21)*P$65-('Compute-Revenue'!$B$23+$C$9*B$34+B$43+B$44+B$45)-IF(AND(MOD(P$56,$C$21)=0,P$56&lt;Rates!$D$71),B$34,0),0)</f>
        <v/>
      </c>
      <c r="Q98" s="90">
        <f>IF(Q$56&lt;=Rates!$D$71,B$33*8760*$C$19*$C$14*Connectivity!$C$13/Rates!$D$4*(1+$C$23)^MOD(Q$56-1,$C$21)*Q$65-('Compute-Revenue'!$B$23+$C$9*B$34+B$43+B$44+B$45)-IF(AND(MOD(Q$56,$C$21)=0,Q$56&lt;Rates!$D$71),B$34,0),0)</f>
        <v/>
      </c>
      <c r="R98" s="90">
        <f>IF(R$56&lt;=Rates!$D$71,B$33*8760*$C$19*$C$14*Connectivity!$C$13/Rates!$D$4*(1+$C$23)^MOD(R$56-1,$C$21)*R$65-('Compute-Revenue'!$B$23+$C$9*B$34+B$43+B$44+B$45)-IF(AND(MOD(R$56,$C$21)=0,R$56&lt;Rates!$D$71),B$34,0),0)</f>
        <v/>
      </c>
      <c r="S98" s="90">
        <f>IF(S$56&lt;=Rates!$D$71,B$33*8760*$C$19*$C$14*Connectivity!$C$13/Rates!$D$4*(1+$C$23)^MOD(S$56-1,$C$21)*S$65-('Compute-Revenue'!$B$23+$C$9*B$34+B$43+B$44+B$45)-IF(AND(MOD(S$56,$C$21)=0,S$56&lt;Rates!$D$71),B$34,0),0)</f>
        <v/>
      </c>
      <c r="T98" s="90">
        <f>IF(T$56&lt;=Rates!$D$71,B$33*8760*$C$19*$C$14*Connectivity!$C$13/Rates!$D$4*(1+$C$23)^MOD(T$56-1,$C$21)*T$65-('Compute-Revenue'!$B$23+$C$9*B$34+B$43+B$44+B$45)-IF(AND(MOD(T$56,$C$21)=0,T$56&lt;Rates!$D$71),B$34,0),0)</f>
        <v/>
      </c>
      <c r="U98" s="90">
        <f>IF(U$56&lt;=Rates!$D$71,B$33*8760*$C$19*$C$14*Connectivity!$C$13/Rates!$D$4*(1+$C$23)^MOD(U$56-1,$C$21)*U$65-('Compute-Revenue'!$B$23+$C$9*B$34+B$43+B$44+B$45)-IF(AND(MOD(U$56,$C$21)=0,U$56&lt;Rates!$D$71),B$34,0),0)</f>
        <v/>
      </c>
      <c r="V98" s="90">
        <f>IF(V$56&lt;=Rates!$D$71,B$33*8760*$C$19*$C$14*Connectivity!$C$13/Rates!$D$4*(1+$C$23)^MOD(V$56-1,$C$21)*V$65-('Compute-Revenue'!$B$23+$C$9*B$34+B$43+B$44+B$45)-IF(AND(MOD(V$56,$C$21)=0,V$56&lt;Rates!$D$71),B$34,0),0)</f>
        <v/>
      </c>
      <c r="W98" s="90">
        <f>IF(W$56&lt;=Rates!$D$71,B$33*8760*$C$19*$C$14*Connectivity!$C$13/Rates!$D$4*(1+$C$23)^MOD(W$56-1,$C$21)*W$65-('Compute-Revenue'!$B$23+$C$9*B$34+B$43+B$44+B$45)-IF(AND(MOD(W$56,$C$21)=0,W$56&lt;Rates!$D$71),B$34,0),0)</f>
        <v/>
      </c>
      <c r="X98" s="90">
        <f>IF(X$56&lt;=Rates!$D$71,B$33*8760*$C$19*$C$14*Connectivity!$C$13/Rates!$D$4*(1+$C$23)^MOD(X$56-1,$C$21)*X$65-('Compute-Revenue'!$B$23+$C$9*B$34+B$43+B$44+B$45)-IF(AND(MOD(X$56,$C$21)=0,X$56&lt;Rates!$D$71),B$34,0),0)</f>
        <v/>
      </c>
      <c r="Y98" s="90">
        <f>IF(Y$56&lt;=Rates!$D$71,B$33*8760*$C$19*$C$14*Connectivity!$C$13/Rates!$D$4*(1+$C$23)^MOD(Y$56-1,$C$21)*Y$65-('Compute-Revenue'!$B$23+$C$9*B$34+B$43+B$44+B$45)-IF(AND(MOD(Y$56,$C$21)=0,Y$56&lt;Rates!$D$71),B$34,0),0)</f>
        <v/>
      </c>
      <c r="Z98" s="90">
        <f>IF(Z$56&lt;=Rates!$D$71,B$33*8760*$C$19*$C$14*Connectivity!$C$13/Rates!$D$4*(1+$C$23)^MOD(Z$56-1,$C$21)*Z$65-('Compute-Revenue'!$B$23+$C$9*B$34+B$43+B$44+B$45)-IF(AND(MOD(Z$56,$C$21)=0,Z$56&lt;Rates!$D$71),B$34,0),0)</f>
        <v/>
      </c>
      <c r="AA98" s="90">
        <f>IF(AA$56&lt;=Rates!$D$71,B$33*8760*$C$19*$C$14*Connectivity!$C$13/Rates!$D$4*(1+$C$23)^MOD(AA$56-1,$C$21)*AA$65-('Compute-Revenue'!$B$23+$C$9*B$34+B$43+B$44+B$45)-IF(AND(MOD(AA$56,$C$21)=0,AA$56&lt;Rates!$D$71),B$34,0),0)</f>
        <v/>
      </c>
      <c r="AB98" s="90">
        <f>IF(AB$56&lt;=Rates!$D$71,B$33*8760*$C$19*$C$14*Connectivity!$C$13/Rates!$D$4*(1+$C$23)^MOD(AB$56-1,$C$21)*AB$65-('Compute-Revenue'!$B$23+$C$9*B$34+B$43+B$44+B$45)-IF(AND(MOD(AB$56,$C$21)=0,AB$56&lt;Rates!$D$71),B$34,0),0)</f>
        <v/>
      </c>
    </row>
    <row r="99">
      <c r="A99" s="68" t="inlineStr">
        <is>
          <t>helper: p_low x u_high</t>
        </is>
      </c>
      <c r="C99" s="90">
        <f>-B$36</f>
        <v/>
      </c>
      <c r="D99" s="90">
        <f>IF(D$56&lt;=Rates!$D$71,B$33*8760*$C$20*$C$14*Connectivity!$C$13/Rates!$D$4*(1+$C$23)^MOD(D$56-1,$C$21)*D$65-('Compute-Revenue'!$B$23+$C$9*B$34+B$43+B$44+B$45)-IF(AND(MOD(D$56,$C$21)=0,D$56&lt;Rates!$D$71),B$34,0),0)</f>
        <v/>
      </c>
      <c r="E99" s="90">
        <f>IF(E$56&lt;=Rates!$D$71,B$33*8760*$C$20*$C$14*Connectivity!$C$13/Rates!$D$4*(1+$C$23)^MOD(E$56-1,$C$21)*E$65-('Compute-Revenue'!$B$23+$C$9*B$34+B$43+B$44+B$45)-IF(AND(MOD(E$56,$C$21)=0,E$56&lt;Rates!$D$71),B$34,0),0)</f>
        <v/>
      </c>
      <c r="F99" s="90">
        <f>IF(F$56&lt;=Rates!$D$71,B$33*8760*$C$20*$C$14*Connectivity!$C$13/Rates!$D$4*(1+$C$23)^MOD(F$56-1,$C$21)*F$65-('Compute-Revenue'!$B$23+$C$9*B$34+B$43+B$44+B$45)-IF(AND(MOD(F$56,$C$21)=0,F$56&lt;Rates!$D$71),B$34,0),0)</f>
        <v/>
      </c>
      <c r="G99" s="90">
        <f>IF(G$56&lt;=Rates!$D$71,B$33*8760*$C$20*$C$14*Connectivity!$C$13/Rates!$D$4*(1+$C$23)^MOD(G$56-1,$C$21)*G$65-('Compute-Revenue'!$B$23+$C$9*B$34+B$43+B$44+B$45)-IF(AND(MOD(G$56,$C$21)=0,G$56&lt;Rates!$D$71),B$34,0),0)</f>
        <v/>
      </c>
      <c r="H99" s="90">
        <f>IF(H$56&lt;=Rates!$D$71,B$33*8760*$C$20*$C$14*Connectivity!$C$13/Rates!$D$4*(1+$C$23)^MOD(H$56-1,$C$21)*H$65-('Compute-Revenue'!$B$23+$C$9*B$34+B$43+B$44+B$45)-IF(AND(MOD(H$56,$C$21)=0,H$56&lt;Rates!$D$71),B$34,0),0)</f>
        <v/>
      </c>
      <c r="I99" s="90">
        <f>IF(I$56&lt;=Rates!$D$71,B$33*8760*$C$20*$C$14*Connectivity!$C$13/Rates!$D$4*(1+$C$23)^MOD(I$56-1,$C$21)*I$65-('Compute-Revenue'!$B$23+$C$9*B$34+B$43+B$44+B$45)-IF(AND(MOD(I$56,$C$21)=0,I$56&lt;Rates!$D$71),B$34,0),0)</f>
        <v/>
      </c>
      <c r="J99" s="90">
        <f>IF(J$56&lt;=Rates!$D$71,B$33*8760*$C$20*$C$14*Connectivity!$C$13/Rates!$D$4*(1+$C$23)^MOD(J$56-1,$C$21)*J$65-('Compute-Revenue'!$B$23+$C$9*B$34+B$43+B$44+B$45)-IF(AND(MOD(J$56,$C$21)=0,J$56&lt;Rates!$D$71),B$34,0),0)</f>
        <v/>
      </c>
      <c r="K99" s="90">
        <f>IF(K$56&lt;=Rates!$D$71,B$33*8760*$C$20*$C$14*Connectivity!$C$13/Rates!$D$4*(1+$C$23)^MOD(K$56-1,$C$21)*K$65-('Compute-Revenue'!$B$23+$C$9*B$34+B$43+B$44+B$45)-IF(AND(MOD(K$56,$C$21)=0,K$56&lt;Rates!$D$71),B$34,0),0)</f>
        <v/>
      </c>
      <c r="L99" s="90">
        <f>IF(L$56&lt;=Rates!$D$71,B$33*8760*$C$20*$C$14*Connectivity!$C$13/Rates!$D$4*(1+$C$23)^MOD(L$56-1,$C$21)*L$65-('Compute-Revenue'!$B$23+$C$9*B$34+B$43+B$44+B$45)-IF(AND(MOD(L$56,$C$21)=0,L$56&lt;Rates!$D$71),B$34,0),0)</f>
        <v/>
      </c>
      <c r="M99" s="90">
        <f>IF(M$56&lt;=Rates!$D$71,B$33*8760*$C$20*$C$14*Connectivity!$C$13/Rates!$D$4*(1+$C$23)^MOD(M$56-1,$C$21)*M$65-('Compute-Revenue'!$B$23+$C$9*B$34+B$43+B$44+B$45)-IF(AND(MOD(M$56,$C$21)=0,M$56&lt;Rates!$D$71),B$34,0),0)</f>
        <v/>
      </c>
      <c r="N99" s="90">
        <f>IF(N$56&lt;=Rates!$D$71,B$33*8760*$C$20*$C$14*Connectivity!$C$13/Rates!$D$4*(1+$C$23)^MOD(N$56-1,$C$21)*N$65-('Compute-Revenue'!$B$23+$C$9*B$34+B$43+B$44+B$45)-IF(AND(MOD(N$56,$C$21)=0,N$56&lt;Rates!$D$71),B$34,0),0)</f>
        <v/>
      </c>
      <c r="O99" s="90">
        <f>IF(O$56&lt;=Rates!$D$71,B$33*8760*$C$20*$C$14*Connectivity!$C$13/Rates!$D$4*(1+$C$23)^MOD(O$56-1,$C$21)*O$65-('Compute-Revenue'!$B$23+$C$9*B$34+B$43+B$44+B$45)-IF(AND(MOD(O$56,$C$21)=0,O$56&lt;Rates!$D$71),B$34,0),0)</f>
        <v/>
      </c>
      <c r="P99" s="90">
        <f>IF(P$56&lt;=Rates!$D$71,B$33*8760*$C$20*$C$14*Connectivity!$C$13/Rates!$D$4*(1+$C$23)^MOD(P$56-1,$C$21)*P$65-('Compute-Revenue'!$B$23+$C$9*B$34+B$43+B$44+B$45)-IF(AND(MOD(P$56,$C$21)=0,P$56&lt;Rates!$D$71),B$34,0),0)</f>
        <v/>
      </c>
      <c r="Q99" s="90">
        <f>IF(Q$56&lt;=Rates!$D$71,B$33*8760*$C$20*$C$14*Connectivity!$C$13/Rates!$D$4*(1+$C$23)^MOD(Q$56-1,$C$21)*Q$65-('Compute-Revenue'!$B$23+$C$9*B$34+B$43+B$44+B$45)-IF(AND(MOD(Q$56,$C$21)=0,Q$56&lt;Rates!$D$71),B$34,0),0)</f>
        <v/>
      </c>
      <c r="R99" s="90">
        <f>IF(R$56&lt;=Rates!$D$71,B$33*8760*$C$20*$C$14*Connectivity!$C$13/Rates!$D$4*(1+$C$23)^MOD(R$56-1,$C$21)*R$65-('Compute-Revenue'!$B$23+$C$9*B$34+B$43+B$44+B$45)-IF(AND(MOD(R$56,$C$21)=0,R$56&lt;Rates!$D$71),B$34,0),0)</f>
        <v/>
      </c>
      <c r="S99" s="90">
        <f>IF(S$56&lt;=Rates!$D$71,B$33*8760*$C$20*$C$14*Connectivity!$C$13/Rates!$D$4*(1+$C$23)^MOD(S$56-1,$C$21)*S$65-('Compute-Revenue'!$B$23+$C$9*B$34+B$43+B$44+B$45)-IF(AND(MOD(S$56,$C$21)=0,S$56&lt;Rates!$D$71),B$34,0),0)</f>
        <v/>
      </c>
      <c r="T99" s="90">
        <f>IF(T$56&lt;=Rates!$D$71,B$33*8760*$C$20*$C$14*Connectivity!$C$13/Rates!$D$4*(1+$C$23)^MOD(T$56-1,$C$21)*T$65-('Compute-Revenue'!$B$23+$C$9*B$34+B$43+B$44+B$45)-IF(AND(MOD(T$56,$C$21)=0,T$56&lt;Rates!$D$71),B$34,0),0)</f>
        <v/>
      </c>
      <c r="U99" s="90">
        <f>IF(U$56&lt;=Rates!$D$71,B$33*8760*$C$20*$C$14*Connectivity!$C$13/Rates!$D$4*(1+$C$23)^MOD(U$56-1,$C$21)*U$65-('Compute-Revenue'!$B$23+$C$9*B$34+B$43+B$44+B$45)-IF(AND(MOD(U$56,$C$21)=0,U$56&lt;Rates!$D$71),B$34,0),0)</f>
        <v/>
      </c>
      <c r="V99" s="90">
        <f>IF(V$56&lt;=Rates!$D$71,B$33*8760*$C$20*$C$14*Connectivity!$C$13/Rates!$D$4*(1+$C$23)^MOD(V$56-1,$C$21)*V$65-('Compute-Revenue'!$B$23+$C$9*B$34+B$43+B$44+B$45)-IF(AND(MOD(V$56,$C$21)=0,V$56&lt;Rates!$D$71),B$34,0),0)</f>
        <v/>
      </c>
      <c r="W99" s="90">
        <f>IF(W$56&lt;=Rates!$D$71,B$33*8760*$C$20*$C$14*Connectivity!$C$13/Rates!$D$4*(1+$C$23)^MOD(W$56-1,$C$21)*W$65-('Compute-Revenue'!$B$23+$C$9*B$34+B$43+B$44+B$45)-IF(AND(MOD(W$56,$C$21)=0,W$56&lt;Rates!$D$71),B$34,0),0)</f>
        <v/>
      </c>
      <c r="X99" s="90">
        <f>IF(X$56&lt;=Rates!$D$71,B$33*8760*$C$20*$C$14*Connectivity!$C$13/Rates!$D$4*(1+$C$23)^MOD(X$56-1,$C$21)*X$65-('Compute-Revenue'!$B$23+$C$9*B$34+B$43+B$44+B$45)-IF(AND(MOD(X$56,$C$21)=0,X$56&lt;Rates!$D$71),B$34,0),0)</f>
        <v/>
      </c>
      <c r="Y99" s="90">
        <f>IF(Y$56&lt;=Rates!$D$71,B$33*8760*$C$20*$C$14*Connectivity!$C$13/Rates!$D$4*(1+$C$23)^MOD(Y$56-1,$C$21)*Y$65-('Compute-Revenue'!$B$23+$C$9*B$34+B$43+B$44+B$45)-IF(AND(MOD(Y$56,$C$21)=0,Y$56&lt;Rates!$D$71),B$34,0),0)</f>
        <v/>
      </c>
      <c r="Z99" s="90">
        <f>IF(Z$56&lt;=Rates!$D$71,B$33*8760*$C$20*$C$14*Connectivity!$C$13/Rates!$D$4*(1+$C$23)^MOD(Z$56-1,$C$21)*Z$65-('Compute-Revenue'!$B$23+$C$9*B$34+B$43+B$44+B$45)-IF(AND(MOD(Z$56,$C$21)=0,Z$56&lt;Rates!$D$71),B$34,0),0)</f>
        <v/>
      </c>
      <c r="AA99" s="90">
        <f>IF(AA$56&lt;=Rates!$D$71,B$33*8760*$C$20*$C$14*Connectivity!$C$13/Rates!$D$4*(1+$C$23)^MOD(AA$56-1,$C$21)*AA$65-('Compute-Revenue'!$B$23+$C$9*B$34+B$43+B$44+B$45)-IF(AND(MOD(AA$56,$C$21)=0,AA$56&lt;Rates!$D$71),B$34,0),0)</f>
        <v/>
      </c>
      <c r="AB99" s="90">
        <f>IF(AB$56&lt;=Rates!$D$71,B$33*8760*$C$20*$C$14*Connectivity!$C$13/Rates!$D$4*(1+$C$23)^MOD(AB$56-1,$C$21)*AB$65-('Compute-Revenue'!$B$23+$C$9*B$34+B$43+B$44+B$45)-IF(AND(MOD(AB$56,$C$21)=0,AB$56&lt;Rates!$D$71),B$34,0),0)</f>
        <v/>
      </c>
    </row>
    <row r="100">
      <c r="A100" s="68" t="inlineStr">
        <is>
          <t>helper: p_base x u_low</t>
        </is>
      </c>
      <c r="C100" s="90">
        <f>-B$36</f>
        <v/>
      </c>
      <c r="D100" s="90">
        <f>IF(D$56&lt;=Rates!$D$71,B$33*8760*$C$18*$C$15*Connectivity!$C$13/Rates!$D$4*(1+$C$23)^MOD(D$56-1,$C$21)*D$65-('Compute-Revenue'!$B$23+$C$9*B$34+B$43+B$44+B$45)-IF(AND(MOD(D$56,$C$21)=0,D$56&lt;Rates!$D$71),B$34,0),0)</f>
        <v/>
      </c>
      <c r="E100" s="90">
        <f>IF(E$56&lt;=Rates!$D$71,B$33*8760*$C$18*$C$15*Connectivity!$C$13/Rates!$D$4*(1+$C$23)^MOD(E$56-1,$C$21)*E$65-('Compute-Revenue'!$B$23+$C$9*B$34+B$43+B$44+B$45)-IF(AND(MOD(E$56,$C$21)=0,E$56&lt;Rates!$D$71),B$34,0),0)</f>
        <v/>
      </c>
      <c r="F100" s="90">
        <f>IF(F$56&lt;=Rates!$D$71,B$33*8760*$C$18*$C$15*Connectivity!$C$13/Rates!$D$4*(1+$C$23)^MOD(F$56-1,$C$21)*F$65-('Compute-Revenue'!$B$23+$C$9*B$34+B$43+B$44+B$45)-IF(AND(MOD(F$56,$C$21)=0,F$56&lt;Rates!$D$71),B$34,0),0)</f>
        <v/>
      </c>
      <c r="G100" s="90">
        <f>IF(G$56&lt;=Rates!$D$71,B$33*8760*$C$18*$C$15*Connectivity!$C$13/Rates!$D$4*(1+$C$23)^MOD(G$56-1,$C$21)*G$65-('Compute-Revenue'!$B$23+$C$9*B$34+B$43+B$44+B$45)-IF(AND(MOD(G$56,$C$21)=0,G$56&lt;Rates!$D$71),B$34,0),0)</f>
        <v/>
      </c>
      <c r="H100" s="90">
        <f>IF(H$56&lt;=Rates!$D$71,B$33*8760*$C$18*$C$15*Connectivity!$C$13/Rates!$D$4*(1+$C$23)^MOD(H$56-1,$C$21)*H$65-('Compute-Revenue'!$B$23+$C$9*B$34+B$43+B$44+B$45)-IF(AND(MOD(H$56,$C$21)=0,H$56&lt;Rates!$D$71),B$34,0),0)</f>
        <v/>
      </c>
      <c r="I100" s="90">
        <f>IF(I$56&lt;=Rates!$D$71,B$33*8760*$C$18*$C$15*Connectivity!$C$13/Rates!$D$4*(1+$C$23)^MOD(I$56-1,$C$21)*I$65-('Compute-Revenue'!$B$23+$C$9*B$34+B$43+B$44+B$45)-IF(AND(MOD(I$56,$C$21)=0,I$56&lt;Rates!$D$71),B$34,0),0)</f>
        <v/>
      </c>
      <c r="J100" s="90">
        <f>IF(J$56&lt;=Rates!$D$71,B$33*8760*$C$18*$C$15*Connectivity!$C$13/Rates!$D$4*(1+$C$23)^MOD(J$56-1,$C$21)*J$65-('Compute-Revenue'!$B$23+$C$9*B$34+B$43+B$44+B$45)-IF(AND(MOD(J$56,$C$21)=0,J$56&lt;Rates!$D$71),B$34,0),0)</f>
        <v/>
      </c>
      <c r="K100" s="90">
        <f>IF(K$56&lt;=Rates!$D$71,B$33*8760*$C$18*$C$15*Connectivity!$C$13/Rates!$D$4*(1+$C$23)^MOD(K$56-1,$C$21)*K$65-('Compute-Revenue'!$B$23+$C$9*B$34+B$43+B$44+B$45)-IF(AND(MOD(K$56,$C$21)=0,K$56&lt;Rates!$D$71),B$34,0),0)</f>
        <v/>
      </c>
      <c r="L100" s="90">
        <f>IF(L$56&lt;=Rates!$D$71,B$33*8760*$C$18*$C$15*Connectivity!$C$13/Rates!$D$4*(1+$C$23)^MOD(L$56-1,$C$21)*L$65-('Compute-Revenue'!$B$23+$C$9*B$34+B$43+B$44+B$45)-IF(AND(MOD(L$56,$C$21)=0,L$56&lt;Rates!$D$71),B$34,0),0)</f>
        <v/>
      </c>
      <c r="M100" s="90">
        <f>IF(M$56&lt;=Rates!$D$71,B$33*8760*$C$18*$C$15*Connectivity!$C$13/Rates!$D$4*(1+$C$23)^MOD(M$56-1,$C$21)*M$65-('Compute-Revenue'!$B$23+$C$9*B$34+B$43+B$44+B$45)-IF(AND(MOD(M$56,$C$21)=0,M$56&lt;Rates!$D$71),B$34,0),0)</f>
        <v/>
      </c>
      <c r="N100" s="90">
        <f>IF(N$56&lt;=Rates!$D$71,B$33*8760*$C$18*$C$15*Connectivity!$C$13/Rates!$D$4*(1+$C$23)^MOD(N$56-1,$C$21)*N$65-('Compute-Revenue'!$B$23+$C$9*B$34+B$43+B$44+B$45)-IF(AND(MOD(N$56,$C$21)=0,N$56&lt;Rates!$D$71),B$34,0),0)</f>
        <v/>
      </c>
      <c r="O100" s="90">
        <f>IF(O$56&lt;=Rates!$D$71,B$33*8760*$C$18*$C$15*Connectivity!$C$13/Rates!$D$4*(1+$C$23)^MOD(O$56-1,$C$21)*O$65-('Compute-Revenue'!$B$23+$C$9*B$34+B$43+B$44+B$45)-IF(AND(MOD(O$56,$C$21)=0,O$56&lt;Rates!$D$71),B$34,0),0)</f>
        <v/>
      </c>
      <c r="P100" s="90">
        <f>IF(P$56&lt;=Rates!$D$71,B$33*8760*$C$18*$C$15*Connectivity!$C$13/Rates!$D$4*(1+$C$23)^MOD(P$56-1,$C$21)*P$65-('Compute-Revenue'!$B$23+$C$9*B$34+B$43+B$44+B$45)-IF(AND(MOD(P$56,$C$21)=0,P$56&lt;Rates!$D$71),B$34,0),0)</f>
        <v/>
      </c>
      <c r="Q100" s="90">
        <f>IF(Q$56&lt;=Rates!$D$71,B$33*8760*$C$18*$C$15*Connectivity!$C$13/Rates!$D$4*(1+$C$23)^MOD(Q$56-1,$C$21)*Q$65-('Compute-Revenue'!$B$23+$C$9*B$34+B$43+B$44+B$45)-IF(AND(MOD(Q$56,$C$21)=0,Q$56&lt;Rates!$D$71),B$34,0),0)</f>
        <v/>
      </c>
      <c r="R100" s="90">
        <f>IF(R$56&lt;=Rates!$D$71,B$33*8760*$C$18*$C$15*Connectivity!$C$13/Rates!$D$4*(1+$C$23)^MOD(R$56-1,$C$21)*R$65-('Compute-Revenue'!$B$23+$C$9*B$34+B$43+B$44+B$45)-IF(AND(MOD(R$56,$C$21)=0,R$56&lt;Rates!$D$71),B$34,0),0)</f>
        <v/>
      </c>
      <c r="S100" s="90">
        <f>IF(S$56&lt;=Rates!$D$71,B$33*8760*$C$18*$C$15*Connectivity!$C$13/Rates!$D$4*(1+$C$23)^MOD(S$56-1,$C$21)*S$65-('Compute-Revenue'!$B$23+$C$9*B$34+B$43+B$44+B$45)-IF(AND(MOD(S$56,$C$21)=0,S$56&lt;Rates!$D$71),B$34,0),0)</f>
        <v/>
      </c>
      <c r="T100" s="90">
        <f>IF(T$56&lt;=Rates!$D$71,B$33*8760*$C$18*$C$15*Connectivity!$C$13/Rates!$D$4*(1+$C$23)^MOD(T$56-1,$C$21)*T$65-('Compute-Revenue'!$B$23+$C$9*B$34+B$43+B$44+B$45)-IF(AND(MOD(T$56,$C$21)=0,T$56&lt;Rates!$D$71),B$34,0),0)</f>
        <v/>
      </c>
      <c r="U100" s="90">
        <f>IF(U$56&lt;=Rates!$D$71,B$33*8760*$C$18*$C$15*Connectivity!$C$13/Rates!$D$4*(1+$C$23)^MOD(U$56-1,$C$21)*U$65-('Compute-Revenue'!$B$23+$C$9*B$34+B$43+B$44+B$45)-IF(AND(MOD(U$56,$C$21)=0,U$56&lt;Rates!$D$71),B$34,0),0)</f>
        <v/>
      </c>
      <c r="V100" s="90">
        <f>IF(V$56&lt;=Rates!$D$71,B$33*8760*$C$18*$C$15*Connectivity!$C$13/Rates!$D$4*(1+$C$23)^MOD(V$56-1,$C$21)*V$65-('Compute-Revenue'!$B$23+$C$9*B$34+B$43+B$44+B$45)-IF(AND(MOD(V$56,$C$21)=0,V$56&lt;Rates!$D$71),B$34,0),0)</f>
        <v/>
      </c>
      <c r="W100" s="90">
        <f>IF(W$56&lt;=Rates!$D$71,B$33*8760*$C$18*$C$15*Connectivity!$C$13/Rates!$D$4*(1+$C$23)^MOD(W$56-1,$C$21)*W$65-('Compute-Revenue'!$B$23+$C$9*B$34+B$43+B$44+B$45)-IF(AND(MOD(W$56,$C$21)=0,W$56&lt;Rates!$D$71),B$34,0),0)</f>
        <v/>
      </c>
      <c r="X100" s="90">
        <f>IF(X$56&lt;=Rates!$D$71,B$33*8760*$C$18*$C$15*Connectivity!$C$13/Rates!$D$4*(1+$C$23)^MOD(X$56-1,$C$21)*X$65-('Compute-Revenue'!$B$23+$C$9*B$34+B$43+B$44+B$45)-IF(AND(MOD(X$56,$C$21)=0,X$56&lt;Rates!$D$71),B$34,0),0)</f>
        <v/>
      </c>
      <c r="Y100" s="90">
        <f>IF(Y$56&lt;=Rates!$D$71,B$33*8760*$C$18*$C$15*Connectivity!$C$13/Rates!$D$4*(1+$C$23)^MOD(Y$56-1,$C$21)*Y$65-('Compute-Revenue'!$B$23+$C$9*B$34+B$43+B$44+B$45)-IF(AND(MOD(Y$56,$C$21)=0,Y$56&lt;Rates!$D$71),B$34,0),0)</f>
        <v/>
      </c>
      <c r="Z100" s="90">
        <f>IF(Z$56&lt;=Rates!$D$71,B$33*8760*$C$18*$C$15*Connectivity!$C$13/Rates!$D$4*(1+$C$23)^MOD(Z$56-1,$C$21)*Z$65-('Compute-Revenue'!$B$23+$C$9*B$34+B$43+B$44+B$45)-IF(AND(MOD(Z$56,$C$21)=0,Z$56&lt;Rates!$D$71),B$34,0),0)</f>
        <v/>
      </c>
      <c r="AA100" s="90">
        <f>IF(AA$56&lt;=Rates!$D$71,B$33*8760*$C$18*$C$15*Connectivity!$C$13/Rates!$D$4*(1+$C$23)^MOD(AA$56-1,$C$21)*AA$65-('Compute-Revenue'!$B$23+$C$9*B$34+B$43+B$44+B$45)-IF(AND(MOD(AA$56,$C$21)=0,AA$56&lt;Rates!$D$71),B$34,0),0)</f>
        <v/>
      </c>
      <c r="AB100" s="90">
        <f>IF(AB$56&lt;=Rates!$D$71,B$33*8760*$C$18*$C$15*Connectivity!$C$13/Rates!$D$4*(1+$C$23)^MOD(AB$56-1,$C$21)*AB$65-('Compute-Revenue'!$B$23+$C$9*B$34+B$43+B$44+B$45)-IF(AND(MOD(AB$56,$C$21)=0,AB$56&lt;Rates!$D$71),B$34,0),0)</f>
        <v/>
      </c>
    </row>
    <row r="101">
      <c r="A101" s="68" t="inlineStr">
        <is>
          <t>helper: p_base x u_base</t>
        </is>
      </c>
      <c r="C101" s="90">
        <f>-B$36</f>
        <v/>
      </c>
      <c r="D101" s="90">
        <f>IF(D$56&lt;=Rates!$D$71,B$33*8760*$C$19*$C$15*Connectivity!$C$13/Rates!$D$4*(1+$C$23)^MOD(D$56-1,$C$21)*D$65-('Compute-Revenue'!$B$23+$C$9*B$34+B$43+B$44+B$45)-IF(AND(MOD(D$56,$C$21)=0,D$56&lt;Rates!$D$71),B$34,0),0)</f>
        <v/>
      </c>
      <c r="E101" s="90">
        <f>IF(E$56&lt;=Rates!$D$71,B$33*8760*$C$19*$C$15*Connectivity!$C$13/Rates!$D$4*(1+$C$23)^MOD(E$56-1,$C$21)*E$65-('Compute-Revenue'!$B$23+$C$9*B$34+B$43+B$44+B$45)-IF(AND(MOD(E$56,$C$21)=0,E$56&lt;Rates!$D$71),B$34,0),0)</f>
        <v/>
      </c>
      <c r="F101" s="90">
        <f>IF(F$56&lt;=Rates!$D$71,B$33*8760*$C$19*$C$15*Connectivity!$C$13/Rates!$D$4*(1+$C$23)^MOD(F$56-1,$C$21)*F$65-('Compute-Revenue'!$B$23+$C$9*B$34+B$43+B$44+B$45)-IF(AND(MOD(F$56,$C$21)=0,F$56&lt;Rates!$D$71),B$34,0),0)</f>
        <v/>
      </c>
      <c r="G101" s="90">
        <f>IF(G$56&lt;=Rates!$D$71,B$33*8760*$C$19*$C$15*Connectivity!$C$13/Rates!$D$4*(1+$C$23)^MOD(G$56-1,$C$21)*G$65-('Compute-Revenue'!$B$23+$C$9*B$34+B$43+B$44+B$45)-IF(AND(MOD(G$56,$C$21)=0,G$56&lt;Rates!$D$71),B$34,0),0)</f>
        <v/>
      </c>
      <c r="H101" s="90">
        <f>IF(H$56&lt;=Rates!$D$71,B$33*8760*$C$19*$C$15*Connectivity!$C$13/Rates!$D$4*(1+$C$23)^MOD(H$56-1,$C$21)*H$65-('Compute-Revenue'!$B$23+$C$9*B$34+B$43+B$44+B$45)-IF(AND(MOD(H$56,$C$21)=0,H$56&lt;Rates!$D$71),B$34,0),0)</f>
        <v/>
      </c>
      <c r="I101" s="90">
        <f>IF(I$56&lt;=Rates!$D$71,B$33*8760*$C$19*$C$15*Connectivity!$C$13/Rates!$D$4*(1+$C$23)^MOD(I$56-1,$C$21)*I$65-('Compute-Revenue'!$B$23+$C$9*B$34+B$43+B$44+B$45)-IF(AND(MOD(I$56,$C$21)=0,I$56&lt;Rates!$D$71),B$34,0),0)</f>
        <v/>
      </c>
      <c r="J101" s="90">
        <f>IF(J$56&lt;=Rates!$D$71,B$33*8760*$C$19*$C$15*Connectivity!$C$13/Rates!$D$4*(1+$C$23)^MOD(J$56-1,$C$21)*J$65-('Compute-Revenue'!$B$23+$C$9*B$34+B$43+B$44+B$45)-IF(AND(MOD(J$56,$C$21)=0,J$56&lt;Rates!$D$71),B$34,0),0)</f>
        <v/>
      </c>
      <c r="K101" s="90">
        <f>IF(K$56&lt;=Rates!$D$71,B$33*8760*$C$19*$C$15*Connectivity!$C$13/Rates!$D$4*(1+$C$23)^MOD(K$56-1,$C$21)*K$65-('Compute-Revenue'!$B$23+$C$9*B$34+B$43+B$44+B$45)-IF(AND(MOD(K$56,$C$21)=0,K$56&lt;Rates!$D$71),B$34,0),0)</f>
        <v/>
      </c>
      <c r="L101" s="90">
        <f>IF(L$56&lt;=Rates!$D$71,B$33*8760*$C$19*$C$15*Connectivity!$C$13/Rates!$D$4*(1+$C$23)^MOD(L$56-1,$C$21)*L$65-('Compute-Revenue'!$B$23+$C$9*B$34+B$43+B$44+B$45)-IF(AND(MOD(L$56,$C$21)=0,L$56&lt;Rates!$D$71),B$34,0),0)</f>
        <v/>
      </c>
      <c r="M101" s="90">
        <f>IF(M$56&lt;=Rates!$D$71,B$33*8760*$C$19*$C$15*Connectivity!$C$13/Rates!$D$4*(1+$C$23)^MOD(M$56-1,$C$21)*M$65-('Compute-Revenue'!$B$23+$C$9*B$34+B$43+B$44+B$45)-IF(AND(MOD(M$56,$C$21)=0,M$56&lt;Rates!$D$71),B$34,0),0)</f>
        <v/>
      </c>
      <c r="N101" s="90">
        <f>IF(N$56&lt;=Rates!$D$71,B$33*8760*$C$19*$C$15*Connectivity!$C$13/Rates!$D$4*(1+$C$23)^MOD(N$56-1,$C$21)*N$65-('Compute-Revenue'!$B$23+$C$9*B$34+B$43+B$44+B$45)-IF(AND(MOD(N$56,$C$21)=0,N$56&lt;Rates!$D$71),B$34,0),0)</f>
        <v/>
      </c>
      <c r="O101" s="90">
        <f>IF(O$56&lt;=Rates!$D$71,B$33*8760*$C$19*$C$15*Connectivity!$C$13/Rates!$D$4*(1+$C$23)^MOD(O$56-1,$C$21)*O$65-('Compute-Revenue'!$B$23+$C$9*B$34+B$43+B$44+B$45)-IF(AND(MOD(O$56,$C$21)=0,O$56&lt;Rates!$D$71),B$34,0),0)</f>
        <v/>
      </c>
      <c r="P101" s="90">
        <f>IF(P$56&lt;=Rates!$D$71,B$33*8760*$C$19*$C$15*Connectivity!$C$13/Rates!$D$4*(1+$C$23)^MOD(P$56-1,$C$21)*P$65-('Compute-Revenue'!$B$23+$C$9*B$34+B$43+B$44+B$45)-IF(AND(MOD(P$56,$C$21)=0,P$56&lt;Rates!$D$71),B$34,0),0)</f>
        <v/>
      </c>
      <c r="Q101" s="90">
        <f>IF(Q$56&lt;=Rates!$D$71,B$33*8760*$C$19*$C$15*Connectivity!$C$13/Rates!$D$4*(1+$C$23)^MOD(Q$56-1,$C$21)*Q$65-('Compute-Revenue'!$B$23+$C$9*B$34+B$43+B$44+B$45)-IF(AND(MOD(Q$56,$C$21)=0,Q$56&lt;Rates!$D$71),B$34,0),0)</f>
        <v/>
      </c>
      <c r="R101" s="90">
        <f>IF(R$56&lt;=Rates!$D$71,B$33*8760*$C$19*$C$15*Connectivity!$C$13/Rates!$D$4*(1+$C$23)^MOD(R$56-1,$C$21)*R$65-('Compute-Revenue'!$B$23+$C$9*B$34+B$43+B$44+B$45)-IF(AND(MOD(R$56,$C$21)=0,R$56&lt;Rates!$D$71),B$34,0),0)</f>
        <v/>
      </c>
      <c r="S101" s="90">
        <f>IF(S$56&lt;=Rates!$D$71,B$33*8760*$C$19*$C$15*Connectivity!$C$13/Rates!$D$4*(1+$C$23)^MOD(S$56-1,$C$21)*S$65-('Compute-Revenue'!$B$23+$C$9*B$34+B$43+B$44+B$45)-IF(AND(MOD(S$56,$C$21)=0,S$56&lt;Rates!$D$71),B$34,0),0)</f>
        <v/>
      </c>
      <c r="T101" s="90">
        <f>IF(T$56&lt;=Rates!$D$71,B$33*8760*$C$19*$C$15*Connectivity!$C$13/Rates!$D$4*(1+$C$23)^MOD(T$56-1,$C$21)*T$65-('Compute-Revenue'!$B$23+$C$9*B$34+B$43+B$44+B$45)-IF(AND(MOD(T$56,$C$21)=0,T$56&lt;Rates!$D$71),B$34,0),0)</f>
        <v/>
      </c>
      <c r="U101" s="90">
        <f>IF(U$56&lt;=Rates!$D$71,B$33*8760*$C$19*$C$15*Connectivity!$C$13/Rates!$D$4*(1+$C$23)^MOD(U$56-1,$C$21)*U$65-('Compute-Revenue'!$B$23+$C$9*B$34+B$43+B$44+B$45)-IF(AND(MOD(U$56,$C$21)=0,U$56&lt;Rates!$D$71),B$34,0),0)</f>
        <v/>
      </c>
      <c r="V101" s="90">
        <f>IF(V$56&lt;=Rates!$D$71,B$33*8760*$C$19*$C$15*Connectivity!$C$13/Rates!$D$4*(1+$C$23)^MOD(V$56-1,$C$21)*V$65-('Compute-Revenue'!$B$23+$C$9*B$34+B$43+B$44+B$45)-IF(AND(MOD(V$56,$C$21)=0,V$56&lt;Rates!$D$71),B$34,0),0)</f>
        <v/>
      </c>
      <c r="W101" s="90">
        <f>IF(W$56&lt;=Rates!$D$71,B$33*8760*$C$19*$C$15*Connectivity!$C$13/Rates!$D$4*(1+$C$23)^MOD(W$56-1,$C$21)*W$65-('Compute-Revenue'!$B$23+$C$9*B$34+B$43+B$44+B$45)-IF(AND(MOD(W$56,$C$21)=0,W$56&lt;Rates!$D$71),B$34,0),0)</f>
        <v/>
      </c>
      <c r="X101" s="90">
        <f>IF(X$56&lt;=Rates!$D$71,B$33*8760*$C$19*$C$15*Connectivity!$C$13/Rates!$D$4*(1+$C$23)^MOD(X$56-1,$C$21)*X$65-('Compute-Revenue'!$B$23+$C$9*B$34+B$43+B$44+B$45)-IF(AND(MOD(X$56,$C$21)=0,X$56&lt;Rates!$D$71),B$34,0),0)</f>
        <v/>
      </c>
      <c r="Y101" s="90">
        <f>IF(Y$56&lt;=Rates!$D$71,B$33*8760*$C$19*$C$15*Connectivity!$C$13/Rates!$D$4*(1+$C$23)^MOD(Y$56-1,$C$21)*Y$65-('Compute-Revenue'!$B$23+$C$9*B$34+B$43+B$44+B$45)-IF(AND(MOD(Y$56,$C$21)=0,Y$56&lt;Rates!$D$71),B$34,0),0)</f>
        <v/>
      </c>
      <c r="Z101" s="90">
        <f>IF(Z$56&lt;=Rates!$D$71,B$33*8760*$C$19*$C$15*Connectivity!$C$13/Rates!$D$4*(1+$C$23)^MOD(Z$56-1,$C$21)*Z$65-('Compute-Revenue'!$B$23+$C$9*B$34+B$43+B$44+B$45)-IF(AND(MOD(Z$56,$C$21)=0,Z$56&lt;Rates!$D$71),B$34,0),0)</f>
        <v/>
      </c>
      <c r="AA101" s="90">
        <f>IF(AA$56&lt;=Rates!$D$71,B$33*8760*$C$19*$C$15*Connectivity!$C$13/Rates!$D$4*(1+$C$23)^MOD(AA$56-1,$C$21)*AA$65-('Compute-Revenue'!$B$23+$C$9*B$34+B$43+B$44+B$45)-IF(AND(MOD(AA$56,$C$21)=0,AA$56&lt;Rates!$D$71),B$34,0),0)</f>
        <v/>
      </c>
      <c r="AB101" s="90">
        <f>IF(AB$56&lt;=Rates!$D$71,B$33*8760*$C$19*$C$15*Connectivity!$C$13/Rates!$D$4*(1+$C$23)^MOD(AB$56-1,$C$21)*AB$65-('Compute-Revenue'!$B$23+$C$9*B$34+B$43+B$44+B$45)-IF(AND(MOD(AB$56,$C$21)=0,AB$56&lt;Rates!$D$71),B$34,0),0)</f>
        <v/>
      </c>
    </row>
    <row r="102">
      <c r="A102" s="68" t="inlineStr">
        <is>
          <t>helper: p_base x u_high</t>
        </is>
      </c>
      <c r="C102" s="90">
        <f>-B$36</f>
        <v/>
      </c>
      <c r="D102" s="90">
        <f>IF(D$56&lt;=Rates!$D$71,B$33*8760*$C$20*$C$15*Connectivity!$C$13/Rates!$D$4*(1+$C$23)^MOD(D$56-1,$C$21)*D$65-('Compute-Revenue'!$B$23+$C$9*B$34+B$43+B$44+B$45)-IF(AND(MOD(D$56,$C$21)=0,D$56&lt;Rates!$D$71),B$34,0),0)</f>
        <v/>
      </c>
      <c r="E102" s="90">
        <f>IF(E$56&lt;=Rates!$D$71,B$33*8760*$C$20*$C$15*Connectivity!$C$13/Rates!$D$4*(1+$C$23)^MOD(E$56-1,$C$21)*E$65-('Compute-Revenue'!$B$23+$C$9*B$34+B$43+B$44+B$45)-IF(AND(MOD(E$56,$C$21)=0,E$56&lt;Rates!$D$71),B$34,0),0)</f>
        <v/>
      </c>
      <c r="F102" s="90">
        <f>IF(F$56&lt;=Rates!$D$71,B$33*8760*$C$20*$C$15*Connectivity!$C$13/Rates!$D$4*(1+$C$23)^MOD(F$56-1,$C$21)*F$65-('Compute-Revenue'!$B$23+$C$9*B$34+B$43+B$44+B$45)-IF(AND(MOD(F$56,$C$21)=0,F$56&lt;Rates!$D$71),B$34,0),0)</f>
        <v/>
      </c>
      <c r="G102" s="90">
        <f>IF(G$56&lt;=Rates!$D$71,B$33*8760*$C$20*$C$15*Connectivity!$C$13/Rates!$D$4*(1+$C$23)^MOD(G$56-1,$C$21)*G$65-('Compute-Revenue'!$B$23+$C$9*B$34+B$43+B$44+B$45)-IF(AND(MOD(G$56,$C$21)=0,G$56&lt;Rates!$D$71),B$34,0),0)</f>
        <v/>
      </c>
      <c r="H102" s="90">
        <f>IF(H$56&lt;=Rates!$D$71,B$33*8760*$C$20*$C$15*Connectivity!$C$13/Rates!$D$4*(1+$C$23)^MOD(H$56-1,$C$21)*H$65-('Compute-Revenue'!$B$23+$C$9*B$34+B$43+B$44+B$45)-IF(AND(MOD(H$56,$C$21)=0,H$56&lt;Rates!$D$71),B$34,0),0)</f>
        <v/>
      </c>
      <c r="I102" s="90">
        <f>IF(I$56&lt;=Rates!$D$71,B$33*8760*$C$20*$C$15*Connectivity!$C$13/Rates!$D$4*(1+$C$23)^MOD(I$56-1,$C$21)*I$65-('Compute-Revenue'!$B$23+$C$9*B$34+B$43+B$44+B$45)-IF(AND(MOD(I$56,$C$21)=0,I$56&lt;Rates!$D$71),B$34,0),0)</f>
        <v/>
      </c>
      <c r="J102" s="90">
        <f>IF(J$56&lt;=Rates!$D$71,B$33*8760*$C$20*$C$15*Connectivity!$C$13/Rates!$D$4*(1+$C$23)^MOD(J$56-1,$C$21)*J$65-('Compute-Revenue'!$B$23+$C$9*B$34+B$43+B$44+B$45)-IF(AND(MOD(J$56,$C$21)=0,J$56&lt;Rates!$D$71),B$34,0),0)</f>
        <v/>
      </c>
      <c r="K102" s="90">
        <f>IF(K$56&lt;=Rates!$D$71,B$33*8760*$C$20*$C$15*Connectivity!$C$13/Rates!$D$4*(1+$C$23)^MOD(K$56-1,$C$21)*K$65-('Compute-Revenue'!$B$23+$C$9*B$34+B$43+B$44+B$45)-IF(AND(MOD(K$56,$C$21)=0,K$56&lt;Rates!$D$71),B$34,0),0)</f>
        <v/>
      </c>
      <c r="L102" s="90">
        <f>IF(L$56&lt;=Rates!$D$71,B$33*8760*$C$20*$C$15*Connectivity!$C$13/Rates!$D$4*(1+$C$23)^MOD(L$56-1,$C$21)*L$65-('Compute-Revenue'!$B$23+$C$9*B$34+B$43+B$44+B$45)-IF(AND(MOD(L$56,$C$21)=0,L$56&lt;Rates!$D$71),B$34,0),0)</f>
        <v/>
      </c>
      <c r="M102" s="90">
        <f>IF(M$56&lt;=Rates!$D$71,B$33*8760*$C$20*$C$15*Connectivity!$C$13/Rates!$D$4*(1+$C$23)^MOD(M$56-1,$C$21)*M$65-('Compute-Revenue'!$B$23+$C$9*B$34+B$43+B$44+B$45)-IF(AND(MOD(M$56,$C$21)=0,M$56&lt;Rates!$D$71),B$34,0),0)</f>
        <v/>
      </c>
      <c r="N102" s="90">
        <f>IF(N$56&lt;=Rates!$D$71,B$33*8760*$C$20*$C$15*Connectivity!$C$13/Rates!$D$4*(1+$C$23)^MOD(N$56-1,$C$21)*N$65-('Compute-Revenue'!$B$23+$C$9*B$34+B$43+B$44+B$45)-IF(AND(MOD(N$56,$C$21)=0,N$56&lt;Rates!$D$71),B$34,0),0)</f>
        <v/>
      </c>
      <c r="O102" s="90">
        <f>IF(O$56&lt;=Rates!$D$71,B$33*8760*$C$20*$C$15*Connectivity!$C$13/Rates!$D$4*(1+$C$23)^MOD(O$56-1,$C$21)*O$65-('Compute-Revenue'!$B$23+$C$9*B$34+B$43+B$44+B$45)-IF(AND(MOD(O$56,$C$21)=0,O$56&lt;Rates!$D$71),B$34,0),0)</f>
        <v/>
      </c>
      <c r="P102" s="90">
        <f>IF(P$56&lt;=Rates!$D$71,B$33*8760*$C$20*$C$15*Connectivity!$C$13/Rates!$D$4*(1+$C$23)^MOD(P$56-1,$C$21)*P$65-('Compute-Revenue'!$B$23+$C$9*B$34+B$43+B$44+B$45)-IF(AND(MOD(P$56,$C$21)=0,P$56&lt;Rates!$D$71),B$34,0),0)</f>
        <v/>
      </c>
      <c r="Q102" s="90">
        <f>IF(Q$56&lt;=Rates!$D$71,B$33*8760*$C$20*$C$15*Connectivity!$C$13/Rates!$D$4*(1+$C$23)^MOD(Q$56-1,$C$21)*Q$65-('Compute-Revenue'!$B$23+$C$9*B$34+B$43+B$44+B$45)-IF(AND(MOD(Q$56,$C$21)=0,Q$56&lt;Rates!$D$71),B$34,0),0)</f>
        <v/>
      </c>
      <c r="R102" s="90">
        <f>IF(R$56&lt;=Rates!$D$71,B$33*8760*$C$20*$C$15*Connectivity!$C$13/Rates!$D$4*(1+$C$23)^MOD(R$56-1,$C$21)*R$65-('Compute-Revenue'!$B$23+$C$9*B$34+B$43+B$44+B$45)-IF(AND(MOD(R$56,$C$21)=0,R$56&lt;Rates!$D$71),B$34,0),0)</f>
        <v/>
      </c>
      <c r="S102" s="90">
        <f>IF(S$56&lt;=Rates!$D$71,B$33*8760*$C$20*$C$15*Connectivity!$C$13/Rates!$D$4*(1+$C$23)^MOD(S$56-1,$C$21)*S$65-('Compute-Revenue'!$B$23+$C$9*B$34+B$43+B$44+B$45)-IF(AND(MOD(S$56,$C$21)=0,S$56&lt;Rates!$D$71),B$34,0),0)</f>
        <v/>
      </c>
      <c r="T102" s="90">
        <f>IF(T$56&lt;=Rates!$D$71,B$33*8760*$C$20*$C$15*Connectivity!$C$13/Rates!$D$4*(1+$C$23)^MOD(T$56-1,$C$21)*T$65-('Compute-Revenue'!$B$23+$C$9*B$34+B$43+B$44+B$45)-IF(AND(MOD(T$56,$C$21)=0,T$56&lt;Rates!$D$71),B$34,0),0)</f>
        <v/>
      </c>
      <c r="U102" s="90">
        <f>IF(U$56&lt;=Rates!$D$71,B$33*8760*$C$20*$C$15*Connectivity!$C$13/Rates!$D$4*(1+$C$23)^MOD(U$56-1,$C$21)*U$65-('Compute-Revenue'!$B$23+$C$9*B$34+B$43+B$44+B$45)-IF(AND(MOD(U$56,$C$21)=0,U$56&lt;Rates!$D$71),B$34,0),0)</f>
        <v/>
      </c>
      <c r="V102" s="90">
        <f>IF(V$56&lt;=Rates!$D$71,B$33*8760*$C$20*$C$15*Connectivity!$C$13/Rates!$D$4*(1+$C$23)^MOD(V$56-1,$C$21)*V$65-('Compute-Revenue'!$B$23+$C$9*B$34+B$43+B$44+B$45)-IF(AND(MOD(V$56,$C$21)=0,V$56&lt;Rates!$D$71),B$34,0),0)</f>
        <v/>
      </c>
      <c r="W102" s="90">
        <f>IF(W$56&lt;=Rates!$D$71,B$33*8760*$C$20*$C$15*Connectivity!$C$13/Rates!$D$4*(1+$C$23)^MOD(W$56-1,$C$21)*W$65-('Compute-Revenue'!$B$23+$C$9*B$34+B$43+B$44+B$45)-IF(AND(MOD(W$56,$C$21)=0,W$56&lt;Rates!$D$71),B$34,0),0)</f>
        <v/>
      </c>
      <c r="X102" s="90">
        <f>IF(X$56&lt;=Rates!$D$71,B$33*8760*$C$20*$C$15*Connectivity!$C$13/Rates!$D$4*(1+$C$23)^MOD(X$56-1,$C$21)*X$65-('Compute-Revenue'!$B$23+$C$9*B$34+B$43+B$44+B$45)-IF(AND(MOD(X$56,$C$21)=0,X$56&lt;Rates!$D$71),B$34,0),0)</f>
        <v/>
      </c>
      <c r="Y102" s="90">
        <f>IF(Y$56&lt;=Rates!$D$71,B$33*8760*$C$20*$C$15*Connectivity!$C$13/Rates!$D$4*(1+$C$23)^MOD(Y$56-1,$C$21)*Y$65-('Compute-Revenue'!$B$23+$C$9*B$34+B$43+B$44+B$45)-IF(AND(MOD(Y$56,$C$21)=0,Y$56&lt;Rates!$D$71),B$34,0),0)</f>
        <v/>
      </c>
      <c r="Z102" s="90">
        <f>IF(Z$56&lt;=Rates!$D$71,B$33*8760*$C$20*$C$15*Connectivity!$C$13/Rates!$D$4*(1+$C$23)^MOD(Z$56-1,$C$21)*Z$65-('Compute-Revenue'!$B$23+$C$9*B$34+B$43+B$44+B$45)-IF(AND(MOD(Z$56,$C$21)=0,Z$56&lt;Rates!$D$71),B$34,0),0)</f>
        <v/>
      </c>
      <c r="AA102" s="90">
        <f>IF(AA$56&lt;=Rates!$D$71,B$33*8760*$C$20*$C$15*Connectivity!$C$13/Rates!$D$4*(1+$C$23)^MOD(AA$56-1,$C$21)*AA$65-('Compute-Revenue'!$B$23+$C$9*B$34+B$43+B$44+B$45)-IF(AND(MOD(AA$56,$C$21)=0,AA$56&lt;Rates!$D$71),B$34,0),0)</f>
        <v/>
      </c>
      <c r="AB102" s="90">
        <f>IF(AB$56&lt;=Rates!$D$71,B$33*8760*$C$20*$C$15*Connectivity!$C$13/Rates!$D$4*(1+$C$23)^MOD(AB$56-1,$C$21)*AB$65-('Compute-Revenue'!$B$23+$C$9*B$34+B$43+B$44+B$45)-IF(AND(MOD(AB$56,$C$21)=0,AB$56&lt;Rates!$D$71),B$34,0),0)</f>
        <v/>
      </c>
    </row>
    <row r="103">
      <c r="A103" s="68" t="inlineStr">
        <is>
          <t>helper: p_high x u_low</t>
        </is>
      </c>
      <c r="C103" s="90">
        <f>-B$36</f>
        <v/>
      </c>
      <c r="D103" s="90">
        <f>IF(D$56&lt;=Rates!$D$71,B$33*8760*$C$18*$C$16*Connectivity!$C$13/Rates!$D$4*(1+$C$23)^MOD(D$56-1,$C$21)*D$65-('Compute-Revenue'!$B$23+$C$9*B$34+B$43+B$44+B$45)-IF(AND(MOD(D$56,$C$21)=0,D$56&lt;Rates!$D$71),B$34,0),0)</f>
        <v/>
      </c>
      <c r="E103" s="90">
        <f>IF(E$56&lt;=Rates!$D$71,B$33*8760*$C$18*$C$16*Connectivity!$C$13/Rates!$D$4*(1+$C$23)^MOD(E$56-1,$C$21)*E$65-('Compute-Revenue'!$B$23+$C$9*B$34+B$43+B$44+B$45)-IF(AND(MOD(E$56,$C$21)=0,E$56&lt;Rates!$D$71),B$34,0),0)</f>
        <v/>
      </c>
      <c r="F103" s="90">
        <f>IF(F$56&lt;=Rates!$D$71,B$33*8760*$C$18*$C$16*Connectivity!$C$13/Rates!$D$4*(1+$C$23)^MOD(F$56-1,$C$21)*F$65-('Compute-Revenue'!$B$23+$C$9*B$34+B$43+B$44+B$45)-IF(AND(MOD(F$56,$C$21)=0,F$56&lt;Rates!$D$71),B$34,0),0)</f>
        <v/>
      </c>
      <c r="G103" s="90">
        <f>IF(G$56&lt;=Rates!$D$71,B$33*8760*$C$18*$C$16*Connectivity!$C$13/Rates!$D$4*(1+$C$23)^MOD(G$56-1,$C$21)*G$65-('Compute-Revenue'!$B$23+$C$9*B$34+B$43+B$44+B$45)-IF(AND(MOD(G$56,$C$21)=0,G$56&lt;Rates!$D$71),B$34,0),0)</f>
        <v/>
      </c>
      <c r="H103" s="90">
        <f>IF(H$56&lt;=Rates!$D$71,B$33*8760*$C$18*$C$16*Connectivity!$C$13/Rates!$D$4*(1+$C$23)^MOD(H$56-1,$C$21)*H$65-('Compute-Revenue'!$B$23+$C$9*B$34+B$43+B$44+B$45)-IF(AND(MOD(H$56,$C$21)=0,H$56&lt;Rates!$D$71),B$34,0),0)</f>
        <v/>
      </c>
      <c r="I103" s="90">
        <f>IF(I$56&lt;=Rates!$D$71,B$33*8760*$C$18*$C$16*Connectivity!$C$13/Rates!$D$4*(1+$C$23)^MOD(I$56-1,$C$21)*I$65-('Compute-Revenue'!$B$23+$C$9*B$34+B$43+B$44+B$45)-IF(AND(MOD(I$56,$C$21)=0,I$56&lt;Rates!$D$71),B$34,0),0)</f>
        <v/>
      </c>
      <c r="J103" s="90">
        <f>IF(J$56&lt;=Rates!$D$71,B$33*8760*$C$18*$C$16*Connectivity!$C$13/Rates!$D$4*(1+$C$23)^MOD(J$56-1,$C$21)*J$65-('Compute-Revenue'!$B$23+$C$9*B$34+B$43+B$44+B$45)-IF(AND(MOD(J$56,$C$21)=0,J$56&lt;Rates!$D$71),B$34,0),0)</f>
        <v/>
      </c>
      <c r="K103" s="90">
        <f>IF(K$56&lt;=Rates!$D$71,B$33*8760*$C$18*$C$16*Connectivity!$C$13/Rates!$D$4*(1+$C$23)^MOD(K$56-1,$C$21)*K$65-('Compute-Revenue'!$B$23+$C$9*B$34+B$43+B$44+B$45)-IF(AND(MOD(K$56,$C$21)=0,K$56&lt;Rates!$D$71),B$34,0),0)</f>
        <v/>
      </c>
      <c r="L103" s="90">
        <f>IF(L$56&lt;=Rates!$D$71,B$33*8760*$C$18*$C$16*Connectivity!$C$13/Rates!$D$4*(1+$C$23)^MOD(L$56-1,$C$21)*L$65-('Compute-Revenue'!$B$23+$C$9*B$34+B$43+B$44+B$45)-IF(AND(MOD(L$56,$C$21)=0,L$56&lt;Rates!$D$71),B$34,0),0)</f>
        <v/>
      </c>
      <c r="M103" s="90">
        <f>IF(M$56&lt;=Rates!$D$71,B$33*8760*$C$18*$C$16*Connectivity!$C$13/Rates!$D$4*(1+$C$23)^MOD(M$56-1,$C$21)*M$65-('Compute-Revenue'!$B$23+$C$9*B$34+B$43+B$44+B$45)-IF(AND(MOD(M$56,$C$21)=0,M$56&lt;Rates!$D$71),B$34,0),0)</f>
        <v/>
      </c>
      <c r="N103" s="90">
        <f>IF(N$56&lt;=Rates!$D$71,B$33*8760*$C$18*$C$16*Connectivity!$C$13/Rates!$D$4*(1+$C$23)^MOD(N$56-1,$C$21)*N$65-('Compute-Revenue'!$B$23+$C$9*B$34+B$43+B$44+B$45)-IF(AND(MOD(N$56,$C$21)=0,N$56&lt;Rates!$D$71),B$34,0),0)</f>
        <v/>
      </c>
      <c r="O103" s="90">
        <f>IF(O$56&lt;=Rates!$D$71,B$33*8760*$C$18*$C$16*Connectivity!$C$13/Rates!$D$4*(1+$C$23)^MOD(O$56-1,$C$21)*O$65-('Compute-Revenue'!$B$23+$C$9*B$34+B$43+B$44+B$45)-IF(AND(MOD(O$56,$C$21)=0,O$56&lt;Rates!$D$71),B$34,0),0)</f>
        <v/>
      </c>
      <c r="P103" s="90">
        <f>IF(P$56&lt;=Rates!$D$71,B$33*8760*$C$18*$C$16*Connectivity!$C$13/Rates!$D$4*(1+$C$23)^MOD(P$56-1,$C$21)*P$65-('Compute-Revenue'!$B$23+$C$9*B$34+B$43+B$44+B$45)-IF(AND(MOD(P$56,$C$21)=0,P$56&lt;Rates!$D$71),B$34,0),0)</f>
        <v/>
      </c>
      <c r="Q103" s="90">
        <f>IF(Q$56&lt;=Rates!$D$71,B$33*8760*$C$18*$C$16*Connectivity!$C$13/Rates!$D$4*(1+$C$23)^MOD(Q$56-1,$C$21)*Q$65-('Compute-Revenue'!$B$23+$C$9*B$34+B$43+B$44+B$45)-IF(AND(MOD(Q$56,$C$21)=0,Q$56&lt;Rates!$D$71),B$34,0),0)</f>
        <v/>
      </c>
      <c r="R103" s="90">
        <f>IF(R$56&lt;=Rates!$D$71,B$33*8760*$C$18*$C$16*Connectivity!$C$13/Rates!$D$4*(1+$C$23)^MOD(R$56-1,$C$21)*R$65-('Compute-Revenue'!$B$23+$C$9*B$34+B$43+B$44+B$45)-IF(AND(MOD(R$56,$C$21)=0,R$56&lt;Rates!$D$71),B$34,0),0)</f>
        <v/>
      </c>
      <c r="S103" s="90">
        <f>IF(S$56&lt;=Rates!$D$71,B$33*8760*$C$18*$C$16*Connectivity!$C$13/Rates!$D$4*(1+$C$23)^MOD(S$56-1,$C$21)*S$65-('Compute-Revenue'!$B$23+$C$9*B$34+B$43+B$44+B$45)-IF(AND(MOD(S$56,$C$21)=0,S$56&lt;Rates!$D$71),B$34,0),0)</f>
        <v/>
      </c>
      <c r="T103" s="90">
        <f>IF(T$56&lt;=Rates!$D$71,B$33*8760*$C$18*$C$16*Connectivity!$C$13/Rates!$D$4*(1+$C$23)^MOD(T$56-1,$C$21)*T$65-('Compute-Revenue'!$B$23+$C$9*B$34+B$43+B$44+B$45)-IF(AND(MOD(T$56,$C$21)=0,T$56&lt;Rates!$D$71),B$34,0),0)</f>
        <v/>
      </c>
      <c r="U103" s="90">
        <f>IF(U$56&lt;=Rates!$D$71,B$33*8760*$C$18*$C$16*Connectivity!$C$13/Rates!$D$4*(1+$C$23)^MOD(U$56-1,$C$21)*U$65-('Compute-Revenue'!$B$23+$C$9*B$34+B$43+B$44+B$45)-IF(AND(MOD(U$56,$C$21)=0,U$56&lt;Rates!$D$71),B$34,0),0)</f>
        <v/>
      </c>
      <c r="V103" s="90">
        <f>IF(V$56&lt;=Rates!$D$71,B$33*8760*$C$18*$C$16*Connectivity!$C$13/Rates!$D$4*(1+$C$23)^MOD(V$56-1,$C$21)*V$65-('Compute-Revenue'!$B$23+$C$9*B$34+B$43+B$44+B$45)-IF(AND(MOD(V$56,$C$21)=0,V$56&lt;Rates!$D$71),B$34,0),0)</f>
        <v/>
      </c>
      <c r="W103" s="90">
        <f>IF(W$56&lt;=Rates!$D$71,B$33*8760*$C$18*$C$16*Connectivity!$C$13/Rates!$D$4*(1+$C$23)^MOD(W$56-1,$C$21)*W$65-('Compute-Revenue'!$B$23+$C$9*B$34+B$43+B$44+B$45)-IF(AND(MOD(W$56,$C$21)=0,W$56&lt;Rates!$D$71),B$34,0),0)</f>
        <v/>
      </c>
      <c r="X103" s="90">
        <f>IF(X$56&lt;=Rates!$D$71,B$33*8760*$C$18*$C$16*Connectivity!$C$13/Rates!$D$4*(1+$C$23)^MOD(X$56-1,$C$21)*X$65-('Compute-Revenue'!$B$23+$C$9*B$34+B$43+B$44+B$45)-IF(AND(MOD(X$56,$C$21)=0,X$56&lt;Rates!$D$71),B$34,0),0)</f>
        <v/>
      </c>
      <c r="Y103" s="90">
        <f>IF(Y$56&lt;=Rates!$D$71,B$33*8760*$C$18*$C$16*Connectivity!$C$13/Rates!$D$4*(1+$C$23)^MOD(Y$56-1,$C$21)*Y$65-('Compute-Revenue'!$B$23+$C$9*B$34+B$43+B$44+B$45)-IF(AND(MOD(Y$56,$C$21)=0,Y$56&lt;Rates!$D$71),B$34,0),0)</f>
        <v/>
      </c>
      <c r="Z103" s="90">
        <f>IF(Z$56&lt;=Rates!$D$71,B$33*8760*$C$18*$C$16*Connectivity!$C$13/Rates!$D$4*(1+$C$23)^MOD(Z$56-1,$C$21)*Z$65-('Compute-Revenue'!$B$23+$C$9*B$34+B$43+B$44+B$45)-IF(AND(MOD(Z$56,$C$21)=0,Z$56&lt;Rates!$D$71),B$34,0),0)</f>
        <v/>
      </c>
      <c r="AA103" s="90">
        <f>IF(AA$56&lt;=Rates!$D$71,B$33*8760*$C$18*$C$16*Connectivity!$C$13/Rates!$D$4*(1+$C$23)^MOD(AA$56-1,$C$21)*AA$65-('Compute-Revenue'!$B$23+$C$9*B$34+B$43+B$44+B$45)-IF(AND(MOD(AA$56,$C$21)=0,AA$56&lt;Rates!$D$71),B$34,0),0)</f>
        <v/>
      </c>
      <c r="AB103" s="90">
        <f>IF(AB$56&lt;=Rates!$D$71,B$33*8760*$C$18*$C$16*Connectivity!$C$13/Rates!$D$4*(1+$C$23)^MOD(AB$56-1,$C$21)*AB$65-('Compute-Revenue'!$B$23+$C$9*B$34+B$43+B$44+B$45)-IF(AND(MOD(AB$56,$C$21)=0,AB$56&lt;Rates!$D$71),B$34,0),0)</f>
        <v/>
      </c>
    </row>
    <row r="104">
      <c r="A104" s="68" t="inlineStr">
        <is>
          <t>helper: p_high x u_base</t>
        </is>
      </c>
      <c r="C104" s="90">
        <f>-B$36</f>
        <v/>
      </c>
      <c r="D104" s="90">
        <f>IF(D$56&lt;=Rates!$D$71,B$33*8760*$C$19*$C$16*Connectivity!$C$13/Rates!$D$4*(1+$C$23)^MOD(D$56-1,$C$21)*D$65-('Compute-Revenue'!$B$23+$C$9*B$34+B$43+B$44+B$45)-IF(AND(MOD(D$56,$C$21)=0,D$56&lt;Rates!$D$71),B$34,0),0)</f>
        <v/>
      </c>
      <c r="E104" s="90">
        <f>IF(E$56&lt;=Rates!$D$71,B$33*8760*$C$19*$C$16*Connectivity!$C$13/Rates!$D$4*(1+$C$23)^MOD(E$56-1,$C$21)*E$65-('Compute-Revenue'!$B$23+$C$9*B$34+B$43+B$44+B$45)-IF(AND(MOD(E$56,$C$21)=0,E$56&lt;Rates!$D$71),B$34,0),0)</f>
        <v/>
      </c>
      <c r="F104" s="90">
        <f>IF(F$56&lt;=Rates!$D$71,B$33*8760*$C$19*$C$16*Connectivity!$C$13/Rates!$D$4*(1+$C$23)^MOD(F$56-1,$C$21)*F$65-('Compute-Revenue'!$B$23+$C$9*B$34+B$43+B$44+B$45)-IF(AND(MOD(F$56,$C$21)=0,F$56&lt;Rates!$D$71),B$34,0),0)</f>
        <v/>
      </c>
      <c r="G104" s="90">
        <f>IF(G$56&lt;=Rates!$D$71,B$33*8760*$C$19*$C$16*Connectivity!$C$13/Rates!$D$4*(1+$C$23)^MOD(G$56-1,$C$21)*G$65-('Compute-Revenue'!$B$23+$C$9*B$34+B$43+B$44+B$45)-IF(AND(MOD(G$56,$C$21)=0,G$56&lt;Rates!$D$71),B$34,0),0)</f>
        <v/>
      </c>
      <c r="H104" s="90">
        <f>IF(H$56&lt;=Rates!$D$71,B$33*8760*$C$19*$C$16*Connectivity!$C$13/Rates!$D$4*(1+$C$23)^MOD(H$56-1,$C$21)*H$65-('Compute-Revenue'!$B$23+$C$9*B$34+B$43+B$44+B$45)-IF(AND(MOD(H$56,$C$21)=0,H$56&lt;Rates!$D$71),B$34,0),0)</f>
        <v/>
      </c>
      <c r="I104" s="90">
        <f>IF(I$56&lt;=Rates!$D$71,B$33*8760*$C$19*$C$16*Connectivity!$C$13/Rates!$D$4*(1+$C$23)^MOD(I$56-1,$C$21)*I$65-('Compute-Revenue'!$B$23+$C$9*B$34+B$43+B$44+B$45)-IF(AND(MOD(I$56,$C$21)=0,I$56&lt;Rates!$D$71),B$34,0),0)</f>
        <v/>
      </c>
      <c r="J104" s="90">
        <f>IF(J$56&lt;=Rates!$D$71,B$33*8760*$C$19*$C$16*Connectivity!$C$13/Rates!$D$4*(1+$C$23)^MOD(J$56-1,$C$21)*J$65-('Compute-Revenue'!$B$23+$C$9*B$34+B$43+B$44+B$45)-IF(AND(MOD(J$56,$C$21)=0,J$56&lt;Rates!$D$71),B$34,0),0)</f>
        <v/>
      </c>
      <c r="K104" s="90">
        <f>IF(K$56&lt;=Rates!$D$71,B$33*8760*$C$19*$C$16*Connectivity!$C$13/Rates!$D$4*(1+$C$23)^MOD(K$56-1,$C$21)*K$65-('Compute-Revenue'!$B$23+$C$9*B$34+B$43+B$44+B$45)-IF(AND(MOD(K$56,$C$21)=0,K$56&lt;Rates!$D$71),B$34,0),0)</f>
        <v/>
      </c>
      <c r="L104" s="90">
        <f>IF(L$56&lt;=Rates!$D$71,B$33*8760*$C$19*$C$16*Connectivity!$C$13/Rates!$D$4*(1+$C$23)^MOD(L$56-1,$C$21)*L$65-('Compute-Revenue'!$B$23+$C$9*B$34+B$43+B$44+B$45)-IF(AND(MOD(L$56,$C$21)=0,L$56&lt;Rates!$D$71),B$34,0),0)</f>
        <v/>
      </c>
      <c r="M104" s="90">
        <f>IF(M$56&lt;=Rates!$D$71,B$33*8760*$C$19*$C$16*Connectivity!$C$13/Rates!$D$4*(1+$C$23)^MOD(M$56-1,$C$21)*M$65-('Compute-Revenue'!$B$23+$C$9*B$34+B$43+B$44+B$45)-IF(AND(MOD(M$56,$C$21)=0,M$56&lt;Rates!$D$71),B$34,0),0)</f>
        <v/>
      </c>
      <c r="N104" s="90">
        <f>IF(N$56&lt;=Rates!$D$71,B$33*8760*$C$19*$C$16*Connectivity!$C$13/Rates!$D$4*(1+$C$23)^MOD(N$56-1,$C$21)*N$65-('Compute-Revenue'!$B$23+$C$9*B$34+B$43+B$44+B$45)-IF(AND(MOD(N$56,$C$21)=0,N$56&lt;Rates!$D$71),B$34,0),0)</f>
        <v/>
      </c>
      <c r="O104" s="90">
        <f>IF(O$56&lt;=Rates!$D$71,B$33*8760*$C$19*$C$16*Connectivity!$C$13/Rates!$D$4*(1+$C$23)^MOD(O$56-1,$C$21)*O$65-('Compute-Revenue'!$B$23+$C$9*B$34+B$43+B$44+B$45)-IF(AND(MOD(O$56,$C$21)=0,O$56&lt;Rates!$D$71),B$34,0),0)</f>
        <v/>
      </c>
      <c r="P104" s="90">
        <f>IF(P$56&lt;=Rates!$D$71,B$33*8760*$C$19*$C$16*Connectivity!$C$13/Rates!$D$4*(1+$C$23)^MOD(P$56-1,$C$21)*P$65-('Compute-Revenue'!$B$23+$C$9*B$34+B$43+B$44+B$45)-IF(AND(MOD(P$56,$C$21)=0,P$56&lt;Rates!$D$71),B$34,0),0)</f>
        <v/>
      </c>
      <c r="Q104" s="90">
        <f>IF(Q$56&lt;=Rates!$D$71,B$33*8760*$C$19*$C$16*Connectivity!$C$13/Rates!$D$4*(1+$C$23)^MOD(Q$56-1,$C$21)*Q$65-('Compute-Revenue'!$B$23+$C$9*B$34+B$43+B$44+B$45)-IF(AND(MOD(Q$56,$C$21)=0,Q$56&lt;Rates!$D$71),B$34,0),0)</f>
        <v/>
      </c>
      <c r="R104" s="90">
        <f>IF(R$56&lt;=Rates!$D$71,B$33*8760*$C$19*$C$16*Connectivity!$C$13/Rates!$D$4*(1+$C$23)^MOD(R$56-1,$C$21)*R$65-('Compute-Revenue'!$B$23+$C$9*B$34+B$43+B$44+B$45)-IF(AND(MOD(R$56,$C$21)=0,R$56&lt;Rates!$D$71),B$34,0),0)</f>
        <v/>
      </c>
      <c r="S104" s="90">
        <f>IF(S$56&lt;=Rates!$D$71,B$33*8760*$C$19*$C$16*Connectivity!$C$13/Rates!$D$4*(1+$C$23)^MOD(S$56-1,$C$21)*S$65-('Compute-Revenue'!$B$23+$C$9*B$34+B$43+B$44+B$45)-IF(AND(MOD(S$56,$C$21)=0,S$56&lt;Rates!$D$71),B$34,0),0)</f>
        <v/>
      </c>
      <c r="T104" s="90">
        <f>IF(T$56&lt;=Rates!$D$71,B$33*8760*$C$19*$C$16*Connectivity!$C$13/Rates!$D$4*(1+$C$23)^MOD(T$56-1,$C$21)*T$65-('Compute-Revenue'!$B$23+$C$9*B$34+B$43+B$44+B$45)-IF(AND(MOD(T$56,$C$21)=0,T$56&lt;Rates!$D$71),B$34,0),0)</f>
        <v/>
      </c>
      <c r="U104" s="90">
        <f>IF(U$56&lt;=Rates!$D$71,B$33*8760*$C$19*$C$16*Connectivity!$C$13/Rates!$D$4*(1+$C$23)^MOD(U$56-1,$C$21)*U$65-('Compute-Revenue'!$B$23+$C$9*B$34+B$43+B$44+B$45)-IF(AND(MOD(U$56,$C$21)=0,U$56&lt;Rates!$D$71),B$34,0),0)</f>
        <v/>
      </c>
      <c r="V104" s="90">
        <f>IF(V$56&lt;=Rates!$D$71,B$33*8760*$C$19*$C$16*Connectivity!$C$13/Rates!$D$4*(1+$C$23)^MOD(V$56-1,$C$21)*V$65-('Compute-Revenue'!$B$23+$C$9*B$34+B$43+B$44+B$45)-IF(AND(MOD(V$56,$C$21)=0,V$56&lt;Rates!$D$71),B$34,0),0)</f>
        <v/>
      </c>
      <c r="W104" s="90">
        <f>IF(W$56&lt;=Rates!$D$71,B$33*8760*$C$19*$C$16*Connectivity!$C$13/Rates!$D$4*(1+$C$23)^MOD(W$56-1,$C$21)*W$65-('Compute-Revenue'!$B$23+$C$9*B$34+B$43+B$44+B$45)-IF(AND(MOD(W$56,$C$21)=0,W$56&lt;Rates!$D$71),B$34,0),0)</f>
        <v/>
      </c>
      <c r="X104" s="90">
        <f>IF(X$56&lt;=Rates!$D$71,B$33*8760*$C$19*$C$16*Connectivity!$C$13/Rates!$D$4*(1+$C$23)^MOD(X$56-1,$C$21)*X$65-('Compute-Revenue'!$B$23+$C$9*B$34+B$43+B$44+B$45)-IF(AND(MOD(X$56,$C$21)=0,X$56&lt;Rates!$D$71),B$34,0),0)</f>
        <v/>
      </c>
      <c r="Y104" s="90">
        <f>IF(Y$56&lt;=Rates!$D$71,B$33*8760*$C$19*$C$16*Connectivity!$C$13/Rates!$D$4*(1+$C$23)^MOD(Y$56-1,$C$21)*Y$65-('Compute-Revenue'!$B$23+$C$9*B$34+B$43+B$44+B$45)-IF(AND(MOD(Y$56,$C$21)=0,Y$56&lt;Rates!$D$71),B$34,0),0)</f>
        <v/>
      </c>
      <c r="Z104" s="90">
        <f>IF(Z$56&lt;=Rates!$D$71,B$33*8760*$C$19*$C$16*Connectivity!$C$13/Rates!$D$4*(1+$C$23)^MOD(Z$56-1,$C$21)*Z$65-('Compute-Revenue'!$B$23+$C$9*B$34+B$43+B$44+B$45)-IF(AND(MOD(Z$56,$C$21)=0,Z$56&lt;Rates!$D$71),B$34,0),0)</f>
        <v/>
      </c>
      <c r="AA104" s="90">
        <f>IF(AA$56&lt;=Rates!$D$71,B$33*8760*$C$19*$C$16*Connectivity!$C$13/Rates!$D$4*(1+$C$23)^MOD(AA$56-1,$C$21)*AA$65-('Compute-Revenue'!$B$23+$C$9*B$34+B$43+B$44+B$45)-IF(AND(MOD(AA$56,$C$21)=0,AA$56&lt;Rates!$D$71),B$34,0),0)</f>
        <v/>
      </c>
      <c r="AB104" s="90">
        <f>IF(AB$56&lt;=Rates!$D$71,B$33*8760*$C$19*$C$16*Connectivity!$C$13/Rates!$D$4*(1+$C$23)^MOD(AB$56-1,$C$21)*AB$65-('Compute-Revenue'!$B$23+$C$9*B$34+B$43+B$44+B$45)-IF(AND(MOD(AB$56,$C$21)=0,AB$56&lt;Rates!$D$71),B$34,0),0)</f>
        <v/>
      </c>
    </row>
    <row r="105">
      <c r="A105" s="68" t="inlineStr">
        <is>
          <t>helper: p_high x u_high</t>
        </is>
      </c>
      <c r="C105" s="90">
        <f>-B$36</f>
        <v/>
      </c>
      <c r="D105" s="90">
        <f>IF(D$56&lt;=Rates!$D$71,B$33*8760*$C$20*$C$16*Connectivity!$C$13/Rates!$D$4*(1+$C$23)^MOD(D$56-1,$C$21)*D$65-('Compute-Revenue'!$B$23+$C$9*B$34+B$43+B$44+B$45)-IF(AND(MOD(D$56,$C$21)=0,D$56&lt;Rates!$D$71),B$34,0),0)</f>
        <v/>
      </c>
      <c r="E105" s="90">
        <f>IF(E$56&lt;=Rates!$D$71,B$33*8760*$C$20*$C$16*Connectivity!$C$13/Rates!$D$4*(1+$C$23)^MOD(E$56-1,$C$21)*E$65-('Compute-Revenue'!$B$23+$C$9*B$34+B$43+B$44+B$45)-IF(AND(MOD(E$56,$C$21)=0,E$56&lt;Rates!$D$71),B$34,0),0)</f>
        <v/>
      </c>
      <c r="F105" s="90">
        <f>IF(F$56&lt;=Rates!$D$71,B$33*8760*$C$20*$C$16*Connectivity!$C$13/Rates!$D$4*(1+$C$23)^MOD(F$56-1,$C$21)*F$65-('Compute-Revenue'!$B$23+$C$9*B$34+B$43+B$44+B$45)-IF(AND(MOD(F$56,$C$21)=0,F$56&lt;Rates!$D$71),B$34,0),0)</f>
        <v/>
      </c>
      <c r="G105" s="90">
        <f>IF(G$56&lt;=Rates!$D$71,B$33*8760*$C$20*$C$16*Connectivity!$C$13/Rates!$D$4*(1+$C$23)^MOD(G$56-1,$C$21)*G$65-('Compute-Revenue'!$B$23+$C$9*B$34+B$43+B$44+B$45)-IF(AND(MOD(G$56,$C$21)=0,G$56&lt;Rates!$D$71),B$34,0),0)</f>
        <v/>
      </c>
      <c r="H105" s="90">
        <f>IF(H$56&lt;=Rates!$D$71,B$33*8760*$C$20*$C$16*Connectivity!$C$13/Rates!$D$4*(1+$C$23)^MOD(H$56-1,$C$21)*H$65-('Compute-Revenue'!$B$23+$C$9*B$34+B$43+B$44+B$45)-IF(AND(MOD(H$56,$C$21)=0,H$56&lt;Rates!$D$71),B$34,0),0)</f>
        <v/>
      </c>
      <c r="I105" s="90">
        <f>IF(I$56&lt;=Rates!$D$71,B$33*8760*$C$20*$C$16*Connectivity!$C$13/Rates!$D$4*(1+$C$23)^MOD(I$56-1,$C$21)*I$65-('Compute-Revenue'!$B$23+$C$9*B$34+B$43+B$44+B$45)-IF(AND(MOD(I$56,$C$21)=0,I$56&lt;Rates!$D$71),B$34,0),0)</f>
        <v/>
      </c>
      <c r="J105" s="90">
        <f>IF(J$56&lt;=Rates!$D$71,B$33*8760*$C$20*$C$16*Connectivity!$C$13/Rates!$D$4*(1+$C$23)^MOD(J$56-1,$C$21)*J$65-('Compute-Revenue'!$B$23+$C$9*B$34+B$43+B$44+B$45)-IF(AND(MOD(J$56,$C$21)=0,J$56&lt;Rates!$D$71),B$34,0),0)</f>
        <v/>
      </c>
      <c r="K105" s="90">
        <f>IF(K$56&lt;=Rates!$D$71,B$33*8760*$C$20*$C$16*Connectivity!$C$13/Rates!$D$4*(1+$C$23)^MOD(K$56-1,$C$21)*K$65-('Compute-Revenue'!$B$23+$C$9*B$34+B$43+B$44+B$45)-IF(AND(MOD(K$56,$C$21)=0,K$56&lt;Rates!$D$71),B$34,0),0)</f>
        <v/>
      </c>
      <c r="L105" s="90">
        <f>IF(L$56&lt;=Rates!$D$71,B$33*8760*$C$20*$C$16*Connectivity!$C$13/Rates!$D$4*(1+$C$23)^MOD(L$56-1,$C$21)*L$65-('Compute-Revenue'!$B$23+$C$9*B$34+B$43+B$44+B$45)-IF(AND(MOD(L$56,$C$21)=0,L$56&lt;Rates!$D$71),B$34,0),0)</f>
        <v/>
      </c>
      <c r="M105" s="90">
        <f>IF(M$56&lt;=Rates!$D$71,B$33*8760*$C$20*$C$16*Connectivity!$C$13/Rates!$D$4*(1+$C$23)^MOD(M$56-1,$C$21)*M$65-('Compute-Revenue'!$B$23+$C$9*B$34+B$43+B$44+B$45)-IF(AND(MOD(M$56,$C$21)=0,M$56&lt;Rates!$D$71),B$34,0),0)</f>
        <v/>
      </c>
      <c r="N105" s="90">
        <f>IF(N$56&lt;=Rates!$D$71,B$33*8760*$C$20*$C$16*Connectivity!$C$13/Rates!$D$4*(1+$C$23)^MOD(N$56-1,$C$21)*N$65-('Compute-Revenue'!$B$23+$C$9*B$34+B$43+B$44+B$45)-IF(AND(MOD(N$56,$C$21)=0,N$56&lt;Rates!$D$71),B$34,0),0)</f>
        <v/>
      </c>
      <c r="O105" s="90">
        <f>IF(O$56&lt;=Rates!$D$71,B$33*8760*$C$20*$C$16*Connectivity!$C$13/Rates!$D$4*(1+$C$23)^MOD(O$56-1,$C$21)*O$65-('Compute-Revenue'!$B$23+$C$9*B$34+B$43+B$44+B$45)-IF(AND(MOD(O$56,$C$21)=0,O$56&lt;Rates!$D$71),B$34,0),0)</f>
        <v/>
      </c>
      <c r="P105" s="90">
        <f>IF(P$56&lt;=Rates!$D$71,B$33*8760*$C$20*$C$16*Connectivity!$C$13/Rates!$D$4*(1+$C$23)^MOD(P$56-1,$C$21)*P$65-('Compute-Revenue'!$B$23+$C$9*B$34+B$43+B$44+B$45)-IF(AND(MOD(P$56,$C$21)=0,P$56&lt;Rates!$D$71),B$34,0),0)</f>
        <v/>
      </c>
      <c r="Q105" s="90">
        <f>IF(Q$56&lt;=Rates!$D$71,B$33*8760*$C$20*$C$16*Connectivity!$C$13/Rates!$D$4*(1+$C$23)^MOD(Q$56-1,$C$21)*Q$65-('Compute-Revenue'!$B$23+$C$9*B$34+B$43+B$44+B$45)-IF(AND(MOD(Q$56,$C$21)=0,Q$56&lt;Rates!$D$71),B$34,0),0)</f>
        <v/>
      </c>
      <c r="R105" s="90">
        <f>IF(R$56&lt;=Rates!$D$71,B$33*8760*$C$20*$C$16*Connectivity!$C$13/Rates!$D$4*(1+$C$23)^MOD(R$56-1,$C$21)*R$65-('Compute-Revenue'!$B$23+$C$9*B$34+B$43+B$44+B$45)-IF(AND(MOD(R$56,$C$21)=0,R$56&lt;Rates!$D$71),B$34,0),0)</f>
        <v/>
      </c>
      <c r="S105" s="90">
        <f>IF(S$56&lt;=Rates!$D$71,B$33*8760*$C$20*$C$16*Connectivity!$C$13/Rates!$D$4*(1+$C$23)^MOD(S$56-1,$C$21)*S$65-('Compute-Revenue'!$B$23+$C$9*B$34+B$43+B$44+B$45)-IF(AND(MOD(S$56,$C$21)=0,S$56&lt;Rates!$D$71),B$34,0),0)</f>
        <v/>
      </c>
      <c r="T105" s="90">
        <f>IF(T$56&lt;=Rates!$D$71,B$33*8760*$C$20*$C$16*Connectivity!$C$13/Rates!$D$4*(1+$C$23)^MOD(T$56-1,$C$21)*T$65-('Compute-Revenue'!$B$23+$C$9*B$34+B$43+B$44+B$45)-IF(AND(MOD(T$56,$C$21)=0,T$56&lt;Rates!$D$71),B$34,0),0)</f>
        <v/>
      </c>
      <c r="U105" s="90">
        <f>IF(U$56&lt;=Rates!$D$71,B$33*8760*$C$20*$C$16*Connectivity!$C$13/Rates!$D$4*(1+$C$23)^MOD(U$56-1,$C$21)*U$65-('Compute-Revenue'!$B$23+$C$9*B$34+B$43+B$44+B$45)-IF(AND(MOD(U$56,$C$21)=0,U$56&lt;Rates!$D$71),B$34,0),0)</f>
        <v/>
      </c>
      <c r="V105" s="90">
        <f>IF(V$56&lt;=Rates!$D$71,B$33*8760*$C$20*$C$16*Connectivity!$C$13/Rates!$D$4*(1+$C$23)^MOD(V$56-1,$C$21)*V$65-('Compute-Revenue'!$B$23+$C$9*B$34+B$43+B$44+B$45)-IF(AND(MOD(V$56,$C$21)=0,V$56&lt;Rates!$D$71),B$34,0),0)</f>
        <v/>
      </c>
      <c r="W105" s="90">
        <f>IF(W$56&lt;=Rates!$D$71,B$33*8760*$C$20*$C$16*Connectivity!$C$13/Rates!$D$4*(1+$C$23)^MOD(W$56-1,$C$21)*W$65-('Compute-Revenue'!$B$23+$C$9*B$34+B$43+B$44+B$45)-IF(AND(MOD(W$56,$C$21)=0,W$56&lt;Rates!$D$71),B$34,0),0)</f>
        <v/>
      </c>
      <c r="X105" s="90">
        <f>IF(X$56&lt;=Rates!$D$71,B$33*8760*$C$20*$C$16*Connectivity!$C$13/Rates!$D$4*(1+$C$23)^MOD(X$56-1,$C$21)*X$65-('Compute-Revenue'!$B$23+$C$9*B$34+B$43+B$44+B$45)-IF(AND(MOD(X$56,$C$21)=0,X$56&lt;Rates!$D$71),B$34,0),0)</f>
        <v/>
      </c>
      <c r="Y105" s="90">
        <f>IF(Y$56&lt;=Rates!$D$71,B$33*8760*$C$20*$C$16*Connectivity!$C$13/Rates!$D$4*(1+$C$23)^MOD(Y$56-1,$C$21)*Y$65-('Compute-Revenue'!$B$23+$C$9*B$34+B$43+B$44+B$45)-IF(AND(MOD(Y$56,$C$21)=0,Y$56&lt;Rates!$D$71),B$34,0),0)</f>
        <v/>
      </c>
      <c r="Z105" s="90">
        <f>IF(Z$56&lt;=Rates!$D$71,B$33*8760*$C$20*$C$16*Connectivity!$C$13/Rates!$D$4*(1+$C$23)^MOD(Z$56-1,$C$21)*Z$65-('Compute-Revenue'!$B$23+$C$9*B$34+B$43+B$44+B$45)-IF(AND(MOD(Z$56,$C$21)=0,Z$56&lt;Rates!$D$71),B$34,0),0)</f>
        <v/>
      </c>
      <c r="AA105" s="90">
        <f>IF(AA$56&lt;=Rates!$D$71,B$33*8760*$C$20*$C$16*Connectivity!$C$13/Rates!$D$4*(1+$C$23)^MOD(AA$56-1,$C$21)*AA$65-('Compute-Revenue'!$B$23+$C$9*B$34+B$43+B$44+B$45)-IF(AND(MOD(AA$56,$C$21)=0,AA$56&lt;Rates!$D$71),B$34,0),0)</f>
        <v/>
      </c>
      <c r="AB105" s="90">
        <f>IF(AB$56&lt;=Rates!$D$71,B$33*8760*$C$20*$C$16*Connectivity!$C$13/Rates!$D$4*(1+$C$23)^MOD(AB$56-1,$C$21)*AB$65-('Compute-Revenue'!$B$23+$C$9*B$34+B$43+B$44+B$45)-IF(AND(MOD(AB$56,$C$21)=0,AB$56&lt;Rates!$D$71),B$34,0),0)</f>
        <v/>
      </c>
    </row>
    <row r="106">
      <c r="A106" s="68" t="inlineStr">
        <is>
          <t>helper: p_cw x u_low</t>
        </is>
      </c>
      <c r="C106" s="90">
        <f>-B$36</f>
        <v/>
      </c>
      <c r="D106" s="90">
        <f>IF(D$56&lt;=Rates!$D$71,B$33*8760*$C$18*$C$17*Connectivity!$C$13/Rates!$D$4*(1+$C$23)^MOD(D$56-1,$C$21)*D$65-('Compute-Revenue'!$B$23+$C$9*B$34+B$43+B$44+B$45)-IF(AND(MOD(D$56,$C$21)=0,D$56&lt;Rates!$D$71),B$34,0),0)</f>
        <v/>
      </c>
      <c r="E106" s="90">
        <f>IF(E$56&lt;=Rates!$D$71,B$33*8760*$C$18*$C$17*Connectivity!$C$13/Rates!$D$4*(1+$C$23)^MOD(E$56-1,$C$21)*E$65-('Compute-Revenue'!$B$23+$C$9*B$34+B$43+B$44+B$45)-IF(AND(MOD(E$56,$C$21)=0,E$56&lt;Rates!$D$71),B$34,0),0)</f>
        <v/>
      </c>
      <c r="F106" s="90">
        <f>IF(F$56&lt;=Rates!$D$71,B$33*8760*$C$18*$C$17*Connectivity!$C$13/Rates!$D$4*(1+$C$23)^MOD(F$56-1,$C$21)*F$65-('Compute-Revenue'!$B$23+$C$9*B$34+B$43+B$44+B$45)-IF(AND(MOD(F$56,$C$21)=0,F$56&lt;Rates!$D$71),B$34,0),0)</f>
        <v/>
      </c>
      <c r="G106" s="90">
        <f>IF(G$56&lt;=Rates!$D$71,B$33*8760*$C$18*$C$17*Connectivity!$C$13/Rates!$D$4*(1+$C$23)^MOD(G$56-1,$C$21)*G$65-('Compute-Revenue'!$B$23+$C$9*B$34+B$43+B$44+B$45)-IF(AND(MOD(G$56,$C$21)=0,G$56&lt;Rates!$D$71),B$34,0),0)</f>
        <v/>
      </c>
      <c r="H106" s="90">
        <f>IF(H$56&lt;=Rates!$D$71,B$33*8760*$C$18*$C$17*Connectivity!$C$13/Rates!$D$4*(1+$C$23)^MOD(H$56-1,$C$21)*H$65-('Compute-Revenue'!$B$23+$C$9*B$34+B$43+B$44+B$45)-IF(AND(MOD(H$56,$C$21)=0,H$56&lt;Rates!$D$71),B$34,0),0)</f>
        <v/>
      </c>
      <c r="I106" s="90">
        <f>IF(I$56&lt;=Rates!$D$71,B$33*8760*$C$18*$C$17*Connectivity!$C$13/Rates!$D$4*(1+$C$23)^MOD(I$56-1,$C$21)*I$65-('Compute-Revenue'!$B$23+$C$9*B$34+B$43+B$44+B$45)-IF(AND(MOD(I$56,$C$21)=0,I$56&lt;Rates!$D$71),B$34,0),0)</f>
        <v/>
      </c>
      <c r="J106" s="90">
        <f>IF(J$56&lt;=Rates!$D$71,B$33*8760*$C$18*$C$17*Connectivity!$C$13/Rates!$D$4*(1+$C$23)^MOD(J$56-1,$C$21)*J$65-('Compute-Revenue'!$B$23+$C$9*B$34+B$43+B$44+B$45)-IF(AND(MOD(J$56,$C$21)=0,J$56&lt;Rates!$D$71),B$34,0),0)</f>
        <v/>
      </c>
      <c r="K106" s="90">
        <f>IF(K$56&lt;=Rates!$D$71,B$33*8760*$C$18*$C$17*Connectivity!$C$13/Rates!$D$4*(1+$C$23)^MOD(K$56-1,$C$21)*K$65-('Compute-Revenue'!$B$23+$C$9*B$34+B$43+B$44+B$45)-IF(AND(MOD(K$56,$C$21)=0,K$56&lt;Rates!$D$71),B$34,0),0)</f>
        <v/>
      </c>
      <c r="L106" s="90">
        <f>IF(L$56&lt;=Rates!$D$71,B$33*8760*$C$18*$C$17*Connectivity!$C$13/Rates!$D$4*(1+$C$23)^MOD(L$56-1,$C$21)*L$65-('Compute-Revenue'!$B$23+$C$9*B$34+B$43+B$44+B$45)-IF(AND(MOD(L$56,$C$21)=0,L$56&lt;Rates!$D$71),B$34,0),0)</f>
        <v/>
      </c>
      <c r="M106" s="90">
        <f>IF(M$56&lt;=Rates!$D$71,B$33*8760*$C$18*$C$17*Connectivity!$C$13/Rates!$D$4*(1+$C$23)^MOD(M$56-1,$C$21)*M$65-('Compute-Revenue'!$B$23+$C$9*B$34+B$43+B$44+B$45)-IF(AND(MOD(M$56,$C$21)=0,M$56&lt;Rates!$D$71),B$34,0),0)</f>
        <v/>
      </c>
      <c r="N106" s="90">
        <f>IF(N$56&lt;=Rates!$D$71,B$33*8760*$C$18*$C$17*Connectivity!$C$13/Rates!$D$4*(1+$C$23)^MOD(N$56-1,$C$21)*N$65-('Compute-Revenue'!$B$23+$C$9*B$34+B$43+B$44+B$45)-IF(AND(MOD(N$56,$C$21)=0,N$56&lt;Rates!$D$71),B$34,0),0)</f>
        <v/>
      </c>
      <c r="O106" s="90">
        <f>IF(O$56&lt;=Rates!$D$71,B$33*8760*$C$18*$C$17*Connectivity!$C$13/Rates!$D$4*(1+$C$23)^MOD(O$56-1,$C$21)*O$65-('Compute-Revenue'!$B$23+$C$9*B$34+B$43+B$44+B$45)-IF(AND(MOD(O$56,$C$21)=0,O$56&lt;Rates!$D$71),B$34,0),0)</f>
        <v/>
      </c>
      <c r="P106" s="90">
        <f>IF(P$56&lt;=Rates!$D$71,B$33*8760*$C$18*$C$17*Connectivity!$C$13/Rates!$D$4*(1+$C$23)^MOD(P$56-1,$C$21)*P$65-('Compute-Revenue'!$B$23+$C$9*B$34+B$43+B$44+B$45)-IF(AND(MOD(P$56,$C$21)=0,P$56&lt;Rates!$D$71),B$34,0),0)</f>
        <v/>
      </c>
      <c r="Q106" s="90">
        <f>IF(Q$56&lt;=Rates!$D$71,B$33*8760*$C$18*$C$17*Connectivity!$C$13/Rates!$D$4*(1+$C$23)^MOD(Q$56-1,$C$21)*Q$65-('Compute-Revenue'!$B$23+$C$9*B$34+B$43+B$44+B$45)-IF(AND(MOD(Q$56,$C$21)=0,Q$56&lt;Rates!$D$71),B$34,0),0)</f>
        <v/>
      </c>
      <c r="R106" s="90">
        <f>IF(R$56&lt;=Rates!$D$71,B$33*8760*$C$18*$C$17*Connectivity!$C$13/Rates!$D$4*(1+$C$23)^MOD(R$56-1,$C$21)*R$65-('Compute-Revenue'!$B$23+$C$9*B$34+B$43+B$44+B$45)-IF(AND(MOD(R$56,$C$21)=0,R$56&lt;Rates!$D$71),B$34,0),0)</f>
        <v/>
      </c>
      <c r="S106" s="90">
        <f>IF(S$56&lt;=Rates!$D$71,B$33*8760*$C$18*$C$17*Connectivity!$C$13/Rates!$D$4*(1+$C$23)^MOD(S$56-1,$C$21)*S$65-('Compute-Revenue'!$B$23+$C$9*B$34+B$43+B$44+B$45)-IF(AND(MOD(S$56,$C$21)=0,S$56&lt;Rates!$D$71),B$34,0),0)</f>
        <v/>
      </c>
      <c r="T106" s="90">
        <f>IF(T$56&lt;=Rates!$D$71,B$33*8760*$C$18*$C$17*Connectivity!$C$13/Rates!$D$4*(1+$C$23)^MOD(T$56-1,$C$21)*T$65-('Compute-Revenue'!$B$23+$C$9*B$34+B$43+B$44+B$45)-IF(AND(MOD(T$56,$C$21)=0,T$56&lt;Rates!$D$71),B$34,0),0)</f>
        <v/>
      </c>
      <c r="U106" s="90">
        <f>IF(U$56&lt;=Rates!$D$71,B$33*8760*$C$18*$C$17*Connectivity!$C$13/Rates!$D$4*(1+$C$23)^MOD(U$56-1,$C$21)*U$65-('Compute-Revenue'!$B$23+$C$9*B$34+B$43+B$44+B$45)-IF(AND(MOD(U$56,$C$21)=0,U$56&lt;Rates!$D$71),B$34,0),0)</f>
        <v/>
      </c>
      <c r="V106" s="90">
        <f>IF(V$56&lt;=Rates!$D$71,B$33*8760*$C$18*$C$17*Connectivity!$C$13/Rates!$D$4*(1+$C$23)^MOD(V$56-1,$C$21)*V$65-('Compute-Revenue'!$B$23+$C$9*B$34+B$43+B$44+B$45)-IF(AND(MOD(V$56,$C$21)=0,V$56&lt;Rates!$D$71),B$34,0),0)</f>
        <v/>
      </c>
      <c r="W106" s="90">
        <f>IF(W$56&lt;=Rates!$D$71,B$33*8760*$C$18*$C$17*Connectivity!$C$13/Rates!$D$4*(1+$C$23)^MOD(W$56-1,$C$21)*W$65-('Compute-Revenue'!$B$23+$C$9*B$34+B$43+B$44+B$45)-IF(AND(MOD(W$56,$C$21)=0,W$56&lt;Rates!$D$71),B$34,0),0)</f>
        <v/>
      </c>
      <c r="X106" s="90">
        <f>IF(X$56&lt;=Rates!$D$71,B$33*8760*$C$18*$C$17*Connectivity!$C$13/Rates!$D$4*(1+$C$23)^MOD(X$56-1,$C$21)*X$65-('Compute-Revenue'!$B$23+$C$9*B$34+B$43+B$44+B$45)-IF(AND(MOD(X$56,$C$21)=0,X$56&lt;Rates!$D$71),B$34,0),0)</f>
        <v/>
      </c>
      <c r="Y106" s="90">
        <f>IF(Y$56&lt;=Rates!$D$71,B$33*8760*$C$18*$C$17*Connectivity!$C$13/Rates!$D$4*(1+$C$23)^MOD(Y$56-1,$C$21)*Y$65-('Compute-Revenue'!$B$23+$C$9*B$34+B$43+B$44+B$45)-IF(AND(MOD(Y$56,$C$21)=0,Y$56&lt;Rates!$D$71),B$34,0),0)</f>
        <v/>
      </c>
      <c r="Z106" s="90">
        <f>IF(Z$56&lt;=Rates!$D$71,B$33*8760*$C$18*$C$17*Connectivity!$C$13/Rates!$D$4*(1+$C$23)^MOD(Z$56-1,$C$21)*Z$65-('Compute-Revenue'!$B$23+$C$9*B$34+B$43+B$44+B$45)-IF(AND(MOD(Z$56,$C$21)=0,Z$56&lt;Rates!$D$71),B$34,0),0)</f>
        <v/>
      </c>
      <c r="AA106" s="90">
        <f>IF(AA$56&lt;=Rates!$D$71,B$33*8760*$C$18*$C$17*Connectivity!$C$13/Rates!$D$4*(1+$C$23)^MOD(AA$56-1,$C$21)*AA$65-('Compute-Revenue'!$B$23+$C$9*B$34+B$43+B$44+B$45)-IF(AND(MOD(AA$56,$C$21)=0,AA$56&lt;Rates!$D$71),B$34,0),0)</f>
        <v/>
      </c>
      <c r="AB106" s="90">
        <f>IF(AB$56&lt;=Rates!$D$71,B$33*8760*$C$18*$C$17*Connectivity!$C$13/Rates!$D$4*(1+$C$23)^MOD(AB$56-1,$C$21)*AB$65-('Compute-Revenue'!$B$23+$C$9*B$34+B$43+B$44+B$45)-IF(AND(MOD(AB$56,$C$21)=0,AB$56&lt;Rates!$D$71),B$34,0),0)</f>
        <v/>
      </c>
    </row>
    <row r="107">
      <c r="A107" s="68" t="inlineStr">
        <is>
          <t>helper: p_cw x u_base</t>
        </is>
      </c>
      <c r="C107" s="90">
        <f>-B$36</f>
        <v/>
      </c>
      <c r="D107" s="90">
        <f>IF(D$56&lt;=Rates!$D$71,B$33*8760*$C$19*$C$17*Connectivity!$C$13/Rates!$D$4*(1+$C$23)^MOD(D$56-1,$C$21)*D$65-('Compute-Revenue'!$B$23+$C$9*B$34+B$43+B$44+B$45)-IF(AND(MOD(D$56,$C$21)=0,D$56&lt;Rates!$D$71),B$34,0),0)</f>
        <v/>
      </c>
      <c r="E107" s="90">
        <f>IF(E$56&lt;=Rates!$D$71,B$33*8760*$C$19*$C$17*Connectivity!$C$13/Rates!$D$4*(1+$C$23)^MOD(E$56-1,$C$21)*E$65-('Compute-Revenue'!$B$23+$C$9*B$34+B$43+B$44+B$45)-IF(AND(MOD(E$56,$C$21)=0,E$56&lt;Rates!$D$71),B$34,0),0)</f>
        <v/>
      </c>
      <c r="F107" s="90">
        <f>IF(F$56&lt;=Rates!$D$71,B$33*8760*$C$19*$C$17*Connectivity!$C$13/Rates!$D$4*(1+$C$23)^MOD(F$56-1,$C$21)*F$65-('Compute-Revenue'!$B$23+$C$9*B$34+B$43+B$44+B$45)-IF(AND(MOD(F$56,$C$21)=0,F$56&lt;Rates!$D$71),B$34,0),0)</f>
        <v/>
      </c>
      <c r="G107" s="90">
        <f>IF(G$56&lt;=Rates!$D$71,B$33*8760*$C$19*$C$17*Connectivity!$C$13/Rates!$D$4*(1+$C$23)^MOD(G$56-1,$C$21)*G$65-('Compute-Revenue'!$B$23+$C$9*B$34+B$43+B$44+B$45)-IF(AND(MOD(G$56,$C$21)=0,G$56&lt;Rates!$D$71),B$34,0),0)</f>
        <v/>
      </c>
      <c r="H107" s="90">
        <f>IF(H$56&lt;=Rates!$D$71,B$33*8760*$C$19*$C$17*Connectivity!$C$13/Rates!$D$4*(1+$C$23)^MOD(H$56-1,$C$21)*H$65-('Compute-Revenue'!$B$23+$C$9*B$34+B$43+B$44+B$45)-IF(AND(MOD(H$56,$C$21)=0,H$56&lt;Rates!$D$71),B$34,0),0)</f>
        <v/>
      </c>
      <c r="I107" s="90">
        <f>IF(I$56&lt;=Rates!$D$71,B$33*8760*$C$19*$C$17*Connectivity!$C$13/Rates!$D$4*(1+$C$23)^MOD(I$56-1,$C$21)*I$65-('Compute-Revenue'!$B$23+$C$9*B$34+B$43+B$44+B$45)-IF(AND(MOD(I$56,$C$21)=0,I$56&lt;Rates!$D$71),B$34,0),0)</f>
        <v/>
      </c>
      <c r="J107" s="90">
        <f>IF(J$56&lt;=Rates!$D$71,B$33*8760*$C$19*$C$17*Connectivity!$C$13/Rates!$D$4*(1+$C$23)^MOD(J$56-1,$C$21)*J$65-('Compute-Revenue'!$B$23+$C$9*B$34+B$43+B$44+B$45)-IF(AND(MOD(J$56,$C$21)=0,J$56&lt;Rates!$D$71),B$34,0),0)</f>
        <v/>
      </c>
      <c r="K107" s="90">
        <f>IF(K$56&lt;=Rates!$D$71,B$33*8760*$C$19*$C$17*Connectivity!$C$13/Rates!$D$4*(1+$C$23)^MOD(K$56-1,$C$21)*K$65-('Compute-Revenue'!$B$23+$C$9*B$34+B$43+B$44+B$45)-IF(AND(MOD(K$56,$C$21)=0,K$56&lt;Rates!$D$71),B$34,0),0)</f>
        <v/>
      </c>
      <c r="L107" s="90">
        <f>IF(L$56&lt;=Rates!$D$71,B$33*8760*$C$19*$C$17*Connectivity!$C$13/Rates!$D$4*(1+$C$23)^MOD(L$56-1,$C$21)*L$65-('Compute-Revenue'!$B$23+$C$9*B$34+B$43+B$44+B$45)-IF(AND(MOD(L$56,$C$21)=0,L$56&lt;Rates!$D$71),B$34,0),0)</f>
        <v/>
      </c>
      <c r="M107" s="90">
        <f>IF(M$56&lt;=Rates!$D$71,B$33*8760*$C$19*$C$17*Connectivity!$C$13/Rates!$D$4*(1+$C$23)^MOD(M$56-1,$C$21)*M$65-('Compute-Revenue'!$B$23+$C$9*B$34+B$43+B$44+B$45)-IF(AND(MOD(M$56,$C$21)=0,M$56&lt;Rates!$D$71),B$34,0),0)</f>
        <v/>
      </c>
      <c r="N107" s="90">
        <f>IF(N$56&lt;=Rates!$D$71,B$33*8760*$C$19*$C$17*Connectivity!$C$13/Rates!$D$4*(1+$C$23)^MOD(N$56-1,$C$21)*N$65-('Compute-Revenue'!$B$23+$C$9*B$34+B$43+B$44+B$45)-IF(AND(MOD(N$56,$C$21)=0,N$56&lt;Rates!$D$71),B$34,0),0)</f>
        <v/>
      </c>
      <c r="O107" s="90">
        <f>IF(O$56&lt;=Rates!$D$71,B$33*8760*$C$19*$C$17*Connectivity!$C$13/Rates!$D$4*(1+$C$23)^MOD(O$56-1,$C$21)*O$65-('Compute-Revenue'!$B$23+$C$9*B$34+B$43+B$44+B$45)-IF(AND(MOD(O$56,$C$21)=0,O$56&lt;Rates!$D$71),B$34,0),0)</f>
        <v/>
      </c>
      <c r="P107" s="90">
        <f>IF(P$56&lt;=Rates!$D$71,B$33*8760*$C$19*$C$17*Connectivity!$C$13/Rates!$D$4*(1+$C$23)^MOD(P$56-1,$C$21)*P$65-('Compute-Revenue'!$B$23+$C$9*B$34+B$43+B$44+B$45)-IF(AND(MOD(P$56,$C$21)=0,P$56&lt;Rates!$D$71),B$34,0),0)</f>
        <v/>
      </c>
      <c r="Q107" s="90">
        <f>IF(Q$56&lt;=Rates!$D$71,B$33*8760*$C$19*$C$17*Connectivity!$C$13/Rates!$D$4*(1+$C$23)^MOD(Q$56-1,$C$21)*Q$65-('Compute-Revenue'!$B$23+$C$9*B$34+B$43+B$44+B$45)-IF(AND(MOD(Q$56,$C$21)=0,Q$56&lt;Rates!$D$71),B$34,0),0)</f>
        <v/>
      </c>
      <c r="R107" s="90">
        <f>IF(R$56&lt;=Rates!$D$71,B$33*8760*$C$19*$C$17*Connectivity!$C$13/Rates!$D$4*(1+$C$23)^MOD(R$56-1,$C$21)*R$65-('Compute-Revenue'!$B$23+$C$9*B$34+B$43+B$44+B$45)-IF(AND(MOD(R$56,$C$21)=0,R$56&lt;Rates!$D$71),B$34,0),0)</f>
        <v/>
      </c>
      <c r="S107" s="90">
        <f>IF(S$56&lt;=Rates!$D$71,B$33*8760*$C$19*$C$17*Connectivity!$C$13/Rates!$D$4*(1+$C$23)^MOD(S$56-1,$C$21)*S$65-('Compute-Revenue'!$B$23+$C$9*B$34+B$43+B$44+B$45)-IF(AND(MOD(S$56,$C$21)=0,S$56&lt;Rates!$D$71),B$34,0),0)</f>
        <v/>
      </c>
      <c r="T107" s="90">
        <f>IF(T$56&lt;=Rates!$D$71,B$33*8760*$C$19*$C$17*Connectivity!$C$13/Rates!$D$4*(1+$C$23)^MOD(T$56-1,$C$21)*T$65-('Compute-Revenue'!$B$23+$C$9*B$34+B$43+B$44+B$45)-IF(AND(MOD(T$56,$C$21)=0,T$56&lt;Rates!$D$71),B$34,0),0)</f>
        <v/>
      </c>
      <c r="U107" s="90">
        <f>IF(U$56&lt;=Rates!$D$71,B$33*8760*$C$19*$C$17*Connectivity!$C$13/Rates!$D$4*(1+$C$23)^MOD(U$56-1,$C$21)*U$65-('Compute-Revenue'!$B$23+$C$9*B$34+B$43+B$44+B$45)-IF(AND(MOD(U$56,$C$21)=0,U$56&lt;Rates!$D$71),B$34,0),0)</f>
        <v/>
      </c>
      <c r="V107" s="90">
        <f>IF(V$56&lt;=Rates!$D$71,B$33*8760*$C$19*$C$17*Connectivity!$C$13/Rates!$D$4*(1+$C$23)^MOD(V$56-1,$C$21)*V$65-('Compute-Revenue'!$B$23+$C$9*B$34+B$43+B$44+B$45)-IF(AND(MOD(V$56,$C$21)=0,V$56&lt;Rates!$D$71),B$34,0),0)</f>
        <v/>
      </c>
      <c r="W107" s="90">
        <f>IF(W$56&lt;=Rates!$D$71,B$33*8760*$C$19*$C$17*Connectivity!$C$13/Rates!$D$4*(1+$C$23)^MOD(W$56-1,$C$21)*W$65-('Compute-Revenue'!$B$23+$C$9*B$34+B$43+B$44+B$45)-IF(AND(MOD(W$56,$C$21)=0,W$56&lt;Rates!$D$71),B$34,0),0)</f>
        <v/>
      </c>
      <c r="X107" s="90">
        <f>IF(X$56&lt;=Rates!$D$71,B$33*8760*$C$19*$C$17*Connectivity!$C$13/Rates!$D$4*(1+$C$23)^MOD(X$56-1,$C$21)*X$65-('Compute-Revenue'!$B$23+$C$9*B$34+B$43+B$44+B$45)-IF(AND(MOD(X$56,$C$21)=0,X$56&lt;Rates!$D$71),B$34,0),0)</f>
        <v/>
      </c>
      <c r="Y107" s="90">
        <f>IF(Y$56&lt;=Rates!$D$71,B$33*8760*$C$19*$C$17*Connectivity!$C$13/Rates!$D$4*(1+$C$23)^MOD(Y$56-1,$C$21)*Y$65-('Compute-Revenue'!$B$23+$C$9*B$34+B$43+B$44+B$45)-IF(AND(MOD(Y$56,$C$21)=0,Y$56&lt;Rates!$D$71),B$34,0),0)</f>
        <v/>
      </c>
      <c r="Z107" s="90">
        <f>IF(Z$56&lt;=Rates!$D$71,B$33*8760*$C$19*$C$17*Connectivity!$C$13/Rates!$D$4*(1+$C$23)^MOD(Z$56-1,$C$21)*Z$65-('Compute-Revenue'!$B$23+$C$9*B$34+B$43+B$44+B$45)-IF(AND(MOD(Z$56,$C$21)=0,Z$56&lt;Rates!$D$71),B$34,0),0)</f>
        <v/>
      </c>
      <c r="AA107" s="90">
        <f>IF(AA$56&lt;=Rates!$D$71,B$33*8760*$C$19*$C$17*Connectivity!$C$13/Rates!$D$4*(1+$C$23)^MOD(AA$56-1,$C$21)*AA$65-('Compute-Revenue'!$B$23+$C$9*B$34+B$43+B$44+B$45)-IF(AND(MOD(AA$56,$C$21)=0,AA$56&lt;Rates!$D$71),B$34,0),0)</f>
        <v/>
      </c>
      <c r="AB107" s="90">
        <f>IF(AB$56&lt;=Rates!$D$71,B$33*8760*$C$19*$C$17*Connectivity!$C$13/Rates!$D$4*(1+$C$23)^MOD(AB$56-1,$C$21)*AB$65-('Compute-Revenue'!$B$23+$C$9*B$34+B$43+B$44+B$45)-IF(AND(MOD(AB$56,$C$21)=0,AB$56&lt;Rates!$D$71),B$34,0),0)</f>
        <v/>
      </c>
    </row>
    <row r="108">
      <c r="A108" s="68" t="inlineStr">
        <is>
          <t>helper: p_cw x u_high</t>
        </is>
      </c>
      <c r="C108" s="90">
        <f>-B$36</f>
        <v/>
      </c>
      <c r="D108" s="90">
        <f>IF(D$56&lt;=Rates!$D$71,B$33*8760*$C$20*$C$17*Connectivity!$C$13/Rates!$D$4*(1+$C$23)^MOD(D$56-1,$C$21)*D$65-('Compute-Revenue'!$B$23+$C$9*B$34+B$43+B$44+B$45)-IF(AND(MOD(D$56,$C$21)=0,D$56&lt;Rates!$D$71),B$34,0),0)</f>
        <v/>
      </c>
      <c r="E108" s="90">
        <f>IF(E$56&lt;=Rates!$D$71,B$33*8760*$C$20*$C$17*Connectivity!$C$13/Rates!$D$4*(1+$C$23)^MOD(E$56-1,$C$21)*E$65-('Compute-Revenue'!$B$23+$C$9*B$34+B$43+B$44+B$45)-IF(AND(MOD(E$56,$C$21)=0,E$56&lt;Rates!$D$71),B$34,0),0)</f>
        <v/>
      </c>
      <c r="F108" s="90">
        <f>IF(F$56&lt;=Rates!$D$71,B$33*8760*$C$20*$C$17*Connectivity!$C$13/Rates!$D$4*(1+$C$23)^MOD(F$56-1,$C$21)*F$65-('Compute-Revenue'!$B$23+$C$9*B$34+B$43+B$44+B$45)-IF(AND(MOD(F$56,$C$21)=0,F$56&lt;Rates!$D$71),B$34,0),0)</f>
        <v/>
      </c>
      <c r="G108" s="90">
        <f>IF(G$56&lt;=Rates!$D$71,B$33*8760*$C$20*$C$17*Connectivity!$C$13/Rates!$D$4*(1+$C$23)^MOD(G$56-1,$C$21)*G$65-('Compute-Revenue'!$B$23+$C$9*B$34+B$43+B$44+B$45)-IF(AND(MOD(G$56,$C$21)=0,G$56&lt;Rates!$D$71),B$34,0),0)</f>
        <v/>
      </c>
      <c r="H108" s="90">
        <f>IF(H$56&lt;=Rates!$D$71,B$33*8760*$C$20*$C$17*Connectivity!$C$13/Rates!$D$4*(1+$C$23)^MOD(H$56-1,$C$21)*H$65-('Compute-Revenue'!$B$23+$C$9*B$34+B$43+B$44+B$45)-IF(AND(MOD(H$56,$C$21)=0,H$56&lt;Rates!$D$71),B$34,0),0)</f>
        <v/>
      </c>
      <c r="I108" s="90">
        <f>IF(I$56&lt;=Rates!$D$71,B$33*8760*$C$20*$C$17*Connectivity!$C$13/Rates!$D$4*(1+$C$23)^MOD(I$56-1,$C$21)*I$65-('Compute-Revenue'!$B$23+$C$9*B$34+B$43+B$44+B$45)-IF(AND(MOD(I$56,$C$21)=0,I$56&lt;Rates!$D$71),B$34,0),0)</f>
        <v/>
      </c>
      <c r="J108" s="90">
        <f>IF(J$56&lt;=Rates!$D$71,B$33*8760*$C$20*$C$17*Connectivity!$C$13/Rates!$D$4*(1+$C$23)^MOD(J$56-1,$C$21)*J$65-('Compute-Revenue'!$B$23+$C$9*B$34+B$43+B$44+B$45)-IF(AND(MOD(J$56,$C$21)=0,J$56&lt;Rates!$D$71),B$34,0),0)</f>
        <v/>
      </c>
      <c r="K108" s="90">
        <f>IF(K$56&lt;=Rates!$D$71,B$33*8760*$C$20*$C$17*Connectivity!$C$13/Rates!$D$4*(1+$C$23)^MOD(K$56-1,$C$21)*K$65-('Compute-Revenue'!$B$23+$C$9*B$34+B$43+B$44+B$45)-IF(AND(MOD(K$56,$C$21)=0,K$56&lt;Rates!$D$71),B$34,0),0)</f>
        <v/>
      </c>
      <c r="L108" s="90">
        <f>IF(L$56&lt;=Rates!$D$71,B$33*8760*$C$20*$C$17*Connectivity!$C$13/Rates!$D$4*(1+$C$23)^MOD(L$56-1,$C$21)*L$65-('Compute-Revenue'!$B$23+$C$9*B$34+B$43+B$44+B$45)-IF(AND(MOD(L$56,$C$21)=0,L$56&lt;Rates!$D$71),B$34,0),0)</f>
        <v/>
      </c>
      <c r="M108" s="90">
        <f>IF(M$56&lt;=Rates!$D$71,B$33*8760*$C$20*$C$17*Connectivity!$C$13/Rates!$D$4*(1+$C$23)^MOD(M$56-1,$C$21)*M$65-('Compute-Revenue'!$B$23+$C$9*B$34+B$43+B$44+B$45)-IF(AND(MOD(M$56,$C$21)=0,M$56&lt;Rates!$D$71),B$34,0),0)</f>
        <v/>
      </c>
      <c r="N108" s="90">
        <f>IF(N$56&lt;=Rates!$D$71,B$33*8760*$C$20*$C$17*Connectivity!$C$13/Rates!$D$4*(1+$C$23)^MOD(N$56-1,$C$21)*N$65-('Compute-Revenue'!$B$23+$C$9*B$34+B$43+B$44+B$45)-IF(AND(MOD(N$56,$C$21)=0,N$56&lt;Rates!$D$71),B$34,0),0)</f>
        <v/>
      </c>
      <c r="O108" s="90">
        <f>IF(O$56&lt;=Rates!$D$71,B$33*8760*$C$20*$C$17*Connectivity!$C$13/Rates!$D$4*(1+$C$23)^MOD(O$56-1,$C$21)*O$65-('Compute-Revenue'!$B$23+$C$9*B$34+B$43+B$44+B$45)-IF(AND(MOD(O$56,$C$21)=0,O$56&lt;Rates!$D$71),B$34,0),0)</f>
        <v/>
      </c>
      <c r="P108" s="90">
        <f>IF(P$56&lt;=Rates!$D$71,B$33*8760*$C$20*$C$17*Connectivity!$C$13/Rates!$D$4*(1+$C$23)^MOD(P$56-1,$C$21)*P$65-('Compute-Revenue'!$B$23+$C$9*B$34+B$43+B$44+B$45)-IF(AND(MOD(P$56,$C$21)=0,P$56&lt;Rates!$D$71),B$34,0),0)</f>
        <v/>
      </c>
      <c r="Q108" s="90">
        <f>IF(Q$56&lt;=Rates!$D$71,B$33*8760*$C$20*$C$17*Connectivity!$C$13/Rates!$D$4*(1+$C$23)^MOD(Q$56-1,$C$21)*Q$65-('Compute-Revenue'!$B$23+$C$9*B$34+B$43+B$44+B$45)-IF(AND(MOD(Q$56,$C$21)=0,Q$56&lt;Rates!$D$71),B$34,0),0)</f>
        <v/>
      </c>
      <c r="R108" s="90">
        <f>IF(R$56&lt;=Rates!$D$71,B$33*8760*$C$20*$C$17*Connectivity!$C$13/Rates!$D$4*(1+$C$23)^MOD(R$56-1,$C$21)*R$65-('Compute-Revenue'!$B$23+$C$9*B$34+B$43+B$44+B$45)-IF(AND(MOD(R$56,$C$21)=0,R$56&lt;Rates!$D$71),B$34,0),0)</f>
        <v/>
      </c>
      <c r="S108" s="90">
        <f>IF(S$56&lt;=Rates!$D$71,B$33*8760*$C$20*$C$17*Connectivity!$C$13/Rates!$D$4*(1+$C$23)^MOD(S$56-1,$C$21)*S$65-('Compute-Revenue'!$B$23+$C$9*B$34+B$43+B$44+B$45)-IF(AND(MOD(S$56,$C$21)=0,S$56&lt;Rates!$D$71),B$34,0),0)</f>
        <v/>
      </c>
      <c r="T108" s="90">
        <f>IF(T$56&lt;=Rates!$D$71,B$33*8760*$C$20*$C$17*Connectivity!$C$13/Rates!$D$4*(1+$C$23)^MOD(T$56-1,$C$21)*T$65-('Compute-Revenue'!$B$23+$C$9*B$34+B$43+B$44+B$45)-IF(AND(MOD(T$56,$C$21)=0,T$56&lt;Rates!$D$71),B$34,0),0)</f>
        <v/>
      </c>
      <c r="U108" s="90">
        <f>IF(U$56&lt;=Rates!$D$71,B$33*8760*$C$20*$C$17*Connectivity!$C$13/Rates!$D$4*(1+$C$23)^MOD(U$56-1,$C$21)*U$65-('Compute-Revenue'!$B$23+$C$9*B$34+B$43+B$44+B$45)-IF(AND(MOD(U$56,$C$21)=0,U$56&lt;Rates!$D$71),B$34,0),0)</f>
        <v/>
      </c>
      <c r="V108" s="90">
        <f>IF(V$56&lt;=Rates!$D$71,B$33*8760*$C$20*$C$17*Connectivity!$C$13/Rates!$D$4*(1+$C$23)^MOD(V$56-1,$C$21)*V$65-('Compute-Revenue'!$B$23+$C$9*B$34+B$43+B$44+B$45)-IF(AND(MOD(V$56,$C$21)=0,V$56&lt;Rates!$D$71),B$34,0),0)</f>
        <v/>
      </c>
      <c r="W108" s="90">
        <f>IF(W$56&lt;=Rates!$D$71,B$33*8760*$C$20*$C$17*Connectivity!$C$13/Rates!$D$4*(1+$C$23)^MOD(W$56-1,$C$21)*W$65-('Compute-Revenue'!$B$23+$C$9*B$34+B$43+B$44+B$45)-IF(AND(MOD(W$56,$C$21)=0,W$56&lt;Rates!$D$71),B$34,0),0)</f>
        <v/>
      </c>
      <c r="X108" s="90">
        <f>IF(X$56&lt;=Rates!$D$71,B$33*8760*$C$20*$C$17*Connectivity!$C$13/Rates!$D$4*(1+$C$23)^MOD(X$56-1,$C$21)*X$65-('Compute-Revenue'!$B$23+$C$9*B$34+B$43+B$44+B$45)-IF(AND(MOD(X$56,$C$21)=0,X$56&lt;Rates!$D$71),B$34,0),0)</f>
        <v/>
      </c>
      <c r="Y108" s="90">
        <f>IF(Y$56&lt;=Rates!$D$71,B$33*8760*$C$20*$C$17*Connectivity!$C$13/Rates!$D$4*(1+$C$23)^MOD(Y$56-1,$C$21)*Y$65-('Compute-Revenue'!$B$23+$C$9*B$34+B$43+B$44+B$45)-IF(AND(MOD(Y$56,$C$21)=0,Y$56&lt;Rates!$D$71),B$34,0),0)</f>
        <v/>
      </c>
      <c r="Z108" s="90">
        <f>IF(Z$56&lt;=Rates!$D$71,B$33*8760*$C$20*$C$17*Connectivity!$C$13/Rates!$D$4*(1+$C$23)^MOD(Z$56-1,$C$21)*Z$65-('Compute-Revenue'!$B$23+$C$9*B$34+B$43+B$44+B$45)-IF(AND(MOD(Z$56,$C$21)=0,Z$56&lt;Rates!$D$71),B$34,0),0)</f>
        <v/>
      </c>
      <c r="AA108" s="90">
        <f>IF(AA$56&lt;=Rates!$D$71,B$33*8760*$C$20*$C$17*Connectivity!$C$13/Rates!$D$4*(1+$C$23)^MOD(AA$56-1,$C$21)*AA$65-('Compute-Revenue'!$B$23+$C$9*B$34+B$43+B$44+B$45)-IF(AND(MOD(AA$56,$C$21)=0,AA$56&lt;Rates!$D$71),B$34,0),0)</f>
        <v/>
      </c>
      <c r="AB108" s="90">
        <f>IF(AB$56&lt;=Rates!$D$71,B$33*8760*$C$20*$C$17*Connectivity!$C$13/Rates!$D$4*(1+$C$23)^MOD(AB$56-1,$C$21)*AB$65-('Compute-Revenue'!$B$23+$C$9*B$34+B$43+B$44+B$45)-IF(AND(MOD(AB$56,$C$21)=0,AB$56&lt;Rates!$D$71),B$34,0),0)</f>
        <v/>
      </c>
    </row>
    <row r="109"/>
    <row r="110"/>
    <row r="111">
      <c r="A111" s="136" t="inlineStr">
        <is>
          <t>PER FUNDING TIER (AU, base price and utilisation). Total capital = tier funding committed + GPU capex for the whole modules built.</t>
        </is>
      </c>
      <c r="B111" s="137" t="n"/>
      <c r="C111" s="137" t="n"/>
      <c r="D111" s="137" t="n"/>
      <c r="E111" s="137" t="n"/>
      <c r="F111" s="137" t="n"/>
    </row>
    <row r="112">
      <c r="A112" s="89" t="inlineStr">
        <is>
          <t>Funding A$</t>
        </is>
      </c>
      <c r="B112" s="89" t="inlineStr">
        <is>
          <t>IT MW</t>
        </is>
      </c>
      <c r="C112" s="89" t="inlineStr">
        <is>
          <t>GPUs</t>
        </is>
      </c>
      <c r="D112" s="89" t="inlineStr">
        <is>
          <t>GPU capex A$</t>
        </is>
      </c>
      <c r="E112" s="89" t="inlineStr">
        <is>
          <t>Total capital A$</t>
        </is>
      </c>
      <c r="F112" s="89" t="inlineStr">
        <is>
          <t>Revenue yr 1 A$</t>
        </is>
      </c>
      <c r="G112" s="89" t="inlineStr">
        <is>
          <t>EBITDA yr 1 A$</t>
        </is>
      </c>
      <c r="H112" s="89" t="inlineStr">
        <is>
          <t>EBITDA yr1 / capital</t>
        </is>
      </c>
      <c r="I112" s="89" t="inlineStr">
        <is>
          <t>IRR, decay</t>
        </is>
      </c>
      <c r="J112" s="89" t="inlineStr">
        <is>
          <t>IRR, flat</t>
        </is>
      </c>
      <c r="K112" s="89" t="inlineStr">
        <is>
          <t>Colo contribution / committed</t>
        </is>
      </c>
    </row>
    <row r="113">
      <c r="A113" s="90">
        <f>'Funding-Tiers'!$A$32</f>
        <v/>
      </c>
      <c r="B113" s="123">
        <f>'Funding-Tiers'!$AT$32</f>
        <v/>
      </c>
      <c r="C113" s="90">
        <f>ROUNDDOWN(B113*1000/$C$6,0)*$C$7</f>
        <v/>
      </c>
      <c r="D113" s="90">
        <f>C113/$C$7*$C$5*(1+$C$8)/Rates!$D$4</f>
        <v/>
      </c>
      <c r="E113" s="90">
        <f>IF(B113&gt;0,'Funding-Tiers'!$BH$32+D113+Connectivity!$C$5,0)</f>
        <v/>
      </c>
      <c r="F113" s="90">
        <f>C113*8760*$C$19*$C$15*Connectivity!$C$13/Rates!$D$4</f>
        <v/>
      </c>
      <c r="G113" s="90">
        <f>IF(B113&gt;0,F113-('Funding-Tiers'!$BK$32+Connectivity!$C$6+$C$9*D113+IF(C113&gt;0,MAX($C$11,C113/512*$C$11)*$C$10/Rates!$D$4,0)),0)</f>
        <v/>
      </c>
      <c r="H113" s="91">
        <f>IF(E113&gt;0,G113/E113,"n/a")</f>
        <v/>
      </c>
      <c r="I113" s="91">
        <f>IF(B113&gt;0,IFERROR(IRR(C124:AB124),IF(SUM(C124:AB124)&lt;0,"never repays","no IRR")),"n/a")</f>
        <v/>
      </c>
      <c r="J113" s="91">
        <f>IF(B113&gt;0,IFERROR(IRR(C125:AB125),IF(SUM(C125:AB125)&lt;0,"never repays","no IRR")),"n/a")</f>
        <v/>
      </c>
      <c r="K113" s="91">
        <f>'Funding-Tiers'!$BM$32</f>
        <v/>
      </c>
    </row>
    <row r="114">
      <c r="A114" s="90">
        <f>'Funding-Tiers'!$A$33</f>
        <v/>
      </c>
      <c r="B114" s="123">
        <f>'Funding-Tiers'!$AT$33</f>
        <v/>
      </c>
      <c r="C114" s="90">
        <f>ROUNDDOWN(B114*1000/$C$6,0)*$C$7</f>
        <v/>
      </c>
      <c r="D114" s="90">
        <f>C114/$C$7*$C$5*(1+$C$8)/Rates!$D$4</f>
        <v/>
      </c>
      <c r="E114" s="90">
        <f>IF(B114&gt;0,'Funding-Tiers'!$BH$33+D114+Connectivity!$C$5,0)</f>
        <v/>
      </c>
      <c r="F114" s="90">
        <f>C114*8760*$C$19*$C$15*Connectivity!$C$13/Rates!$D$4</f>
        <v/>
      </c>
      <c r="G114" s="90">
        <f>IF(B114&gt;0,F114-('Funding-Tiers'!$BK$33+Connectivity!$C$6+$C$9*D114+IF(C114&gt;0,MAX($C$11,C114/512*$C$11)*$C$10/Rates!$D$4,0)),0)</f>
        <v/>
      </c>
      <c r="H114" s="91">
        <f>IF(E114&gt;0,G114/E114,"n/a")</f>
        <v/>
      </c>
      <c r="I114" s="91">
        <f>IF(B114&gt;0,IFERROR(IRR(C126:AB126),IF(SUM(C126:AB126)&lt;0,"never repays","no IRR")),"n/a")</f>
        <v/>
      </c>
      <c r="J114" s="91">
        <f>IF(B114&gt;0,IFERROR(IRR(C127:AB127),IF(SUM(C127:AB127)&lt;0,"never repays","no IRR")),"n/a")</f>
        <v/>
      </c>
      <c r="K114" s="91">
        <f>'Funding-Tiers'!$BM$33</f>
        <v/>
      </c>
    </row>
    <row r="115">
      <c r="A115" s="90">
        <f>'Funding-Tiers'!$A$34</f>
        <v/>
      </c>
      <c r="B115" s="123">
        <f>'Funding-Tiers'!$AT$34</f>
        <v/>
      </c>
      <c r="C115" s="90">
        <f>ROUNDDOWN(B115*1000/$C$6,0)*$C$7</f>
        <v/>
      </c>
      <c r="D115" s="90">
        <f>C115/$C$7*$C$5*(1+$C$8)/Rates!$D$4</f>
        <v/>
      </c>
      <c r="E115" s="90">
        <f>IF(B115&gt;0,'Funding-Tiers'!$BH$34+D115+Connectivity!$C$5,0)</f>
        <v/>
      </c>
      <c r="F115" s="90">
        <f>C115*8760*$C$19*$C$15*Connectivity!$C$13/Rates!$D$4</f>
        <v/>
      </c>
      <c r="G115" s="90">
        <f>IF(B115&gt;0,F115-('Funding-Tiers'!$BK$34+Connectivity!$C$6+$C$9*D115+IF(C115&gt;0,MAX($C$11,C115/512*$C$11)*$C$10/Rates!$D$4,0)),0)</f>
        <v/>
      </c>
      <c r="H115" s="91">
        <f>IF(E115&gt;0,G115/E115,"n/a")</f>
        <v/>
      </c>
      <c r="I115" s="91">
        <f>IF(B115&gt;0,IFERROR(IRR(C128:AB128),IF(SUM(C128:AB128)&lt;0,"never repays","no IRR")),"n/a")</f>
        <v/>
      </c>
      <c r="J115" s="91">
        <f>IF(B115&gt;0,IFERROR(IRR(C129:AB129),IF(SUM(C129:AB129)&lt;0,"never repays","no IRR")),"n/a")</f>
        <v/>
      </c>
      <c r="K115" s="91">
        <f>'Funding-Tiers'!$BM$34</f>
        <v/>
      </c>
    </row>
    <row r="116">
      <c r="A116" s="90">
        <f>'Funding-Tiers'!$A$35</f>
        <v/>
      </c>
      <c r="B116" s="123">
        <f>'Funding-Tiers'!$AT$35</f>
        <v/>
      </c>
      <c r="C116" s="90">
        <f>ROUNDDOWN(B116*1000/$C$6,0)*$C$7</f>
        <v/>
      </c>
      <c r="D116" s="90">
        <f>C116/$C$7*$C$5*(1+$C$8)/Rates!$D$4</f>
        <v/>
      </c>
      <c r="E116" s="90">
        <f>IF(B116&gt;0,'Funding-Tiers'!$BH$35+D116+Connectivity!$C$5,0)</f>
        <v/>
      </c>
      <c r="F116" s="90">
        <f>C116*8760*$C$19*$C$15*Connectivity!$C$13/Rates!$D$4</f>
        <v/>
      </c>
      <c r="G116" s="90">
        <f>IF(B116&gt;0,F116-('Funding-Tiers'!$BK$35+Connectivity!$C$6+$C$9*D116+IF(C116&gt;0,MAX($C$11,C116/512*$C$11)*$C$10/Rates!$D$4,0)),0)</f>
        <v/>
      </c>
      <c r="H116" s="91">
        <f>IF(E116&gt;0,G116/E116,"n/a")</f>
        <v/>
      </c>
      <c r="I116" s="91">
        <f>IF(B116&gt;0,IFERROR(IRR(C130:AB130),IF(SUM(C130:AB130)&lt;0,"never repays","no IRR")),"n/a")</f>
        <v/>
      </c>
      <c r="J116" s="91">
        <f>IF(B116&gt;0,IFERROR(IRR(C131:AB131),IF(SUM(C131:AB131)&lt;0,"never repays","no IRR")),"n/a")</f>
        <v/>
      </c>
      <c r="K116" s="91">
        <f>'Funding-Tiers'!$BM$35</f>
        <v/>
      </c>
    </row>
    <row r="117">
      <c r="A117" s="90">
        <f>'Funding-Tiers'!$A$36</f>
        <v/>
      </c>
      <c r="B117" s="123">
        <f>'Funding-Tiers'!$AT$36</f>
        <v/>
      </c>
      <c r="C117" s="90">
        <f>ROUNDDOWN(B117*1000/$C$6,0)*$C$7</f>
        <v/>
      </c>
      <c r="D117" s="90">
        <f>C117/$C$7*$C$5*(1+$C$8)/Rates!$D$4</f>
        <v/>
      </c>
      <c r="E117" s="90">
        <f>IF(B117&gt;0,'Funding-Tiers'!$BH$36+D117+Connectivity!$C$5,0)</f>
        <v/>
      </c>
      <c r="F117" s="90">
        <f>C117*8760*$C$19*$C$15*Connectivity!$C$13/Rates!$D$4</f>
        <v/>
      </c>
      <c r="G117" s="90">
        <f>IF(B117&gt;0,F117-('Funding-Tiers'!$BK$36+Connectivity!$C$6+$C$9*D117+IF(C117&gt;0,MAX($C$11,C117/512*$C$11)*$C$10/Rates!$D$4,0)),0)</f>
        <v/>
      </c>
      <c r="H117" s="91">
        <f>IF(E117&gt;0,G117/E117,"n/a")</f>
        <v/>
      </c>
      <c r="I117" s="91">
        <f>IF(B117&gt;0,IFERROR(IRR(C132:AB132),IF(SUM(C132:AB132)&lt;0,"never repays","no IRR")),"n/a")</f>
        <v/>
      </c>
      <c r="J117" s="91">
        <f>IF(B117&gt;0,IFERROR(IRR(C133:AB133),IF(SUM(C133:AB133)&lt;0,"never repays","no IRR")),"n/a")</f>
        <v/>
      </c>
      <c r="K117" s="91">
        <f>'Funding-Tiers'!$BM$36</f>
        <v/>
      </c>
    </row>
    <row r="118">
      <c r="A118" s="90">
        <f>'Funding-Tiers'!$A$37</f>
        <v/>
      </c>
      <c r="B118" s="123">
        <f>'Funding-Tiers'!$AT$37</f>
        <v/>
      </c>
      <c r="C118" s="90">
        <f>ROUNDDOWN(B118*1000/$C$6,0)*$C$7</f>
        <v/>
      </c>
      <c r="D118" s="90">
        <f>C118/$C$7*$C$5*(1+$C$8)/Rates!$D$4</f>
        <v/>
      </c>
      <c r="E118" s="90">
        <f>IF(B118&gt;0,'Funding-Tiers'!$BH$37+D118+Connectivity!$C$5,0)</f>
        <v/>
      </c>
      <c r="F118" s="90">
        <f>C118*8760*$C$19*$C$15*Connectivity!$C$13/Rates!$D$4</f>
        <v/>
      </c>
      <c r="G118" s="90">
        <f>IF(B118&gt;0,F118-('Funding-Tiers'!$BK$37+Connectivity!$C$6+$C$9*D118+IF(C118&gt;0,MAX($C$11,C118/512*$C$11)*$C$10/Rates!$D$4,0)),0)</f>
        <v/>
      </c>
      <c r="H118" s="91">
        <f>IF(E118&gt;0,G118/E118,"n/a")</f>
        <v/>
      </c>
      <c r="I118" s="91">
        <f>IF(B118&gt;0,IFERROR(IRR(C134:AB134),IF(SUM(C134:AB134)&lt;0,"never repays","no IRR")),"n/a")</f>
        <v/>
      </c>
      <c r="J118" s="91">
        <f>IF(B118&gt;0,IFERROR(IRR(C135:AB135),IF(SUM(C135:AB135)&lt;0,"never repays","no IRR")),"n/a")</f>
        <v/>
      </c>
      <c r="K118" s="91">
        <f>'Funding-Tiers'!$BM$37</f>
        <v/>
      </c>
    </row>
    <row r="119">
      <c r="A119" s="90">
        <f>'Funding-Tiers'!$A$38</f>
        <v/>
      </c>
      <c r="B119" s="123">
        <f>'Funding-Tiers'!$AT$38</f>
        <v/>
      </c>
      <c r="C119" s="90">
        <f>ROUNDDOWN(B119*1000/$C$6,0)*$C$7</f>
        <v/>
      </c>
      <c r="D119" s="90">
        <f>C119/$C$7*$C$5*(1+$C$8)/Rates!$D$4</f>
        <v/>
      </c>
      <c r="E119" s="90">
        <f>IF(B119&gt;0,'Funding-Tiers'!$BH$38+D119+Connectivity!$C$5,0)</f>
        <v/>
      </c>
      <c r="F119" s="90">
        <f>C119*8760*$C$19*$C$15*Connectivity!$C$13/Rates!$D$4</f>
        <v/>
      </c>
      <c r="G119" s="90">
        <f>IF(B119&gt;0,F119-('Funding-Tiers'!$BK$38+Connectivity!$C$6+$C$9*D119+IF(C119&gt;0,MAX($C$11,C119/512*$C$11)*$C$10/Rates!$D$4,0)),0)</f>
        <v/>
      </c>
      <c r="H119" s="91">
        <f>IF(E119&gt;0,G119/E119,"n/a")</f>
        <v/>
      </c>
      <c r="I119" s="91">
        <f>IF(B119&gt;0,IFERROR(IRR(C136:AB136),IF(SUM(C136:AB136)&lt;0,"never repays","no IRR")),"n/a")</f>
        <v/>
      </c>
      <c r="J119" s="91">
        <f>IF(B119&gt;0,IFERROR(IRR(C137:AB137),IF(SUM(C137:AB137)&lt;0,"never repays","no IRR")),"n/a")</f>
        <v/>
      </c>
      <c r="K119" s="91">
        <f>'Funding-Tiers'!$BM$38</f>
        <v/>
      </c>
    </row>
    <row r="120">
      <c r="A120" s="90">
        <f>'Funding-Tiers'!$A$39</f>
        <v/>
      </c>
      <c r="B120" s="123">
        <f>'Funding-Tiers'!$AT$39</f>
        <v/>
      </c>
      <c r="C120" s="90">
        <f>ROUNDDOWN(B120*1000/$C$6,0)*$C$7</f>
        <v/>
      </c>
      <c r="D120" s="90">
        <f>C120/$C$7*$C$5*(1+$C$8)/Rates!$D$4</f>
        <v/>
      </c>
      <c r="E120" s="90">
        <f>IF(B120&gt;0,'Funding-Tiers'!$BH$39+D120+Connectivity!$C$5,0)</f>
        <v/>
      </c>
      <c r="F120" s="90">
        <f>C120*8760*$C$19*$C$15*Connectivity!$C$13/Rates!$D$4</f>
        <v/>
      </c>
      <c r="G120" s="90">
        <f>IF(B120&gt;0,F120-('Funding-Tiers'!$BK$39+Connectivity!$C$6+$C$9*D120+IF(C120&gt;0,MAX($C$11,C120/512*$C$11)*$C$10/Rates!$D$4,0)),0)</f>
        <v/>
      </c>
      <c r="H120" s="91">
        <f>IF(E120&gt;0,G120/E120,"n/a")</f>
        <v/>
      </c>
      <c r="I120" s="91">
        <f>IF(B120&gt;0,IFERROR(IRR(C138:AB138),IF(SUM(C138:AB138)&lt;0,"never repays","no IRR")),"n/a")</f>
        <v/>
      </c>
      <c r="J120" s="91">
        <f>IF(B120&gt;0,IFERROR(IRR(C139:AB139),IF(SUM(C139:AB139)&lt;0,"never repays","no IRR")),"n/a")</f>
        <v/>
      </c>
      <c r="K120" s="91">
        <f>'Funding-Tiers'!$BM$39</f>
        <v/>
      </c>
    </row>
    <row r="121">
      <c r="A121" s="90">
        <f>'Funding-Tiers'!$A$40</f>
        <v/>
      </c>
      <c r="B121" s="123">
        <f>'Funding-Tiers'!$AT$40</f>
        <v/>
      </c>
      <c r="C121" s="90">
        <f>ROUNDDOWN(B121*1000/$C$6,0)*$C$7</f>
        <v/>
      </c>
      <c r="D121" s="90">
        <f>C121/$C$7*$C$5*(1+$C$8)/Rates!$D$4</f>
        <v/>
      </c>
      <c r="E121" s="90">
        <f>IF(B121&gt;0,'Funding-Tiers'!$BH$40+D121+Connectivity!$C$5,0)</f>
        <v/>
      </c>
      <c r="F121" s="90">
        <f>C121*8760*$C$19*$C$15*Connectivity!$C$13/Rates!$D$4</f>
        <v/>
      </c>
      <c r="G121" s="90">
        <f>IF(B121&gt;0,F121-('Funding-Tiers'!$BK$40+Connectivity!$C$6+$C$9*D121+IF(C121&gt;0,MAX($C$11,C121/512*$C$11)*$C$10/Rates!$D$4,0)),0)</f>
        <v/>
      </c>
      <c r="H121" s="91">
        <f>IF(E121&gt;0,G121/E121,"n/a")</f>
        <v/>
      </c>
      <c r="I121" s="91">
        <f>IF(B121&gt;0,IFERROR(IRR(C140:AB140),IF(SUM(C140:AB140)&lt;0,"never repays","no IRR")),"n/a")</f>
        <v/>
      </c>
      <c r="J121" s="91">
        <f>IF(B121&gt;0,IFERROR(IRR(C141:AB141),IF(SUM(C141:AB141)&lt;0,"never repays","no IRR")),"n/a")</f>
        <v/>
      </c>
      <c r="K121" s="91">
        <f>'Funding-Tiers'!$BM$40</f>
        <v/>
      </c>
    </row>
    <row r="122">
      <c r="A122" s="90">
        <f>'Funding-Tiers'!$A$41</f>
        <v/>
      </c>
      <c r="B122" s="123">
        <f>'Funding-Tiers'!$AT$41</f>
        <v/>
      </c>
      <c r="C122" s="90">
        <f>ROUNDDOWN(B122*1000/$C$6,0)*$C$7</f>
        <v/>
      </c>
      <c r="D122" s="90">
        <f>C122/$C$7*$C$5*(1+$C$8)/Rates!$D$4</f>
        <v/>
      </c>
      <c r="E122" s="90">
        <f>IF(B122&gt;0,'Funding-Tiers'!$BH$41+D122+Connectivity!$C$5,0)</f>
        <v/>
      </c>
      <c r="F122" s="90">
        <f>C122*8760*$C$19*$C$15*Connectivity!$C$13/Rates!$D$4</f>
        <v/>
      </c>
      <c r="G122" s="90">
        <f>IF(B122&gt;0,F122-('Funding-Tiers'!$BK$41+Connectivity!$C$6+$C$9*D122+IF(C122&gt;0,MAX($C$11,C122/512*$C$11)*$C$10/Rates!$D$4,0)),0)</f>
        <v/>
      </c>
      <c r="H122" s="91">
        <f>IF(E122&gt;0,G122/E122,"n/a")</f>
        <v/>
      </c>
      <c r="I122" s="91">
        <f>IF(B122&gt;0,IFERROR(IRR(C142:AB142),IF(SUM(C142:AB142)&lt;0,"never repays","no IRR")),"n/a")</f>
        <v/>
      </c>
      <c r="J122" s="91">
        <f>IF(B122&gt;0,IFERROR(IRR(C143:AB143),IF(SUM(C143:AB143)&lt;0,"never repays","no IRR")),"n/a")</f>
        <v/>
      </c>
      <c r="K122" s="91">
        <f>'Funding-Tiers'!$BM$41</f>
        <v/>
      </c>
    </row>
    <row r="123"/>
    <row r="124">
      <c r="A124" s="68" t="inlineStr">
        <is>
          <t>helper tier 1 decay</t>
        </is>
      </c>
      <c r="C124" s="68">
        <f>-$E$113</f>
        <v/>
      </c>
      <c r="D124" s="68">
        <f>IF(D$56&lt;=Rates!$D$71,$F$113*(1+$C$22)^MOD(D$56-1,$C$21)*D$65-($F$113-$G$113)-IF(AND(MOD(D$56,$C$21)=0,D$56&lt;Rates!$D$71),$D$113,0),0)</f>
        <v/>
      </c>
      <c r="E124" s="68">
        <f>IF(E$56&lt;=Rates!$D$71,$F$113*(1+$C$22)^MOD(E$56-1,$C$21)*E$65-($F$113-$G$113)-IF(AND(MOD(E$56,$C$21)=0,E$56&lt;Rates!$D$71),$D$113,0),0)</f>
        <v/>
      </c>
      <c r="F124" s="68">
        <f>IF(F$56&lt;=Rates!$D$71,$F$113*(1+$C$22)^MOD(F$56-1,$C$21)*F$65-($F$113-$G$113)-IF(AND(MOD(F$56,$C$21)=0,F$56&lt;Rates!$D$71),$D$113,0),0)</f>
        <v/>
      </c>
      <c r="G124" s="68">
        <f>IF(G$56&lt;=Rates!$D$71,$F$113*(1+$C$22)^MOD(G$56-1,$C$21)*G$65-($F$113-$G$113)-IF(AND(MOD(G$56,$C$21)=0,G$56&lt;Rates!$D$71),$D$113,0),0)</f>
        <v/>
      </c>
      <c r="H124" s="68">
        <f>IF(H$56&lt;=Rates!$D$71,$F$113*(1+$C$22)^MOD(H$56-1,$C$21)*H$65-($F$113-$G$113)-IF(AND(MOD(H$56,$C$21)=0,H$56&lt;Rates!$D$71),$D$113,0),0)</f>
        <v/>
      </c>
      <c r="I124" s="68">
        <f>IF(I$56&lt;=Rates!$D$71,$F$113*(1+$C$22)^MOD(I$56-1,$C$21)*I$65-($F$113-$G$113)-IF(AND(MOD(I$56,$C$21)=0,I$56&lt;Rates!$D$71),$D$113,0),0)</f>
        <v/>
      </c>
      <c r="J124" s="68">
        <f>IF(J$56&lt;=Rates!$D$71,$F$113*(1+$C$22)^MOD(J$56-1,$C$21)*J$65-($F$113-$G$113)-IF(AND(MOD(J$56,$C$21)=0,J$56&lt;Rates!$D$71),$D$113,0),0)</f>
        <v/>
      </c>
      <c r="K124" s="68">
        <f>IF(K$56&lt;=Rates!$D$71,$F$113*(1+$C$22)^MOD(K$56-1,$C$21)*K$65-($F$113-$G$113)-IF(AND(MOD(K$56,$C$21)=0,K$56&lt;Rates!$D$71),$D$113,0),0)</f>
        <v/>
      </c>
      <c r="L124" s="68">
        <f>IF(L$56&lt;=Rates!$D$71,$F$113*(1+$C$22)^MOD(L$56-1,$C$21)*L$65-($F$113-$G$113)-IF(AND(MOD(L$56,$C$21)=0,L$56&lt;Rates!$D$71),$D$113,0),0)</f>
        <v/>
      </c>
      <c r="M124" s="68">
        <f>IF(M$56&lt;=Rates!$D$71,$F$113*(1+$C$22)^MOD(M$56-1,$C$21)*M$65-($F$113-$G$113)-IF(AND(MOD(M$56,$C$21)=0,M$56&lt;Rates!$D$71),$D$113,0),0)</f>
        <v/>
      </c>
      <c r="N124" s="68">
        <f>IF(N$56&lt;=Rates!$D$71,$F$113*(1+$C$22)^MOD(N$56-1,$C$21)*N$65-($F$113-$G$113)-IF(AND(MOD(N$56,$C$21)=0,N$56&lt;Rates!$D$71),$D$113,0),0)</f>
        <v/>
      </c>
      <c r="O124" s="68">
        <f>IF(O$56&lt;=Rates!$D$71,$F$113*(1+$C$22)^MOD(O$56-1,$C$21)*O$65-($F$113-$G$113)-IF(AND(MOD(O$56,$C$21)=0,O$56&lt;Rates!$D$71),$D$113,0),0)</f>
        <v/>
      </c>
      <c r="P124" s="68">
        <f>IF(P$56&lt;=Rates!$D$71,$F$113*(1+$C$22)^MOD(P$56-1,$C$21)*P$65-($F$113-$G$113)-IF(AND(MOD(P$56,$C$21)=0,P$56&lt;Rates!$D$71),$D$113,0),0)</f>
        <v/>
      </c>
      <c r="Q124" s="68">
        <f>IF(Q$56&lt;=Rates!$D$71,$F$113*(1+$C$22)^MOD(Q$56-1,$C$21)*Q$65-($F$113-$G$113)-IF(AND(MOD(Q$56,$C$21)=0,Q$56&lt;Rates!$D$71),$D$113,0),0)</f>
        <v/>
      </c>
      <c r="R124" s="68">
        <f>IF(R$56&lt;=Rates!$D$71,$F$113*(1+$C$22)^MOD(R$56-1,$C$21)*R$65-($F$113-$G$113)-IF(AND(MOD(R$56,$C$21)=0,R$56&lt;Rates!$D$71),$D$113,0),0)</f>
        <v/>
      </c>
      <c r="S124" s="68">
        <f>IF(S$56&lt;=Rates!$D$71,$F$113*(1+$C$22)^MOD(S$56-1,$C$21)*S$65-($F$113-$G$113)-IF(AND(MOD(S$56,$C$21)=0,S$56&lt;Rates!$D$71),$D$113,0),0)</f>
        <v/>
      </c>
      <c r="T124" s="68">
        <f>IF(T$56&lt;=Rates!$D$71,$F$113*(1+$C$22)^MOD(T$56-1,$C$21)*T$65-($F$113-$G$113)-IF(AND(MOD(T$56,$C$21)=0,T$56&lt;Rates!$D$71),$D$113,0),0)</f>
        <v/>
      </c>
      <c r="U124" s="68">
        <f>IF(U$56&lt;=Rates!$D$71,$F$113*(1+$C$22)^MOD(U$56-1,$C$21)*U$65-($F$113-$G$113)-IF(AND(MOD(U$56,$C$21)=0,U$56&lt;Rates!$D$71),$D$113,0),0)</f>
        <v/>
      </c>
      <c r="V124" s="68">
        <f>IF(V$56&lt;=Rates!$D$71,$F$113*(1+$C$22)^MOD(V$56-1,$C$21)*V$65-($F$113-$G$113)-IF(AND(MOD(V$56,$C$21)=0,V$56&lt;Rates!$D$71),$D$113,0),0)</f>
        <v/>
      </c>
      <c r="W124" s="68">
        <f>IF(W$56&lt;=Rates!$D$71,$F$113*(1+$C$22)^MOD(W$56-1,$C$21)*W$65-($F$113-$G$113)-IF(AND(MOD(W$56,$C$21)=0,W$56&lt;Rates!$D$71),$D$113,0),0)</f>
        <v/>
      </c>
      <c r="X124" s="68">
        <f>IF(X$56&lt;=Rates!$D$71,$F$113*(1+$C$22)^MOD(X$56-1,$C$21)*X$65-($F$113-$G$113)-IF(AND(MOD(X$56,$C$21)=0,X$56&lt;Rates!$D$71),$D$113,0),0)</f>
        <v/>
      </c>
      <c r="Y124" s="68">
        <f>IF(Y$56&lt;=Rates!$D$71,$F$113*(1+$C$22)^MOD(Y$56-1,$C$21)*Y$65-($F$113-$G$113)-IF(AND(MOD(Y$56,$C$21)=0,Y$56&lt;Rates!$D$71),$D$113,0),0)</f>
        <v/>
      </c>
      <c r="Z124" s="68">
        <f>IF(Z$56&lt;=Rates!$D$71,$F$113*(1+$C$22)^MOD(Z$56-1,$C$21)*Z$65-($F$113-$G$113)-IF(AND(MOD(Z$56,$C$21)=0,Z$56&lt;Rates!$D$71),$D$113,0),0)</f>
        <v/>
      </c>
      <c r="AA124" s="68">
        <f>IF(AA$56&lt;=Rates!$D$71,$F$113*(1+$C$22)^MOD(AA$56-1,$C$21)*AA$65-($F$113-$G$113)-IF(AND(MOD(AA$56,$C$21)=0,AA$56&lt;Rates!$D$71),$D$113,0),0)</f>
        <v/>
      </c>
      <c r="AB124" s="68">
        <f>IF(AB$56&lt;=Rates!$D$71,$F$113*(1+$C$22)^MOD(AB$56-1,$C$21)*AB$65-($F$113-$G$113)-IF(AND(MOD(AB$56,$C$21)=0,AB$56&lt;Rates!$D$71),$D$113,0),0)</f>
        <v/>
      </c>
    </row>
    <row r="125">
      <c r="A125" s="68" t="inlineStr">
        <is>
          <t>helper tier 1 decay_flat</t>
        </is>
      </c>
      <c r="C125" s="68">
        <f>-$E$113</f>
        <v/>
      </c>
      <c r="D125" s="68">
        <f>IF(D$56&lt;=Rates!$D$71,$F$113*(1+$C$23)^MOD(D$56-1,$C$21)*D$65-($F$113-$G$113)-IF(AND(MOD(D$56,$C$21)=0,D$56&lt;Rates!$D$71),$D$113,0),0)</f>
        <v/>
      </c>
      <c r="E125" s="68">
        <f>IF(E$56&lt;=Rates!$D$71,$F$113*(1+$C$23)^MOD(E$56-1,$C$21)*E$65-($F$113-$G$113)-IF(AND(MOD(E$56,$C$21)=0,E$56&lt;Rates!$D$71),$D$113,0),0)</f>
        <v/>
      </c>
      <c r="F125" s="68">
        <f>IF(F$56&lt;=Rates!$D$71,$F$113*(1+$C$23)^MOD(F$56-1,$C$21)*F$65-($F$113-$G$113)-IF(AND(MOD(F$56,$C$21)=0,F$56&lt;Rates!$D$71),$D$113,0),0)</f>
        <v/>
      </c>
      <c r="G125" s="68">
        <f>IF(G$56&lt;=Rates!$D$71,$F$113*(1+$C$23)^MOD(G$56-1,$C$21)*G$65-($F$113-$G$113)-IF(AND(MOD(G$56,$C$21)=0,G$56&lt;Rates!$D$71),$D$113,0),0)</f>
        <v/>
      </c>
      <c r="H125" s="68">
        <f>IF(H$56&lt;=Rates!$D$71,$F$113*(1+$C$23)^MOD(H$56-1,$C$21)*H$65-($F$113-$G$113)-IF(AND(MOD(H$56,$C$21)=0,H$56&lt;Rates!$D$71),$D$113,0),0)</f>
        <v/>
      </c>
      <c r="I125" s="68">
        <f>IF(I$56&lt;=Rates!$D$71,$F$113*(1+$C$23)^MOD(I$56-1,$C$21)*I$65-($F$113-$G$113)-IF(AND(MOD(I$56,$C$21)=0,I$56&lt;Rates!$D$71),$D$113,0),0)</f>
        <v/>
      </c>
      <c r="J125" s="68">
        <f>IF(J$56&lt;=Rates!$D$71,$F$113*(1+$C$23)^MOD(J$56-1,$C$21)*J$65-($F$113-$G$113)-IF(AND(MOD(J$56,$C$21)=0,J$56&lt;Rates!$D$71),$D$113,0),0)</f>
        <v/>
      </c>
      <c r="K125" s="68">
        <f>IF(K$56&lt;=Rates!$D$71,$F$113*(1+$C$23)^MOD(K$56-1,$C$21)*K$65-($F$113-$G$113)-IF(AND(MOD(K$56,$C$21)=0,K$56&lt;Rates!$D$71),$D$113,0),0)</f>
        <v/>
      </c>
      <c r="L125" s="68">
        <f>IF(L$56&lt;=Rates!$D$71,$F$113*(1+$C$23)^MOD(L$56-1,$C$21)*L$65-($F$113-$G$113)-IF(AND(MOD(L$56,$C$21)=0,L$56&lt;Rates!$D$71),$D$113,0),0)</f>
        <v/>
      </c>
      <c r="M125" s="68">
        <f>IF(M$56&lt;=Rates!$D$71,$F$113*(1+$C$23)^MOD(M$56-1,$C$21)*M$65-($F$113-$G$113)-IF(AND(MOD(M$56,$C$21)=0,M$56&lt;Rates!$D$71),$D$113,0),0)</f>
        <v/>
      </c>
      <c r="N125" s="68">
        <f>IF(N$56&lt;=Rates!$D$71,$F$113*(1+$C$23)^MOD(N$56-1,$C$21)*N$65-($F$113-$G$113)-IF(AND(MOD(N$56,$C$21)=0,N$56&lt;Rates!$D$71),$D$113,0),0)</f>
        <v/>
      </c>
      <c r="O125" s="68">
        <f>IF(O$56&lt;=Rates!$D$71,$F$113*(1+$C$23)^MOD(O$56-1,$C$21)*O$65-($F$113-$G$113)-IF(AND(MOD(O$56,$C$21)=0,O$56&lt;Rates!$D$71),$D$113,0),0)</f>
        <v/>
      </c>
      <c r="P125" s="68">
        <f>IF(P$56&lt;=Rates!$D$71,$F$113*(1+$C$23)^MOD(P$56-1,$C$21)*P$65-($F$113-$G$113)-IF(AND(MOD(P$56,$C$21)=0,P$56&lt;Rates!$D$71),$D$113,0),0)</f>
        <v/>
      </c>
      <c r="Q125" s="68">
        <f>IF(Q$56&lt;=Rates!$D$71,$F$113*(1+$C$23)^MOD(Q$56-1,$C$21)*Q$65-($F$113-$G$113)-IF(AND(MOD(Q$56,$C$21)=0,Q$56&lt;Rates!$D$71),$D$113,0),0)</f>
        <v/>
      </c>
      <c r="R125" s="68">
        <f>IF(R$56&lt;=Rates!$D$71,$F$113*(1+$C$23)^MOD(R$56-1,$C$21)*R$65-($F$113-$G$113)-IF(AND(MOD(R$56,$C$21)=0,R$56&lt;Rates!$D$71),$D$113,0),0)</f>
        <v/>
      </c>
      <c r="S125" s="68">
        <f>IF(S$56&lt;=Rates!$D$71,$F$113*(1+$C$23)^MOD(S$56-1,$C$21)*S$65-($F$113-$G$113)-IF(AND(MOD(S$56,$C$21)=0,S$56&lt;Rates!$D$71),$D$113,0),0)</f>
        <v/>
      </c>
      <c r="T125" s="68">
        <f>IF(T$56&lt;=Rates!$D$71,$F$113*(1+$C$23)^MOD(T$56-1,$C$21)*T$65-($F$113-$G$113)-IF(AND(MOD(T$56,$C$21)=0,T$56&lt;Rates!$D$71),$D$113,0),0)</f>
        <v/>
      </c>
      <c r="U125" s="68">
        <f>IF(U$56&lt;=Rates!$D$71,$F$113*(1+$C$23)^MOD(U$56-1,$C$21)*U$65-($F$113-$G$113)-IF(AND(MOD(U$56,$C$21)=0,U$56&lt;Rates!$D$71),$D$113,0),0)</f>
        <v/>
      </c>
      <c r="V125" s="68">
        <f>IF(V$56&lt;=Rates!$D$71,$F$113*(1+$C$23)^MOD(V$56-1,$C$21)*V$65-($F$113-$G$113)-IF(AND(MOD(V$56,$C$21)=0,V$56&lt;Rates!$D$71),$D$113,0),0)</f>
        <v/>
      </c>
      <c r="W125" s="68">
        <f>IF(W$56&lt;=Rates!$D$71,$F$113*(1+$C$23)^MOD(W$56-1,$C$21)*W$65-($F$113-$G$113)-IF(AND(MOD(W$56,$C$21)=0,W$56&lt;Rates!$D$71),$D$113,0),0)</f>
        <v/>
      </c>
      <c r="X125" s="68">
        <f>IF(X$56&lt;=Rates!$D$71,$F$113*(1+$C$23)^MOD(X$56-1,$C$21)*X$65-($F$113-$G$113)-IF(AND(MOD(X$56,$C$21)=0,X$56&lt;Rates!$D$71),$D$113,0),0)</f>
        <v/>
      </c>
      <c r="Y125" s="68">
        <f>IF(Y$56&lt;=Rates!$D$71,$F$113*(1+$C$23)^MOD(Y$56-1,$C$21)*Y$65-($F$113-$G$113)-IF(AND(MOD(Y$56,$C$21)=0,Y$56&lt;Rates!$D$71),$D$113,0),0)</f>
        <v/>
      </c>
      <c r="Z125" s="68">
        <f>IF(Z$56&lt;=Rates!$D$71,$F$113*(1+$C$23)^MOD(Z$56-1,$C$21)*Z$65-($F$113-$G$113)-IF(AND(MOD(Z$56,$C$21)=0,Z$56&lt;Rates!$D$71),$D$113,0),0)</f>
        <v/>
      </c>
      <c r="AA125" s="68">
        <f>IF(AA$56&lt;=Rates!$D$71,$F$113*(1+$C$23)^MOD(AA$56-1,$C$21)*AA$65-($F$113-$G$113)-IF(AND(MOD(AA$56,$C$21)=0,AA$56&lt;Rates!$D$71),$D$113,0),0)</f>
        <v/>
      </c>
      <c r="AB125" s="68">
        <f>IF(AB$56&lt;=Rates!$D$71,$F$113*(1+$C$23)^MOD(AB$56-1,$C$21)*AB$65-($F$113-$G$113)-IF(AND(MOD(AB$56,$C$21)=0,AB$56&lt;Rates!$D$71),$D$113,0),0)</f>
        <v/>
      </c>
    </row>
    <row r="126">
      <c r="A126" s="68" t="inlineStr">
        <is>
          <t>helper tier 2 decay</t>
        </is>
      </c>
      <c r="C126" s="68">
        <f>-$E$114</f>
        <v/>
      </c>
      <c r="D126" s="68">
        <f>IF(D$56&lt;=Rates!$D$71,$F$114*(1+$C$22)^MOD(D$56-1,$C$21)*D$65-($F$114-$G$114)-IF(AND(MOD(D$56,$C$21)=0,D$56&lt;Rates!$D$71),$D$114,0),0)</f>
        <v/>
      </c>
      <c r="E126" s="68">
        <f>IF(E$56&lt;=Rates!$D$71,$F$114*(1+$C$22)^MOD(E$56-1,$C$21)*E$65-($F$114-$G$114)-IF(AND(MOD(E$56,$C$21)=0,E$56&lt;Rates!$D$71),$D$114,0),0)</f>
        <v/>
      </c>
      <c r="F126" s="68">
        <f>IF(F$56&lt;=Rates!$D$71,$F$114*(1+$C$22)^MOD(F$56-1,$C$21)*F$65-($F$114-$G$114)-IF(AND(MOD(F$56,$C$21)=0,F$56&lt;Rates!$D$71),$D$114,0),0)</f>
        <v/>
      </c>
      <c r="G126" s="68">
        <f>IF(G$56&lt;=Rates!$D$71,$F$114*(1+$C$22)^MOD(G$56-1,$C$21)*G$65-($F$114-$G$114)-IF(AND(MOD(G$56,$C$21)=0,G$56&lt;Rates!$D$71),$D$114,0),0)</f>
        <v/>
      </c>
      <c r="H126" s="68">
        <f>IF(H$56&lt;=Rates!$D$71,$F$114*(1+$C$22)^MOD(H$56-1,$C$21)*H$65-($F$114-$G$114)-IF(AND(MOD(H$56,$C$21)=0,H$56&lt;Rates!$D$71),$D$114,0),0)</f>
        <v/>
      </c>
      <c r="I126" s="68">
        <f>IF(I$56&lt;=Rates!$D$71,$F$114*(1+$C$22)^MOD(I$56-1,$C$21)*I$65-($F$114-$G$114)-IF(AND(MOD(I$56,$C$21)=0,I$56&lt;Rates!$D$71),$D$114,0),0)</f>
        <v/>
      </c>
      <c r="J126" s="68">
        <f>IF(J$56&lt;=Rates!$D$71,$F$114*(1+$C$22)^MOD(J$56-1,$C$21)*J$65-($F$114-$G$114)-IF(AND(MOD(J$56,$C$21)=0,J$56&lt;Rates!$D$71),$D$114,0),0)</f>
        <v/>
      </c>
      <c r="K126" s="68">
        <f>IF(K$56&lt;=Rates!$D$71,$F$114*(1+$C$22)^MOD(K$56-1,$C$21)*K$65-($F$114-$G$114)-IF(AND(MOD(K$56,$C$21)=0,K$56&lt;Rates!$D$71),$D$114,0),0)</f>
        <v/>
      </c>
      <c r="L126" s="68">
        <f>IF(L$56&lt;=Rates!$D$71,$F$114*(1+$C$22)^MOD(L$56-1,$C$21)*L$65-($F$114-$G$114)-IF(AND(MOD(L$56,$C$21)=0,L$56&lt;Rates!$D$71),$D$114,0),0)</f>
        <v/>
      </c>
      <c r="M126" s="68">
        <f>IF(M$56&lt;=Rates!$D$71,$F$114*(1+$C$22)^MOD(M$56-1,$C$21)*M$65-($F$114-$G$114)-IF(AND(MOD(M$56,$C$21)=0,M$56&lt;Rates!$D$71),$D$114,0),0)</f>
        <v/>
      </c>
      <c r="N126" s="68">
        <f>IF(N$56&lt;=Rates!$D$71,$F$114*(1+$C$22)^MOD(N$56-1,$C$21)*N$65-($F$114-$G$114)-IF(AND(MOD(N$56,$C$21)=0,N$56&lt;Rates!$D$71),$D$114,0),0)</f>
        <v/>
      </c>
      <c r="O126" s="68">
        <f>IF(O$56&lt;=Rates!$D$71,$F$114*(1+$C$22)^MOD(O$56-1,$C$21)*O$65-($F$114-$G$114)-IF(AND(MOD(O$56,$C$21)=0,O$56&lt;Rates!$D$71),$D$114,0),0)</f>
        <v/>
      </c>
      <c r="P126" s="68">
        <f>IF(P$56&lt;=Rates!$D$71,$F$114*(1+$C$22)^MOD(P$56-1,$C$21)*P$65-($F$114-$G$114)-IF(AND(MOD(P$56,$C$21)=0,P$56&lt;Rates!$D$71),$D$114,0),0)</f>
        <v/>
      </c>
      <c r="Q126" s="68">
        <f>IF(Q$56&lt;=Rates!$D$71,$F$114*(1+$C$22)^MOD(Q$56-1,$C$21)*Q$65-($F$114-$G$114)-IF(AND(MOD(Q$56,$C$21)=0,Q$56&lt;Rates!$D$71),$D$114,0),0)</f>
        <v/>
      </c>
      <c r="R126" s="68">
        <f>IF(R$56&lt;=Rates!$D$71,$F$114*(1+$C$22)^MOD(R$56-1,$C$21)*R$65-($F$114-$G$114)-IF(AND(MOD(R$56,$C$21)=0,R$56&lt;Rates!$D$71),$D$114,0),0)</f>
        <v/>
      </c>
      <c r="S126" s="68">
        <f>IF(S$56&lt;=Rates!$D$71,$F$114*(1+$C$22)^MOD(S$56-1,$C$21)*S$65-($F$114-$G$114)-IF(AND(MOD(S$56,$C$21)=0,S$56&lt;Rates!$D$71),$D$114,0),0)</f>
        <v/>
      </c>
      <c r="T126" s="68">
        <f>IF(T$56&lt;=Rates!$D$71,$F$114*(1+$C$22)^MOD(T$56-1,$C$21)*T$65-($F$114-$G$114)-IF(AND(MOD(T$56,$C$21)=0,T$56&lt;Rates!$D$71),$D$114,0),0)</f>
        <v/>
      </c>
      <c r="U126" s="68">
        <f>IF(U$56&lt;=Rates!$D$71,$F$114*(1+$C$22)^MOD(U$56-1,$C$21)*U$65-($F$114-$G$114)-IF(AND(MOD(U$56,$C$21)=0,U$56&lt;Rates!$D$71),$D$114,0),0)</f>
        <v/>
      </c>
      <c r="V126" s="68">
        <f>IF(V$56&lt;=Rates!$D$71,$F$114*(1+$C$22)^MOD(V$56-1,$C$21)*V$65-($F$114-$G$114)-IF(AND(MOD(V$56,$C$21)=0,V$56&lt;Rates!$D$71),$D$114,0),0)</f>
        <v/>
      </c>
      <c r="W126" s="68">
        <f>IF(W$56&lt;=Rates!$D$71,$F$114*(1+$C$22)^MOD(W$56-1,$C$21)*W$65-($F$114-$G$114)-IF(AND(MOD(W$56,$C$21)=0,W$56&lt;Rates!$D$71),$D$114,0),0)</f>
        <v/>
      </c>
      <c r="X126" s="68">
        <f>IF(X$56&lt;=Rates!$D$71,$F$114*(1+$C$22)^MOD(X$56-1,$C$21)*X$65-($F$114-$G$114)-IF(AND(MOD(X$56,$C$21)=0,X$56&lt;Rates!$D$71),$D$114,0),0)</f>
        <v/>
      </c>
      <c r="Y126" s="68">
        <f>IF(Y$56&lt;=Rates!$D$71,$F$114*(1+$C$22)^MOD(Y$56-1,$C$21)*Y$65-($F$114-$G$114)-IF(AND(MOD(Y$56,$C$21)=0,Y$56&lt;Rates!$D$71),$D$114,0),0)</f>
        <v/>
      </c>
      <c r="Z126" s="68">
        <f>IF(Z$56&lt;=Rates!$D$71,$F$114*(1+$C$22)^MOD(Z$56-1,$C$21)*Z$65-($F$114-$G$114)-IF(AND(MOD(Z$56,$C$21)=0,Z$56&lt;Rates!$D$71),$D$114,0),0)</f>
        <v/>
      </c>
      <c r="AA126" s="68">
        <f>IF(AA$56&lt;=Rates!$D$71,$F$114*(1+$C$22)^MOD(AA$56-1,$C$21)*AA$65-($F$114-$G$114)-IF(AND(MOD(AA$56,$C$21)=0,AA$56&lt;Rates!$D$71),$D$114,0),0)</f>
        <v/>
      </c>
      <c r="AB126" s="68">
        <f>IF(AB$56&lt;=Rates!$D$71,$F$114*(1+$C$22)^MOD(AB$56-1,$C$21)*AB$65-($F$114-$G$114)-IF(AND(MOD(AB$56,$C$21)=0,AB$56&lt;Rates!$D$71),$D$114,0),0)</f>
        <v/>
      </c>
    </row>
    <row r="127">
      <c r="A127" s="68" t="inlineStr">
        <is>
          <t>helper tier 2 decay_flat</t>
        </is>
      </c>
      <c r="C127" s="68">
        <f>-$E$114</f>
        <v/>
      </c>
      <c r="D127" s="68">
        <f>IF(D$56&lt;=Rates!$D$71,$F$114*(1+$C$23)^MOD(D$56-1,$C$21)*D$65-($F$114-$G$114)-IF(AND(MOD(D$56,$C$21)=0,D$56&lt;Rates!$D$71),$D$114,0),0)</f>
        <v/>
      </c>
      <c r="E127" s="68">
        <f>IF(E$56&lt;=Rates!$D$71,$F$114*(1+$C$23)^MOD(E$56-1,$C$21)*E$65-($F$114-$G$114)-IF(AND(MOD(E$56,$C$21)=0,E$56&lt;Rates!$D$71),$D$114,0),0)</f>
        <v/>
      </c>
      <c r="F127" s="68">
        <f>IF(F$56&lt;=Rates!$D$71,$F$114*(1+$C$23)^MOD(F$56-1,$C$21)*F$65-($F$114-$G$114)-IF(AND(MOD(F$56,$C$21)=0,F$56&lt;Rates!$D$71),$D$114,0),0)</f>
        <v/>
      </c>
      <c r="G127" s="68">
        <f>IF(G$56&lt;=Rates!$D$71,$F$114*(1+$C$23)^MOD(G$56-1,$C$21)*G$65-($F$114-$G$114)-IF(AND(MOD(G$56,$C$21)=0,G$56&lt;Rates!$D$71),$D$114,0),0)</f>
        <v/>
      </c>
      <c r="H127" s="68">
        <f>IF(H$56&lt;=Rates!$D$71,$F$114*(1+$C$23)^MOD(H$56-1,$C$21)*H$65-($F$114-$G$114)-IF(AND(MOD(H$56,$C$21)=0,H$56&lt;Rates!$D$71),$D$114,0),0)</f>
        <v/>
      </c>
      <c r="I127" s="68">
        <f>IF(I$56&lt;=Rates!$D$71,$F$114*(1+$C$23)^MOD(I$56-1,$C$21)*I$65-($F$114-$G$114)-IF(AND(MOD(I$56,$C$21)=0,I$56&lt;Rates!$D$71),$D$114,0),0)</f>
        <v/>
      </c>
      <c r="J127" s="68">
        <f>IF(J$56&lt;=Rates!$D$71,$F$114*(1+$C$23)^MOD(J$56-1,$C$21)*J$65-($F$114-$G$114)-IF(AND(MOD(J$56,$C$21)=0,J$56&lt;Rates!$D$71),$D$114,0),0)</f>
        <v/>
      </c>
      <c r="K127" s="68">
        <f>IF(K$56&lt;=Rates!$D$71,$F$114*(1+$C$23)^MOD(K$56-1,$C$21)*K$65-($F$114-$G$114)-IF(AND(MOD(K$56,$C$21)=0,K$56&lt;Rates!$D$71),$D$114,0),0)</f>
        <v/>
      </c>
      <c r="L127" s="68">
        <f>IF(L$56&lt;=Rates!$D$71,$F$114*(1+$C$23)^MOD(L$56-1,$C$21)*L$65-($F$114-$G$114)-IF(AND(MOD(L$56,$C$21)=0,L$56&lt;Rates!$D$71),$D$114,0),0)</f>
        <v/>
      </c>
      <c r="M127" s="68">
        <f>IF(M$56&lt;=Rates!$D$71,$F$114*(1+$C$23)^MOD(M$56-1,$C$21)*M$65-($F$114-$G$114)-IF(AND(MOD(M$56,$C$21)=0,M$56&lt;Rates!$D$71),$D$114,0),0)</f>
        <v/>
      </c>
      <c r="N127" s="68">
        <f>IF(N$56&lt;=Rates!$D$71,$F$114*(1+$C$23)^MOD(N$56-1,$C$21)*N$65-($F$114-$G$114)-IF(AND(MOD(N$56,$C$21)=0,N$56&lt;Rates!$D$71),$D$114,0),0)</f>
        <v/>
      </c>
      <c r="O127" s="68">
        <f>IF(O$56&lt;=Rates!$D$71,$F$114*(1+$C$23)^MOD(O$56-1,$C$21)*O$65-($F$114-$G$114)-IF(AND(MOD(O$56,$C$21)=0,O$56&lt;Rates!$D$71),$D$114,0),0)</f>
        <v/>
      </c>
      <c r="P127" s="68">
        <f>IF(P$56&lt;=Rates!$D$71,$F$114*(1+$C$23)^MOD(P$56-1,$C$21)*P$65-($F$114-$G$114)-IF(AND(MOD(P$56,$C$21)=0,P$56&lt;Rates!$D$71),$D$114,0),0)</f>
        <v/>
      </c>
      <c r="Q127" s="68">
        <f>IF(Q$56&lt;=Rates!$D$71,$F$114*(1+$C$23)^MOD(Q$56-1,$C$21)*Q$65-($F$114-$G$114)-IF(AND(MOD(Q$56,$C$21)=0,Q$56&lt;Rates!$D$71),$D$114,0),0)</f>
        <v/>
      </c>
      <c r="R127" s="68">
        <f>IF(R$56&lt;=Rates!$D$71,$F$114*(1+$C$23)^MOD(R$56-1,$C$21)*R$65-($F$114-$G$114)-IF(AND(MOD(R$56,$C$21)=0,R$56&lt;Rates!$D$71),$D$114,0),0)</f>
        <v/>
      </c>
      <c r="S127" s="68">
        <f>IF(S$56&lt;=Rates!$D$71,$F$114*(1+$C$23)^MOD(S$56-1,$C$21)*S$65-($F$114-$G$114)-IF(AND(MOD(S$56,$C$21)=0,S$56&lt;Rates!$D$71),$D$114,0),0)</f>
        <v/>
      </c>
      <c r="T127" s="68">
        <f>IF(T$56&lt;=Rates!$D$71,$F$114*(1+$C$23)^MOD(T$56-1,$C$21)*T$65-($F$114-$G$114)-IF(AND(MOD(T$56,$C$21)=0,T$56&lt;Rates!$D$71),$D$114,0),0)</f>
        <v/>
      </c>
      <c r="U127" s="68">
        <f>IF(U$56&lt;=Rates!$D$71,$F$114*(1+$C$23)^MOD(U$56-1,$C$21)*U$65-($F$114-$G$114)-IF(AND(MOD(U$56,$C$21)=0,U$56&lt;Rates!$D$71),$D$114,0),0)</f>
        <v/>
      </c>
      <c r="V127" s="68">
        <f>IF(V$56&lt;=Rates!$D$71,$F$114*(1+$C$23)^MOD(V$56-1,$C$21)*V$65-($F$114-$G$114)-IF(AND(MOD(V$56,$C$21)=0,V$56&lt;Rates!$D$71),$D$114,0),0)</f>
        <v/>
      </c>
      <c r="W127" s="68">
        <f>IF(W$56&lt;=Rates!$D$71,$F$114*(1+$C$23)^MOD(W$56-1,$C$21)*W$65-($F$114-$G$114)-IF(AND(MOD(W$56,$C$21)=0,W$56&lt;Rates!$D$71),$D$114,0),0)</f>
        <v/>
      </c>
      <c r="X127" s="68">
        <f>IF(X$56&lt;=Rates!$D$71,$F$114*(1+$C$23)^MOD(X$56-1,$C$21)*X$65-($F$114-$G$114)-IF(AND(MOD(X$56,$C$21)=0,X$56&lt;Rates!$D$71),$D$114,0),0)</f>
        <v/>
      </c>
      <c r="Y127" s="68">
        <f>IF(Y$56&lt;=Rates!$D$71,$F$114*(1+$C$23)^MOD(Y$56-1,$C$21)*Y$65-($F$114-$G$114)-IF(AND(MOD(Y$56,$C$21)=0,Y$56&lt;Rates!$D$71),$D$114,0),0)</f>
        <v/>
      </c>
      <c r="Z127" s="68">
        <f>IF(Z$56&lt;=Rates!$D$71,$F$114*(1+$C$23)^MOD(Z$56-1,$C$21)*Z$65-($F$114-$G$114)-IF(AND(MOD(Z$56,$C$21)=0,Z$56&lt;Rates!$D$71),$D$114,0),0)</f>
        <v/>
      </c>
      <c r="AA127" s="68">
        <f>IF(AA$56&lt;=Rates!$D$71,$F$114*(1+$C$23)^MOD(AA$56-1,$C$21)*AA$65-($F$114-$G$114)-IF(AND(MOD(AA$56,$C$21)=0,AA$56&lt;Rates!$D$71),$D$114,0),0)</f>
        <v/>
      </c>
      <c r="AB127" s="68">
        <f>IF(AB$56&lt;=Rates!$D$71,$F$114*(1+$C$23)^MOD(AB$56-1,$C$21)*AB$65-($F$114-$G$114)-IF(AND(MOD(AB$56,$C$21)=0,AB$56&lt;Rates!$D$71),$D$114,0),0)</f>
        <v/>
      </c>
    </row>
    <row r="128">
      <c r="A128" s="68" t="inlineStr">
        <is>
          <t>helper tier 3 decay</t>
        </is>
      </c>
      <c r="C128" s="68">
        <f>-$E$115</f>
        <v/>
      </c>
      <c r="D128" s="68">
        <f>IF(D$56&lt;=Rates!$D$71,$F$115*(1+$C$22)^MOD(D$56-1,$C$21)*D$65-($F$115-$G$115)-IF(AND(MOD(D$56,$C$21)=0,D$56&lt;Rates!$D$71),$D$115,0),0)</f>
        <v/>
      </c>
      <c r="E128" s="68">
        <f>IF(E$56&lt;=Rates!$D$71,$F$115*(1+$C$22)^MOD(E$56-1,$C$21)*E$65-($F$115-$G$115)-IF(AND(MOD(E$56,$C$21)=0,E$56&lt;Rates!$D$71),$D$115,0),0)</f>
        <v/>
      </c>
      <c r="F128" s="68">
        <f>IF(F$56&lt;=Rates!$D$71,$F$115*(1+$C$22)^MOD(F$56-1,$C$21)*F$65-($F$115-$G$115)-IF(AND(MOD(F$56,$C$21)=0,F$56&lt;Rates!$D$71),$D$115,0),0)</f>
        <v/>
      </c>
      <c r="G128" s="68">
        <f>IF(G$56&lt;=Rates!$D$71,$F$115*(1+$C$22)^MOD(G$56-1,$C$21)*G$65-($F$115-$G$115)-IF(AND(MOD(G$56,$C$21)=0,G$56&lt;Rates!$D$71),$D$115,0),0)</f>
        <v/>
      </c>
      <c r="H128" s="68">
        <f>IF(H$56&lt;=Rates!$D$71,$F$115*(1+$C$22)^MOD(H$56-1,$C$21)*H$65-($F$115-$G$115)-IF(AND(MOD(H$56,$C$21)=0,H$56&lt;Rates!$D$71),$D$115,0),0)</f>
        <v/>
      </c>
      <c r="I128" s="68">
        <f>IF(I$56&lt;=Rates!$D$71,$F$115*(1+$C$22)^MOD(I$56-1,$C$21)*I$65-($F$115-$G$115)-IF(AND(MOD(I$56,$C$21)=0,I$56&lt;Rates!$D$71),$D$115,0),0)</f>
        <v/>
      </c>
      <c r="J128" s="68">
        <f>IF(J$56&lt;=Rates!$D$71,$F$115*(1+$C$22)^MOD(J$56-1,$C$21)*J$65-($F$115-$G$115)-IF(AND(MOD(J$56,$C$21)=0,J$56&lt;Rates!$D$71),$D$115,0),0)</f>
        <v/>
      </c>
      <c r="K128" s="68">
        <f>IF(K$56&lt;=Rates!$D$71,$F$115*(1+$C$22)^MOD(K$56-1,$C$21)*K$65-($F$115-$G$115)-IF(AND(MOD(K$56,$C$21)=0,K$56&lt;Rates!$D$71),$D$115,0),0)</f>
        <v/>
      </c>
      <c r="L128" s="68">
        <f>IF(L$56&lt;=Rates!$D$71,$F$115*(1+$C$22)^MOD(L$56-1,$C$21)*L$65-($F$115-$G$115)-IF(AND(MOD(L$56,$C$21)=0,L$56&lt;Rates!$D$71),$D$115,0),0)</f>
        <v/>
      </c>
      <c r="M128" s="68">
        <f>IF(M$56&lt;=Rates!$D$71,$F$115*(1+$C$22)^MOD(M$56-1,$C$21)*M$65-($F$115-$G$115)-IF(AND(MOD(M$56,$C$21)=0,M$56&lt;Rates!$D$71),$D$115,0),0)</f>
        <v/>
      </c>
      <c r="N128" s="68">
        <f>IF(N$56&lt;=Rates!$D$71,$F$115*(1+$C$22)^MOD(N$56-1,$C$21)*N$65-($F$115-$G$115)-IF(AND(MOD(N$56,$C$21)=0,N$56&lt;Rates!$D$71),$D$115,0),0)</f>
        <v/>
      </c>
      <c r="O128" s="68">
        <f>IF(O$56&lt;=Rates!$D$71,$F$115*(1+$C$22)^MOD(O$56-1,$C$21)*O$65-($F$115-$G$115)-IF(AND(MOD(O$56,$C$21)=0,O$56&lt;Rates!$D$71),$D$115,0),0)</f>
        <v/>
      </c>
      <c r="P128" s="68">
        <f>IF(P$56&lt;=Rates!$D$71,$F$115*(1+$C$22)^MOD(P$56-1,$C$21)*P$65-($F$115-$G$115)-IF(AND(MOD(P$56,$C$21)=0,P$56&lt;Rates!$D$71),$D$115,0),0)</f>
        <v/>
      </c>
      <c r="Q128" s="68">
        <f>IF(Q$56&lt;=Rates!$D$71,$F$115*(1+$C$22)^MOD(Q$56-1,$C$21)*Q$65-($F$115-$G$115)-IF(AND(MOD(Q$56,$C$21)=0,Q$56&lt;Rates!$D$71),$D$115,0),0)</f>
        <v/>
      </c>
      <c r="R128" s="68">
        <f>IF(R$56&lt;=Rates!$D$71,$F$115*(1+$C$22)^MOD(R$56-1,$C$21)*R$65-($F$115-$G$115)-IF(AND(MOD(R$56,$C$21)=0,R$56&lt;Rates!$D$71),$D$115,0),0)</f>
        <v/>
      </c>
      <c r="S128" s="68">
        <f>IF(S$56&lt;=Rates!$D$71,$F$115*(1+$C$22)^MOD(S$56-1,$C$21)*S$65-($F$115-$G$115)-IF(AND(MOD(S$56,$C$21)=0,S$56&lt;Rates!$D$71),$D$115,0),0)</f>
        <v/>
      </c>
      <c r="T128" s="68">
        <f>IF(T$56&lt;=Rates!$D$71,$F$115*(1+$C$22)^MOD(T$56-1,$C$21)*T$65-($F$115-$G$115)-IF(AND(MOD(T$56,$C$21)=0,T$56&lt;Rates!$D$71),$D$115,0),0)</f>
        <v/>
      </c>
      <c r="U128" s="68">
        <f>IF(U$56&lt;=Rates!$D$71,$F$115*(1+$C$22)^MOD(U$56-1,$C$21)*U$65-($F$115-$G$115)-IF(AND(MOD(U$56,$C$21)=0,U$56&lt;Rates!$D$71),$D$115,0),0)</f>
        <v/>
      </c>
      <c r="V128" s="68">
        <f>IF(V$56&lt;=Rates!$D$71,$F$115*(1+$C$22)^MOD(V$56-1,$C$21)*V$65-($F$115-$G$115)-IF(AND(MOD(V$56,$C$21)=0,V$56&lt;Rates!$D$71),$D$115,0),0)</f>
        <v/>
      </c>
      <c r="W128" s="68">
        <f>IF(W$56&lt;=Rates!$D$71,$F$115*(1+$C$22)^MOD(W$56-1,$C$21)*W$65-($F$115-$G$115)-IF(AND(MOD(W$56,$C$21)=0,W$56&lt;Rates!$D$71),$D$115,0),0)</f>
        <v/>
      </c>
      <c r="X128" s="68">
        <f>IF(X$56&lt;=Rates!$D$71,$F$115*(1+$C$22)^MOD(X$56-1,$C$21)*X$65-($F$115-$G$115)-IF(AND(MOD(X$56,$C$21)=0,X$56&lt;Rates!$D$71),$D$115,0),0)</f>
        <v/>
      </c>
      <c r="Y128" s="68">
        <f>IF(Y$56&lt;=Rates!$D$71,$F$115*(1+$C$22)^MOD(Y$56-1,$C$21)*Y$65-($F$115-$G$115)-IF(AND(MOD(Y$56,$C$21)=0,Y$56&lt;Rates!$D$71),$D$115,0),0)</f>
        <v/>
      </c>
      <c r="Z128" s="68">
        <f>IF(Z$56&lt;=Rates!$D$71,$F$115*(1+$C$22)^MOD(Z$56-1,$C$21)*Z$65-($F$115-$G$115)-IF(AND(MOD(Z$56,$C$21)=0,Z$56&lt;Rates!$D$71),$D$115,0),0)</f>
        <v/>
      </c>
      <c r="AA128" s="68">
        <f>IF(AA$56&lt;=Rates!$D$71,$F$115*(1+$C$22)^MOD(AA$56-1,$C$21)*AA$65-($F$115-$G$115)-IF(AND(MOD(AA$56,$C$21)=0,AA$56&lt;Rates!$D$71),$D$115,0),0)</f>
        <v/>
      </c>
      <c r="AB128" s="68">
        <f>IF(AB$56&lt;=Rates!$D$71,$F$115*(1+$C$22)^MOD(AB$56-1,$C$21)*AB$65-($F$115-$G$115)-IF(AND(MOD(AB$56,$C$21)=0,AB$56&lt;Rates!$D$71),$D$115,0),0)</f>
        <v/>
      </c>
    </row>
    <row r="129">
      <c r="A129" s="68" t="inlineStr">
        <is>
          <t>helper tier 3 decay_flat</t>
        </is>
      </c>
      <c r="C129" s="68">
        <f>-$E$115</f>
        <v/>
      </c>
      <c r="D129" s="68">
        <f>IF(D$56&lt;=Rates!$D$71,$F$115*(1+$C$23)^MOD(D$56-1,$C$21)*D$65-($F$115-$G$115)-IF(AND(MOD(D$56,$C$21)=0,D$56&lt;Rates!$D$71),$D$115,0),0)</f>
        <v/>
      </c>
      <c r="E129" s="68">
        <f>IF(E$56&lt;=Rates!$D$71,$F$115*(1+$C$23)^MOD(E$56-1,$C$21)*E$65-($F$115-$G$115)-IF(AND(MOD(E$56,$C$21)=0,E$56&lt;Rates!$D$71),$D$115,0),0)</f>
        <v/>
      </c>
      <c r="F129" s="68">
        <f>IF(F$56&lt;=Rates!$D$71,$F$115*(1+$C$23)^MOD(F$56-1,$C$21)*F$65-($F$115-$G$115)-IF(AND(MOD(F$56,$C$21)=0,F$56&lt;Rates!$D$71),$D$115,0),0)</f>
        <v/>
      </c>
      <c r="G129" s="68">
        <f>IF(G$56&lt;=Rates!$D$71,$F$115*(1+$C$23)^MOD(G$56-1,$C$21)*G$65-($F$115-$G$115)-IF(AND(MOD(G$56,$C$21)=0,G$56&lt;Rates!$D$71),$D$115,0),0)</f>
        <v/>
      </c>
      <c r="H129" s="68">
        <f>IF(H$56&lt;=Rates!$D$71,$F$115*(1+$C$23)^MOD(H$56-1,$C$21)*H$65-($F$115-$G$115)-IF(AND(MOD(H$56,$C$21)=0,H$56&lt;Rates!$D$71),$D$115,0),0)</f>
        <v/>
      </c>
      <c r="I129" s="68">
        <f>IF(I$56&lt;=Rates!$D$71,$F$115*(1+$C$23)^MOD(I$56-1,$C$21)*I$65-($F$115-$G$115)-IF(AND(MOD(I$56,$C$21)=0,I$56&lt;Rates!$D$71),$D$115,0),0)</f>
        <v/>
      </c>
      <c r="J129" s="68">
        <f>IF(J$56&lt;=Rates!$D$71,$F$115*(1+$C$23)^MOD(J$56-1,$C$21)*J$65-($F$115-$G$115)-IF(AND(MOD(J$56,$C$21)=0,J$56&lt;Rates!$D$71),$D$115,0),0)</f>
        <v/>
      </c>
      <c r="K129" s="68">
        <f>IF(K$56&lt;=Rates!$D$71,$F$115*(1+$C$23)^MOD(K$56-1,$C$21)*K$65-($F$115-$G$115)-IF(AND(MOD(K$56,$C$21)=0,K$56&lt;Rates!$D$71),$D$115,0),0)</f>
        <v/>
      </c>
      <c r="L129" s="68">
        <f>IF(L$56&lt;=Rates!$D$71,$F$115*(1+$C$23)^MOD(L$56-1,$C$21)*L$65-($F$115-$G$115)-IF(AND(MOD(L$56,$C$21)=0,L$56&lt;Rates!$D$71),$D$115,0),0)</f>
        <v/>
      </c>
      <c r="M129" s="68">
        <f>IF(M$56&lt;=Rates!$D$71,$F$115*(1+$C$23)^MOD(M$56-1,$C$21)*M$65-($F$115-$G$115)-IF(AND(MOD(M$56,$C$21)=0,M$56&lt;Rates!$D$71),$D$115,0),0)</f>
        <v/>
      </c>
      <c r="N129" s="68">
        <f>IF(N$56&lt;=Rates!$D$71,$F$115*(1+$C$23)^MOD(N$56-1,$C$21)*N$65-($F$115-$G$115)-IF(AND(MOD(N$56,$C$21)=0,N$56&lt;Rates!$D$71),$D$115,0),0)</f>
        <v/>
      </c>
      <c r="O129" s="68">
        <f>IF(O$56&lt;=Rates!$D$71,$F$115*(1+$C$23)^MOD(O$56-1,$C$21)*O$65-($F$115-$G$115)-IF(AND(MOD(O$56,$C$21)=0,O$56&lt;Rates!$D$71),$D$115,0),0)</f>
        <v/>
      </c>
      <c r="P129" s="68">
        <f>IF(P$56&lt;=Rates!$D$71,$F$115*(1+$C$23)^MOD(P$56-1,$C$21)*P$65-($F$115-$G$115)-IF(AND(MOD(P$56,$C$21)=0,P$56&lt;Rates!$D$71),$D$115,0),0)</f>
        <v/>
      </c>
      <c r="Q129" s="68">
        <f>IF(Q$56&lt;=Rates!$D$71,$F$115*(1+$C$23)^MOD(Q$56-1,$C$21)*Q$65-($F$115-$G$115)-IF(AND(MOD(Q$56,$C$21)=0,Q$56&lt;Rates!$D$71),$D$115,0),0)</f>
        <v/>
      </c>
      <c r="R129" s="68">
        <f>IF(R$56&lt;=Rates!$D$71,$F$115*(1+$C$23)^MOD(R$56-1,$C$21)*R$65-($F$115-$G$115)-IF(AND(MOD(R$56,$C$21)=0,R$56&lt;Rates!$D$71),$D$115,0),0)</f>
        <v/>
      </c>
      <c r="S129" s="68">
        <f>IF(S$56&lt;=Rates!$D$71,$F$115*(1+$C$23)^MOD(S$56-1,$C$21)*S$65-($F$115-$G$115)-IF(AND(MOD(S$56,$C$21)=0,S$56&lt;Rates!$D$71),$D$115,0),0)</f>
        <v/>
      </c>
      <c r="T129" s="68">
        <f>IF(T$56&lt;=Rates!$D$71,$F$115*(1+$C$23)^MOD(T$56-1,$C$21)*T$65-($F$115-$G$115)-IF(AND(MOD(T$56,$C$21)=0,T$56&lt;Rates!$D$71),$D$115,0),0)</f>
        <v/>
      </c>
      <c r="U129" s="68">
        <f>IF(U$56&lt;=Rates!$D$71,$F$115*(1+$C$23)^MOD(U$56-1,$C$21)*U$65-($F$115-$G$115)-IF(AND(MOD(U$56,$C$21)=0,U$56&lt;Rates!$D$71),$D$115,0),0)</f>
        <v/>
      </c>
      <c r="V129" s="68">
        <f>IF(V$56&lt;=Rates!$D$71,$F$115*(1+$C$23)^MOD(V$56-1,$C$21)*V$65-($F$115-$G$115)-IF(AND(MOD(V$56,$C$21)=0,V$56&lt;Rates!$D$71),$D$115,0),0)</f>
        <v/>
      </c>
      <c r="W129" s="68">
        <f>IF(W$56&lt;=Rates!$D$71,$F$115*(1+$C$23)^MOD(W$56-1,$C$21)*W$65-($F$115-$G$115)-IF(AND(MOD(W$56,$C$21)=0,W$56&lt;Rates!$D$71),$D$115,0),0)</f>
        <v/>
      </c>
      <c r="X129" s="68">
        <f>IF(X$56&lt;=Rates!$D$71,$F$115*(1+$C$23)^MOD(X$56-1,$C$21)*X$65-($F$115-$G$115)-IF(AND(MOD(X$56,$C$21)=0,X$56&lt;Rates!$D$71),$D$115,0),0)</f>
        <v/>
      </c>
      <c r="Y129" s="68">
        <f>IF(Y$56&lt;=Rates!$D$71,$F$115*(1+$C$23)^MOD(Y$56-1,$C$21)*Y$65-($F$115-$G$115)-IF(AND(MOD(Y$56,$C$21)=0,Y$56&lt;Rates!$D$71),$D$115,0),0)</f>
        <v/>
      </c>
      <c r="Z129" s="68">
        <f>IF(Z$56&lt;=Rates!$D$71,$F$115*(1+$C$23)^MOD(Z$56-1,$C$21)*Z$65-($F$115-$G$115)-IF(AND(MOD(Z$56,$C$21)=0,Z$56&lt;Rates!$D$71),$D$115,0),0)</f>
        <v/>
      </c>
      <c r="AA129" s="68">
        <f>IF(AA$56&lt;=Rates!$D$71,$F$115*(1+$C$23)^MOD(AA$56-1,$C$21)*AA$65-($F$115-$G$115)-IF(AND(MOD(AA$56,$C$21)=0,AA$56&lt;Rates!$D$71),$D$115,0),0)</f>
        <v/>
      </c>
      <c r="AB129" s="68">
        <f>IF(AB$56&lt;=Rates!$D$71,$F$115*(1+$C$23)^MOD(AB$56-1,$C$21)*AB$65-($F$115-$G$115)-IF(AND(MOD(AB$56,$C$21)=0,AB$56&lt;Rates!$D$71),$D$115,0),0)</f>
        <v/>
      </c>
    </row>
    <row r="130">
      <c r="A130" s="68" t="inlineStr">
        <is>
          <t>helper tier 4 decay</t>
        </is>
      </c>
      <c r="C130" s="68">
        <f>-$E$116</f>
        <v/>
      </c>
      <c r="D130" s="68">
        <f>IF(D$56&lt;=Rates!$D$71,$F$116*(1+$C$22)^MOD(D$56-1,$C$21)*D$65-($F$116-$G$116)-IF(AND(MOD(D$56,$C$21)=0,D$56&lt;Rates!$D$71),$D$116,0),0)</f>
        <v/>
      </c>
      <c r="E130" s="68">
        <f>IF(E$56&lt;=Rates!$D$71,$F$116*(1+$C$22)^MOD(E$56-1,$C$21)*E$65-($F$116-$G$116)-IF(AND(MOD(E$56,$C$21)=0,E$56&lt;Rates!$D$71),$D$116,0),0)</f>
        <v/>
      </c>
      <c r="F130" s="68">
        <f>IF(F$56&lt;=Rates!$D$71,$F$116*(1+$C$22)^MOD(F$56-1,$C$21)*F$65-($F$116-$G$116)-IF(AND(MOD(F$56,$C$21)=0,F$56&lt;Rates!$D$71),$D$116,0),0)</f>
        <v/>
      </c>
      <c r="G130" s="68">
        <f>IF(G$56&lt;=Rates!$D$71,$F$116*(1+$C$22)^MOD(G$56-1,$C$21)*G$65-($F$116-$G$116)-IF(AND(MOD(G$56,$C$21)=0,G$56&lt;Rates!$D$71),$D$116,0),0)</f>
        <v/>
      </c>
      <c r="H130" s="68">
        <f>IF(H$56&lt;=Rates!$D$71,$F$116*(1+$C$22)^MOD(H$56-1,$C$21)*H$65-($F$116-$G$116)-IF(AND(MOD(H$56,$C$21)=0,H$56&lt;Rates!$D$71),$D$116,0),0)</f>
        <v/>
      </c>
      <c r="I130" s="68">
        <f>IF(I$56&lt;=Rates!$D$71,$F$116*(1+$C$22)^MOD(I$56-1,$C$21)*I$65-($F$116-$G$116)-IF(AND(MOD(I$56,$C$21)=0,I$56&lt;Rates!$D$71),$D$116,0),0)</f>
        <v/>
      </c>
      <c r="J130" s="68">
        <f>IF(J$56&lt;=Rates!$D$71,$F$116*(1+$C$22)^MOD(J$56-1,$C$21)*J$65-($F$116-$G$116)-IF(AND(MOD(J$56,$C$21)=0,J$56&lt;Rates!$D$71),$D$116,0),0)</f>
        <v/>
      </c>
      <c r="K130" s="68">
        <f>IF(K$56&lt;=Rates!$D$71,$F$116*(1+$C$22)^MOD(K$56-1,$C$21)*K$65-($F$116-$G$116)-IF(AND(MOD(K$56,$C$21)=0,K$56&lt;Rates!$D$71),$D$116,0),0)</f>
        <v/>
      </c>
      <c r="L130" s="68">
        <f>IF(L$56&lt;=Rates!$D$71,$F$116*(1+$C$22)^MOD(L$56-1,$C$21)*L$65-($F$116-$G$116)-IF(AND(MOD(L$56,$C$21)=0,L$56&lt;Rates!$D$71),$D$116,0),0)</f>
        <v/>
      </c>
      <c r="M130" s="68">
        <f>IF(M$56&lt;=Rates!$D$71,$F$116*(1+$C$22)^MOD(M$56-1,$C$21)*M$65-($F$116-$G$116)-IF(AND(MOD(M$56,$C$21)=0,M$56&lt;Rates!$D$71),$D$116,0),0)</f>
        <v/>
      </c>
      <c r="N130" s="68">
        <f>IF(N$56&lt;=Rates!$D$71,$F$116*(1+$C$22)^MOD(N$56-1,$C$21)*N$65-($F$116-$G$116)-IF(AND(MOD(N$56,$C$21)=0,N$56&lt;Rates!$D$71),$D$116,0),0)</f>
        <v/>
      </c>
      <c r="O130" s="68">
        <f>IF(O$56&lt;=Rates!$D$71,$F$116*(1+$C$22)^MOD(O$56-1,$C$21)*O$65-($F$116-$G$116)-IF(AND(MOD(O$56,$C$21)=0,O$56&lt;Rates!$D$71),$D$116,0),0)</f>
        <v/>
      </c>
      <c r="P130" s="68">
        <f>IF(P$56&lt;=Rates!$D$71,$F$116*(1+$C$22)^MOD(P$56-1,$C$21)*P$65-($F$116-$G$116)-IF(AND(MOD(P$56,$C$21)=0,P$56&lt;Rates!$D$71),$D$116,0),0)</f>
        <v/>
      </c>
      <c r="Q130" s="68">
        <f>IF(Q$56&lt;=Rates!$D$71,$F$116*(1+$C$22)^MOD(Q$56-1,$C$21)*Q$65-($F$116-$G$116)-IF(AND(MOD(Q$56,$C$21)=0,Q$56&lt;Rates!$D$71),$D$116,0),0)</f>
        <v/>
      </c>
      <c r="R130" s="68">
        <f>IF(R$56&lt;=Rates!$D$71,$F$116*(1+$C$22)^MOD(R$56-1,$C$21)*R$65-($F$116-$G$116)-IF(AND(MOD(R$56,$C$21)=0,R$56&lt;Rates!$D$71),$D$116,0),0)</f>
        <v/>
      </c>
      <c r="S130" s="68">
        <f>IF(S$56&lt;=Rates!$D$71,$F$116*(1+$C$22)^MOD(S$56-1,$C$21)*S$65-($F$116-$G$116)-IF(AND(MOD(S$56,$C$21)=0,S$56&lt;Rates!$D$71),$D$116,0),0)</f>
        <v/>
      </c>
      <c r="T130" s="68">
        <f>IF(T$56&lt;=Rates!$D$71,$F$116*(1+$C$22)^MOD(T$56-1,$C$21)*T$65-($F$116-$G$116)-IF(AND(MOD(T$56,$C$21)=0,T$56&lt;Rates!$D$71),$D$116,0),0)</f>
        <v/>
      </c>
      <c r="U130" s="68">
        <f>IF(U$56&lt;=Rates!$D$71,$F$116*(1+$C$22)^MOD(U$56-1,$C$21)*U$65-($F$116-$G$116)-IF(AND(MOD(U$56,$C$21)=0,U$56&lt;Rates!$D$71),$D$116,0),0)</f>
        <v/>
      </c>
      <c r="V130" s="68">
        <f>IF(V$56&lt;=Rates!$D$71,$F$116*(1+$C$22)^MOD(V$56-1,$C$21)*V$65-($F$116-$G$116)-IF(AND(MOD(V$56,$C$21)=0,V$56&lt;Rates!$D$71),$D$116,0),0)</f>
        <v/>
      </c>
      <c r="W130" s="68">
        <f>IF(W$56&lt;=Rates!$D$71,$F$116*(1+$C$22)^MOD(W$56-1,$C$21)*W$65-($F$116-$G$116)-IF(AND(MOD(W$56,$C$21)=0,W$56&lt;Rates!$D$71),$D$116,0),0)</f>
        <v/>
      </c>
      <c r="X130" s="68">
        <f>IF(X$56&lt;=Rates!$D$71,$F$116*(1+$C$22)^MOD(X$56-1,$C$21)*X$65-($F$116-$G$116)-IF(AND(MOD(X$56,$C$21)=0,X$56&lt;Rates!$D$71),$D$116,0),0)</f>
        <v/>
      </c>
      <c r="Y130" s="68">
        <f>IF(Y$56&lt;=Rates!$D$71,$F$116*(1+$C$22)^MOD(Y$56-1,$C$21)*Y$65-($F$116-$G$116)-IF(AND(MOD(Y$56,$C$21)=0,Y$56&lt;Rates!$D$71),$D$116,0),0)</f>
        <v/>
      </c>
      <c r="Z130" s="68">
        <f>IF(Z$56&lt;=Rates!$D$71,$F$116*(1+$C$22)^MOD(Z$56-1,$C$21)*Z$65-($F$116-$G$116)-IF(AND(MOD(Z$56,$C$21)=0,Z$56&lt;Rates!$D$71),$D$116,0),0)</f>
        <v/>
      </c>
      <c r="AA130" s="68">
        <f>IF(AA$56&lt;=Rates!$D$71,$F$116*(1+$C$22)^MOD(AA$56-1,$C$21)*AA$65-($F$116-$G$116)-IF(AND(MOD(AA$56,$C$21)=0,AA$56&lt;Rates!$D$71),$D$116,0),0)</f>
        <v/>
      </c>
      <c r="AB130" s="68">
        <f>IF(AB$56&lt;=Rates!$D$71,$F$116*(1+$C$22)^MOD(AB$56-1,$C$21)*AB$65-($F$116-$G$116)-IF(AND(MOD(AB$56,$C$21)=0,AB$56&lt;Rates!$D$71),$D$116,0),0)</f>
        <v/>
      </c>
    </row>
    <row r="131">
      <c r="A131" s="68" t="inlineStr">
        <is>
          <t>helper tier 4 decay_flat</t>
        </is>
      </c>
      <c r="C131" s="68">
        <f>-$E$116</f>
        <v/>
      </c>
      <c r="D131" s="68">
        <f>IF(D$56&lt;=Rates!$D$71,$F$116*(1+$C$23)^MOD(D$56-1,$C$21)*D$65-($F$116-$G$116)-IF(AND(MOD(D$56,$C$21)=0,D$56&lt;Rates!$D$71),$D$116,0),0)</f>
        <v/>
      </c>
      <c r="E131" s="68">
        <f>IF(E$56&lt;=Rates!$D$71,$F$116*(1+$C$23)^MOD(E$56-1,$C$21)*E$65-($F$116-$G$116)-IF(AND(MOD(E$56,$C$21)=0,E$56&lt;Rates!$D$71),$D$116,0),0)</f>
        <v/>
      </c>
      <c r="F131" s="68">
        <f>IF(F$56&lt;=Rates!$D$71,$F$116*(1+$C$23)^MOD(F$56-1,$C$21)*F$65-($F$116-$G$116)-IF(AND(MOD(F$56,$C$21)=0,F$56&lt;Rates!$D$71),$D$116,0),0)</f>
        <v/>
      </c>
      <c r="G131" s="68">
        <f>IF(G$56&lt;=Rates!$D$71,$F$116*(1+$C$23)^MOD(G$56-1,$C$21)*G$65-($F$116-$G$116)-IF(AND(MOD(G$56,$C$21)=0,G$56&lt;Rates!$D$71),$D$116,0),0)</f>
        <v/>
      </c>
      <c r="H131" s="68">
        <f>IF(H$56&lt;=Rates!$D$71,$F$116*(1+$C$23)^MOD(H$56-1,$C$21)*H$65-($F$116-$G$116)-IF(AND(MOD(H$56,$C$21)=0,H$56&lt;Rates!$D$71),$D$116,0),0)</f>
        <v/>
      </c>
      <c r="I131" s="68">
        <f>IF(I$56&lt;=Rates!$D$71,$F$116*(1+$C$23)^MOD(I$56-1,$C$21)*I$65-($F$116-$G$116)-IF(AND(MOD(I$56,$C$21)=0,I$56&lt;Rates!$D$71),$D$116,0),0)</f>
        <v/>
      </c>
      <c r="J131" s="68">
        <f>IF(J$56&lt;=Rates!$D$71,$F$116*(1+$C$23)^MOD(J$56-1,$C$21)*J$65-($F$116-$G$116)-IF(AND(MOD(J$56,$C$21)=0,J$56&lt;Rates!$D$71),$D$116,0),0)</f>
        <v/>
      </c>
      <c r="K131" s="68">
        <f>IF(K$56&lt;=Rates!$D$71,$F$116*(1+$C$23)^MOD(K$56-1,$C$21)*K$65-($F$116-$G$116)-IF(AND(MOD(K$56,$C$21)=0,K$56&lt;Rates!$D$71),$D$116,0),0)</f>
        <v/>
      </c>
      <c r="L131" s="68">
        <f>IF(L$56&lt;=Rates!$D$71,$F$116*(1+$C$23)^MOD(L$56-1,$C$21)*L$65-($F$116-$G$116)-IF(AND(MOD(L$56,$C$21)=0,L$56&lt;Rates!$D$71),$D$116,0),0)</f>
        <v/>
      </c>
      <c r="M131" s="68">
        <f>IF(M$56&lt;=Rates!$D$71,$F$116*(1+$C$23)^MOD(M$56-1,$C$21)*M$65-($F$116-$G$116)-IF(AND(MOD(M$56,$C$21)=0,M$56&lt;Rates!$D$71),$D$116,0),0)</f>
        <v/>
      </c>
      <c r="N131" s="68">
        <f>IF(N$56&lt;=Rates!$D$71,$F$116*(1+$C$23)^MOD(N$56-1,$C$21)*N$65-($F$116-$G$116)-IF(AND(MOD(N$56,$C$21)=0,N$56&lt;Rates!$D$71),$D$116,0),0)</f>
        <v/>
      </c>
      <c r="O131" s="68">
        <f>IF(O$56&lt;=Rates!$D$71,$F$116*(1+$C$23)^MOD(O$56-1,$C$21)*O$65-($F$116-$G$116)-IF(AND(MOD(O$56,$C$21)=0,O$56&lt;Rates!$D$71),$D$116,0),0)</f>
        <v/>
      </c>
      <c r="P131" s="68">
        <f>IF(P$56&lt;=Rates!$D$71,$F$116*(1+$C$23)^MOD(P$56-1,$C$21)*P$65-($F$116-$G$116)-IF(AND(MOD(P$56,$C$21)=0,P$56&lt;Rates!$D$71),$D$116,0),0)</f>
        <v/>
      </c>
      <c r="Q131" s="68">
        <f>IF(Q$56&lt;=Rates!$D$71,$F$116*(1+$C$23)^MOD(Q$56-1,$C$21)*Q$65-($F$116-$G$116)-IF(AND(MOD(Q$56,$C$21)=0,Q$56&lt;Rates!$D$71),$D$116,0),0)</f>
        <v/>
      </c>
      <c r="R131" s="68">
        <f>IF(R$56&lt;=Rates!$D$71,$F$116*(1+$C$23)^MOD(R$56-1,$C$21)*R$65-($F$116-$G$116)-IF(AND(MOD(R$56,$C$21)=0,R$56&lt;Rates!$D$71),$D$116,0),0)</f>
        <v/>
      </c>
      <c r="S131" s="68">
        <f>IF(S$56&lt;=Rates!$D$71,$F$116*(1+$C$23)^MOD(S$56-1,$C$21)*S$65-($F$116-$G$116)-IF(AND(MOD(S$56,$C$21)=0,S$56&lt;Rates!$D$71),$D$116,0),0)</f>
        <v/>
      </c>
      <c r="T131" s="68">
        <f>IF(T$56&lt;=Rates!$D$71,$F$116*(1+$C$23)^MOD(T$56-1,$C$21)*T$65-($F$116-$G$116)-IF(AND(MOD(T$56,$C$21)=0,T$56&lt;Rates!$D$71),$D$116,0),0)</f>
        <v/>
      </c>
      <c r="U131" s="68">
        <f>IF(U$56&lt;=Rates!$D$71,$F$116*(1+$C$23)^MOD(U$56-1,$C$21)*U$65-($F$116-$G$116)-IF(AND(MOD(U$56,$C$21)=0,U$56&lt;Rates!$D$71),$D$116,0),0)</f>
        <v/>
      </c>
      <c r="V131" s="68">
        <f>IF(V$56&lt;=Rates!$D$71,$F$116*(1+$C$23)^MOD(V$56-1,$C$21)*V$65-($F$116-$G$116)-IF(AND(MOD(V$56,$C$21)=0,V$56&lt;Rates!$D$71),$D$116,0),0)</f>
        <v/>
      </c>
      <c r="W131" s="68">
        <f>IF(W$56&lt;=Rates!$D$71,$F$116*(1+$C$23)^MOD(W$56-1,$C$21)*W$65-($F$116-$G$116)-IF(AND(MOD(W$56,$C$21)=0,W$56&lt;Rates!$D$71),$D$116,0),0)</f>
        <v/>
      </c>
      <c r="X131" s="68">
        <f>IF(X$56&lt;=Rates!$D$71,$F$116*(1+$C$23)^MOD(X$56-1,$C$21)*X$65-($F$116-$G$116)-IF(AND(MOD(X$56,$C$21)=0,X$56&lt;Rates!$D$71),$D$116,0),0)</f>
        <v/>
      </c>
      <c r="Y131" s="68">
        <f>IF(Y$56&lt;=Rates!$D$71,$F$116*(1+$C$23)^MOD(Y$56-1,$C$21)*Y$65-($F$116-$G$116)-IF(AND(MOD(Y$56,$C$21)=0,Y$56&lt;Rates!$D$71),$D$116,0),0)</f>
        <v/>
      </c>
      <c r="Z131" s="68">
        <f>IF(Z$56&lt;=Rates!$D$71,$F$116*(1+$C$23)^MOD(Z$56-1,$C$21)*Z$65-($F$116-$G$116)-IF(AND(MOD(Z$56,$C$21)=0,Z$56&lt;Rates!$D$71),$D$116,0),0)</f>
        <v/>
      </c>
      <c r="AA131" s="68">
        <f>IF(AA$56&lt;=Rates!$D$71,$F$116*(1+$C$23)^MOD(AA$56-1,$C$21)*AA$65-($F$116-$G$116)-IF(AND(MOD(AA$56,$C$21)=0,AA$56&lt;Rates!$D$71),$D$116,0),0)</f>
        <v/>
      </c>
      <c r="AB131" s="68">
        <f>IF(AB$56&lt;=Rates!$D$71,$F$116*(1+$C$23)^MOD(AB$56-1,$C$21)*AB$65-($F$116-$G$116)-IF(AND(MOD(AB$56,$C$21)=0,AB$56&lt;Rates!$D$71),$D$116,0),0)</f>
        <v/>
      </c>
    </row>
    <row r="132">
      <c r="A132" s="68" t="inlineStr">
        <is>
          <t>helper tier 5 decay</t>
        </is>
      </c>
      <c r="C132" s="68">
        <f>-$E$117</f>
        <v/>
      </c>
      <c r="D132" s="68">
        <f>IF(D$56&lt;=Rates!$D$71,$F$117*(1+$C$22)^MOD(D$56-1,$C$21)*D$65-($F$117-$G$117)-IF(AND(MOD(D$56,$C$21)=0,D$56&lt;Rates!$D$71),$D$117,0),0)</f>
        <v/>
      </c>
      <c r="E132" s="68">
        <f>IF(E$56&lt;=Rates!$D$71,$F$117*(1+$C$22)^MOD(E$56-1,$C$21)*E$65-($F$117-$G$117)-IF(AND(MOD(E$56,$C$21)=0,E$56&lt;Rates!$D$71),$D$117,0),0)</f>
        <v/>
      </c>
      <c r="F132" s="68">
        <f>IF(F$56&lt;=Rates!$D$71,$F$117*(1+$C$22)^MOD(F$56-1,$C$21)*F$65-($F$117-$G$117)-IF(AND(MOD(F$56,$C$21)=0,F$56&lt;Rates!$D$71),$D$117,0),0)</f>
        <v/>
      </c>
      <c r="G132" s="68">
        <f>IF(G$56&lt;=Rates!$D$71,$F$117*(1+$C$22)^MOD(G$56-1,$C$21)*G$65-($F$117-$G$117)-IF(AND(MOD(G$56,$C$21)=0,G$56&lt;Rates!$D$71),$D$117,0),0)</f>
        <v/>
      </c>
      <c r="H132" s="68">
        <f>IF(H$56&lt;=Rates!$D$71,$F$117*(1+$C$22)^MOD(H$56-1,$C$21)*H$65-($F$117-$G$117)-IF(AND(MOD(H$56,$C$21)=0,H$56&lt;Rates!$D$71),$D$117,0),0)</f>
        <v/>
      </c>
      <c r="I132" s="68">
        <f>IF(I$56&lt;=Rates!$D$71,$F$117*(1+$C$22)^MOD(I$56-1,$C$21)*I$65-($F$117-$G$117)-IF(AND(MOD(I$56,$C$21)=0,I$56&lt;Rates!$D$71),$D$117,0),0)</f>
        <v/>
      </c>
      <c r="J132" s="68">
        <f>IF(J$56&lt;=Rates!$D$71,$F$117*(1+$C$22)^MOD(J$56-1,$C$21)*J$65-($F$117-$G$117)-IF(AND(MOD(J$56,$C$21)=0,J$56&lt;Rates!$D$71),$D$117,0),0)</f>
        <v/>
      </c>
      <c r="K132" s="68">
        <f>IF(K$56&lt;=Rates!$D$71,$F$117*(1+$C$22)^MOD(K$56-1,$C$21)*K$65-($F$117-$G$117)-IF(AND(MOD(K$56,$C$21)=0,K$56&lt;Rates!$D$71),$D$117,0),0)</f>
        <v/>
      </c>
      <c r="L132" s="68">
        <f>IF(L$56&lt;=Rates!$D$71,$F$117*(1+$C$22)^MOD(L$56-1,$C$21)*L$65-($F$117-$G$117)-IF(AND(MOD(L$56,$C$21)=0,L$56&lt;Rates!$D$71),$D$117,0),0)</f>
        <v/>
      </c>
      <c r="M132" s="68">
        <f>IF(M$56&lt;=Rates!$D$71,$F$117*(1+$C$22)^MOD(M$56-1,$C$21)*M$65-($F$117-$G$117)-IF(AND(MOD(M$56,$C$21)=0,M$56&lt;Rates!$D$71),$D$117,0),0)</f>
        <v/>
      </c>
      <c r="N132" s="68">
        <f>IF(N$56&lt;=Rates!$D$71,$F$117*(1+$C$22)^MOD(N$56-1,$C$21)*N$65-($F$117-$G$117)-IF(AND(MOD(N$56,$C$21)=0,N$56&lt;Rates!$D$71),$D$117,0),0)</f>
        <v/>
      </c>
      <c r="O132" s="68">
        <f>IF(O$56&lt;=Rates!$D$71,$F$117*(1+$C$22)^MOD(O$56-1,$C$21)*O$65-($F$117-$G$117)-IF(AND(MOD(O$56,$C$21)=0,O$56&lt;Rates!$D$71),$D$117,0),0)</f>
        <v/>
      </c>
      <c r="P132" s="68">
        <f>IF(P$56&lt;=Rates!$D$71,$F$117*(1+$C$22)^MOD(P$56-1,$C$21)*P$65-($F$117-$G$117)-IF(AND(MOD(P$56,$C$21)=0,P$56&lt;Rates!$D$71),$D$117,0),0)</f>
        <v/>
      </c>
      <c r="Q132" s="68">
        <f>IF(Q$56&lt;=Rates!$D$71,$F$117*(1+$C$22)^MOD(Q$56-1,$C$21)*Q$65-($F$117-$G$117)-IF(AND(MOD(Q$56,$C$21)=0,Q$56&lt;Rates!$D$71),$D$117,0),0)</f>
        <v/>
      </c>
      <c r="R132" s="68">
        <f>IF(R$56&lt;=Rates!$D$71,$F$117*(1+$C$22)^MOD(R$56-1,$C$21)*R$65-($F$117-$G$117)-IF(AND(MOD(R$56,$C$21)=0,R$56&lt;Rates!$D$71),$D$117,0),0)</f>
        <v/>
      </c>
      <c r="S132" s="68">
        <f>IF(S$56&lt;=Rates!$D$71,$F$117*(1+$C$22)^MOD(S$56-1,$C$21)*S$65-($F$117-$G$117)-IF(AND(MOD(S$56,$C$21)=0,S$56&lt;Rates!$D$71),$D$117,0),0)</f>
        <v/>
      </c>
      <c r="T132" s="68">
        <f>IF(T$56&lt;=Rates!$D$71,$F$117*(1+$C$22)^MOD(T$56-1,$C$21)*T$65-($F$117-$G$117)-IF(AND(MOD(T$56,$C$21)=0,T$56&lt;Rates!$D$71),$D$117,0),0)</f>
        <v/>
      </c>
      <c r="U132" s="68">
        <f>IF(U$56&lt;=Rates!$D$71,$F$117*(1+$C$22)^MOD(U$56-1,$C$21)*U$65-($F$117-$G$117)-IF(AND(MOD(U$56,$C$21)=0,U$56&lt;Rates!$D$71),$D$117,0),0)</f>
        <v/>
      </c>
      <c r="V132" s="68">
        <f>IF(V$56&lt;=Rates!$D$71,$F$117*(1+$C$22)^MOD(V$56-1,$C$21)*V$65-($F$117-$G$117)-IF(AND(MOD(V$56,$C$21)=0,V$56&lt;Rates!$D$71),$D$117,0),0)</f>
        <v/>
      </c>
      <c r="W132" s="68">
        <f>IF(W$56&lt;=Rates!$D$71,$F$117*(1+$C$22)^MOD(W$56-1,$C$21)*W$65-($F$117-$G$117)-IF(AND(MOD(W$56,$C$21)=0,W$56&lt;Rates!$D$71),$D$117,0),0)</f>
        <v/>
      </c>
      <c r="X132" s="68">
        <f>IF(X$56&lt;=Rates!$D$71,$F$117*(1+$C$22)^MOD(X$56-1,$C$21)*X$65-($F$117-$G$117)-IF(AND(MOD(X$56,$C$21)=0,X$56&lt;Rates!$D$71),$D$117,0),0)</f>
        <v/>
      </c>
      <c r="Y132" s="68">
        <f>IF(Y$56&lt;=Rates!$D$71,$F$117*(1+$C$22)^MOD(Y$56-1,$C$21)*Y$65-($F$117-$G$117)-IF(AND(MOD(Y$56,$C$21)=0,Y$56&lt;Rates!$D$71),$D$117,0),0)</f>
        <v/>
      </c>
      <c r="Z132" s="68">
        <f>IF(Z$56&lt;=Rates!$D$71,$F$117*(1+$C$22)^MOD(Z$56-1,$C$21)*Z$65-($F$117-$G$117)-IF(AND(MOD(Z$56,$C$21)=0,Z$56&lt;Rates!$D$71),$D$117,0),0)</f>
        <v/>
      </c>
      <c r="AA132" s="68">
        <f>IF(AA$56&lt;=Rates!$D$71,$F$117*(1+$C$22)^MOD(AA$56-1,$C$21)*AA$65-($F$117-$G$117)-IF(AND(MOD(AA$56,$C$21)=0,AA$56&lt;Rates!$D$71),$D$117,0),0)</f>
        <v/>
      </c>
      <c r="AB132" s="68">
        <f>IF(AB$56&lt;=Rates!$D$71,$F$117*(1+$C$22)^MOD(AB$56-1,$C$21)*AB$65-($F$117-$G$117)-IF(AND(MOD(AB$56,$C$21)=0,AB$56&lt;Rates!$D$71),$D$117,0),0)</f>
        <v/>
      </c>
    </row>
    <row r="133">
      <c r="A133" s="68" t="inlineStr">
        <is>
          <t>helper tier 5 decay_flat</t>
        </is>
      </c>
      <c r="C133" s="68">
        <f>-$E$117</f>
        <v/>
      </c>
      <c r="D133" s="68">
        <f>IF(D$56&lt;=Rates!$D$71,$F$117*(1+$C$23)^MOD(D$56-1,$C$21)*D$65-($F$117-$G$117)-IF(AND(MOD(D$56,$C$21)=0,D$56&lt;Rates!$D$71),$D$117,0),0)</f>
        <v/>
      </c>
      <c r="E133" s="68">
        <f>IF(E$56&lt;=Rates!$D$71,$F$117*(1+$C$23)^MOD(E$56-1,$C$21)*E$65-($F$117-$G$117)-IF(AND(MOD(E$56,$C$21)=0,E$56&lt;Rates!$D$71),$D$117,0),0)</f>
        <v/>
      </c>
      <c r="F133" s="68">
        <f>IF(F$56&lt;=Rates!$D$71,$F$117*(1+$C$23)^MOD(F$56-1,$C$21)*F$65-($F$117-$G$117)-IF(AND(MOD(F$56,$C$21)=0,F$56&lt;Rates!$D$71),$D$117,0),0)</f>
        <v/>
      </c>
      <c r="G133" s="68">
        <f>IF(G$56&lt;=Rates!$D$71,$F$117*(1+$C$23)^MOD(G$56-1,$C$21)*G$65-($F$117-$G$117)-IF(AND(MOD(G$56,$C$21)=0,G$56&lt;Rates!$D$71),$D$117,0),0)</f>
        <v/>
      </c>
      <c r="H133" s="68">
        <f>IF(H$56&lt;=Rates!$D$71,$F$117*(1+$C$23)^MOD(H$56-1,$C$21)*H$65-($F$117-$G$117)-IF(AND(MOD(H$56,$C$21)=0,H$56&lt;Rates!$D$71),$D$117,0),0)</f>
        <v/>
      </c>
      <c r="I133" s="68">
        <f>IF(I$56&lt;=Rates!$D$71,$F$117*(1+$C$23)^MOD(I$56-1,$C$21)*I$65-($F$117-$G$117)-IF(AND(MOD(I$56,$C$21)=0,I$56&lt;Rates!$D$71),$D$117,0),0)</f>
        <v/>
      </c>
      <c r="J133" s="68">
        <f>IF(J$56&lt;=Rates!$D$71,$F$117*(1+$C$23)^MOD(J$56-1,$C$21)*J$65-($F$117-$G$117)-IF(AND(MOD(J$56,$C$21)=0,J$56&lt;Rates!$D$71),$D$117,0),0)</f>
        <v/>
      </c>
      <c r="K133" s="68">
        <f>IF(K$56&lt;=Rates!$D$71,$F$117*(1+$C$23)^MOD(K$56-1,$C$21)*K$65-($F$117-$G$117)-IF(AND(MOD(K$56,$C$21)=0,K$56&lt;Rates!$D$71),$D$117,0),0)</f>
        <v/>
      </c>
      <c r="L133" s="68">
        <f>IF(L$56&lt;=Rates!$D$71,$F$117*(1+$C$23)^MOD(L$56-1,$C$21)*L$65-($F$117-$G$117)-IF(AND(MOD(L$56,$C$21)=0,L$56&lt;Rates!$D$71),$D$117,0),0)</f>
        <v/>
      </c>
      <c r="M133" s="68">
        <f>IF(M$56&lt;=Rates!$D$71,$F$117*(1+$C$23)^MOD(M$56-1,$C$21)*M$65-($F$117-$G$117)-IF(AND(MOD(M$56,$C$21)=0,M$56&lt;Rates!$D$71),$D$117,0),0)</f>
        <v/>
      </c>
      <c r="N133" s="68">
        <f>IF(N$56&lt;=Rates!$D$71,$F$117*(1+$C$23)^MOD(N$56-1,$C$21)*N$65-($F$117-$G$117)-IF(AND(MOD(N$56,$C$21)=0,N$56&lt;Rates!$D$71),$D$117,0),0)</f>
        <v/>
      </c>
      <c r="O133" s="68">
        <f>IF(O$56&lt;=Rates!$D$71,$F$117*(1+$C$23)^MOD(O$56-1,$C$21)*O$65-($F$117-$G$117)-IF(AND(MOD(O$56,$C$21)=0,O$56&lt;Rates!$D$71),$D$117,0),0)</f>
        <v/>
      </c>
      <c r="P133" s="68">
        <f>IF(P$56&lt;=Rates!$D$71,$F$117*(1+$C$23)^MOD(P$56-1,$C$21)*P$65-($F$117-$G$117)-IF(AND(MOD(P$56,$C$21)=0,P$56&lt;Rates!$D$71),$D$117,0),0)</f>
        <v/>
      </c>
      <c r="Q133" s="68">
        <f>IF(Q$56&lt;=Rates!$D$71,$F$117*(1+$C$23)^MOD(Q$56-1,$C$21)*Q$65-($F$117-$G$117)-IF(AND(MOD(Q$56,$C$21)=0,Q$56&lt;Rates!$D$71),$D$117,0),0)</f>
        <v/>
      </c>
      <c r="R133" s="68">
        <f>IF(R$56&lt;=Rates!$D$71,$F$117*(1+$C$23)^MOD(R$56-1,$C$21)*R$65-($F$117-$G$117)-IF(AND(MOD(R$56,$C$21)=0,R$56&lt;Rates!$D$71),$D$117,0),0)</f>
        <v/>
      </c>
      <c r="S133" s="68">
        <f>IF(S$56&lt;=Rates!$D$71,$F$117*(1+$C$23)^MOD(S$56-1,$C$21)*S$65-($F$117-$G$117)-IF(AND(MOD(S$56,$C$21)=0,S$56&lt;Rates!$D$71),$D$117,0),0)</f>
        <v/>
      </c>
      <c r="T133" s="68">
        <f>IF(T$56&lt;=Rates!$D$71,$F$117*(1+$C$23)^MOD(T$56-1,$C$21)*T$65-($F$117-$G$117)-IF(AND(MOD(T$56,$C$21)=0,T$56&lt;Rates!$D$71),$D$117,0),0)</f>
        <v/>
      </c>
      <c r="U133" s="68">
        <f>IF(U$56&lt;=Rates!$D$71,$F$117*(1+$C$23)^MOD(U$56-1,$C$21)*U$65-($F$117-$G$117)-IF(AND(MOD(U$56,$C$21)=0,U$56&lt;Rates!$D$71),$D$117,0),0)</f>
        <v/>
      </c>
      <c r="V133" s="68">
        <f>IF(V$56&lt;=Rates!$D$71,$F$117*(1+$C$23)^MOD(V$56-1,$C$21)*V$65-($F$117-$G$117)-IF(AND(MOD(V$56,$C$21)=0,V$56&lt;Rates!$D$71),$D$117,0),0)</f>
        <v/>
      </c>
      <c r="W133" s="68">
        <f>IF(W$56&lt;=Rates!$D$71,$F$117*(1+$C$23)^MOD(W$56-1,$C$21)*W$65-($F$117-$G$117)-IF(AND(MOD(W$56,$C$21)=0,W$56&lt;Rates!$D$71),$D$117,0),0)</f>
        <v/>
      </c>
      <c r="X133" s="68">
        <f>IF(X$56&lt;=Rates!$D$71,$F$117*(1+$C$23)^MOD(X$56-1,$C$21)*X$65-($F$117-$G$117)-IF(AND(MOD(X$56,$C$21)=0,X$56&lt;Rates!$D$71),$D$117,0),0)</f>
        <v/>
      </c>
      <c r="Y133" s="68">
        <f>IF(Y$56&lt;=Rates!$D$71,$F$117*(1+$C$23)^MOD(Y$56-1,$C$21)*Y$65-($F$117-$G$117)-IF(AND(MOD(Y$56,$C$21)=0,Y$56&lt;Rates!$D$71),$D$117,0),0)</f>
        <v/>
      </c>
      <c r="Z133" s="68">
        <f>IF(Z$56&lt;=Rates!$D$71,$F$117*(1+$C$23)^MOD(Z$56-1,$C$21)*Z$65-($F$117-$G$117)-IF(AND(MOD(Z$56,$C$21)=0,Z$56&lt;Rates!$D$71),$D$117,0),0)</f>
        <v/>
      </c>
      <c r="AA133" s="68">
        <f>IF(AA$56&lt;=Rates!$D$71,$F$117*(1+$C$23)^MOD(AA$56-1,$C$21)*AA$65-($F$117-$G$117)-IF(AND(MOD(AA$56,$C$21)=0,AA$56&lt;Rates!$D$71),$D$117,0),0)</f>
        <v/>
      </c>
      <c r="AB133" s="68">
        <f>IF(AB$56&lt;=Rates!$D$71,$F$117*(1+$C$23)^MOD(AB$56-1,$C$21)*AB$65-($F$117-$G$117)-IF(AND(MOD(AB$56,$C$21)=0,AB$56&lt;Rates!$D$71),$D$117,0),0)</f>
        <v/>
      </c>
    </row>
    <row r="134">
      <c r="A134" s="68" t="inlineStr">
        <is>
          <t>helper tier 6 decay</t>
        </is>
      </c>
      <c r="C134" s="68">
        <f>-$E$118</f>
        <v/>
      </c>
      <c r="D134" s="68">
        <f>IF(D$56&lt;=Rates!$D$71,$F$118*(1+$C$22)^MOD(D$56-1,$C$21)*D$65-($F$118-$G$118)-IF(AND(MOD(D$56,$C$21)=0,D$56&lt;Rates!$D$71),$D$118,0),0)</f>
        <v/>
      </c>
      <c r="E134" s="68">
        <f>IF(E$56&lt;=Rates!$D$71,$F$118*(1+$C$22)^MOD(E$56-1,$C$21)*E$65-($F$118-$G$118)-IF(AND(MOD(E$56,$C$21)=0,E$56&lt;Rates!$D$71),$D$118,0),0)</f>
        <v/>
      </c>
      <c r="F134" s="68">
        <f>IF(F$56&lt;=Rates!$D$71,$F$118*(1+$C$22)^MOD(F$56-1,$C$21)*F$65-($F$118-$G$118)-IF(AND(MOD(F$56,$C$21)=0,F$56&lt;Rates!$D$71),$D$118,0),0)</f>
        <v/>
      </c>
      <c r="G134" s="68">
        <f>IF(G$56&lt;=Rates!$D$71,$F$118*(1+$C$22)^MOD(G$56-1,$C$21)*G$65-($F$118-$G$118)-IF(AND(MOD(G$56,$C$21)=0,G$56&lt;Rates!$D$71),$D$118,0),0)</f>
        <v/>
      </c>
      <c r="H134" s="68">
        <f>IF(H$56&lt;=Rates!$D$71,$F$118*(1+$C$22)^MOD(H$56-1,$C$21)*H$65-($F$118-$G$118)-IF(AND(MOD(H$56,$C$21)=0,H$56&lt;Rates!$D$71),$D$118,0),0)</f>
        <v/>
      </c>
      <c r="I134" s="68">
        <f>IF(I$56&lt;=Rates!$D$71,$F$118*(1+$C$22)^MOD(I$56-1,$C$21)*I$65-($F$118-$G$118)-IF(AND(MOD(I$56,$C$21)=0,I$56&lt;Rates!$D$71),$D$118,0),0)</f>
        <v/>
      </c>
      <c r="J134" s="68">
        <f>IF(J$56&lt;=Rates!$D$71,$F$118*(1+$C$22)^MOD(J$56-1,$C$21)*J$65-($F$118-$G$118)-IF(AND(MOD(J$56,$C$21)=0,J$56&lt;Rates!$D$71),$D$118,0),0)</f>
        <v/>
      </c>
      <c r="K134" s="68">
        <f>IF(K$56&lt;=Rates!$D$71,$F$118*(1+$C$22)^MOD(K$56-1,$C$21)*K$65-($F$118-$G$118)-IF(AND(MOD(K$56,$C$21)=0,K$56&lt;Rates!$D$71),$D$118,0),0)</f>
        <v/>
      </c>
      <c r="L134" s="68">
        <f>IF(L$56&lt;=Rates!$D$71,$F$118*(1+$C$22)^MOD(L$56-1,$C$21)*L$65-($F$118-$G$118)-IF(AND(MOD(L$56,$C$21)=0,L$56&lt;Rates!$D$71),$D$118,0),0)</f>
        <v/>
      </c>
      <c r="M134" s="68">
        <f>IF(M$56&lt;=Rates!$D$71,$F$118*(1+$C$22)^MOD(M$56-1,$C$21)*M$65-($F$118-$G$118)-IF(AND(MOD(M$56,$C$21)=0,M$56&lt;Rates!$D$71),$D$118,0),0)</f>
        <v/>
      </c>
      <c r="N134" s="68">
        <f>IF(N$56&lt;=Rates!$D$71,$F$118*(1+$C$22)^MOD(N$56-1,$C$21)*N$65-($F$118-$G$118)-IF(AND(MOD(N$56,$C$21)=0,N$56&lt;Rates!$D$71),$D$118,0),0)</f>
        <v/>
      </c>
      <c r="O134" s="68">
        <f>IF(O$56&lt;=Rates!$D$71,$F$118*(1+$C$22)^MOD(O$56-1,$C$21)*O$65-($F$118-$G$118)-IF(AND(MOD(O$56,$C$21)=0,O$56&lt;Rates!$D$71),$D$118,0),0)</f>
        <v/>
      </c>
      <c r="P134" s="68">
        <f>IF(P$56&lt;=Rates!$D$71,$F$118*(1+$C$22)^MOD(P$56-1,$C$21)*P$65-($F$118-$G$118)-IF(AND(MOD(P$56,$C$21)=0,P$56&lt;Rates!$D$71),$D$118,0),0)</f>
        <v/>
      </c>
      <c r="Q134" s="68">
        <f>IF(Q$56&lt;=Rates!$D$71,$F$118*(1+$C$22)^MOD(Q$56-1,$C$21)*Q$65-($F$118-$G$118)-IF(AND(MOD(Q$56,$C$21)=0,Q$56&lt;Rates!$D$71),$D$118,0),0)</f>
        <v/>
      </c>
      <c r="R134" s="68">
        <f>IF(R$56&lt;=Rates!$D$71,$F$118*(1+$C$22)^MOD(R$56-1,$C$21)*R$65-($F$118-$G$118)-IF(AND(MOD(R$56,$C$21)=0,R$56&lt;Rates!$D$71),$D$118,0),0)</f>
        <v/>
      </c>
      <c r="S134" s="68">
        <f>IF(S$56&lt;=Rates!$D$71,$F$118*(1+$C$22)^MOD(S$56-1,$C$21)*S$65-($F$118-$G$118)-IF(AND(MOD(S$56,$C$21)=0,S$56&lt;Rates!$D$71),$D$118,0),0)</f>
        <v/>
      </c>
      <c r="T134" s="68">
        <f>IF(T$56&lt;=Rates!$D$71,$F$118*(1+$C$22)^MOD(T$56-1,$C$21)*T$65-($F$118-$G$118)-IF(AND(MOD(T$56,$C$21)=0,T$56&lt;Rates!$D$71),$D$118,0),0)</f>
        <v/>
      </c>
      <c r="U134" s="68">
        <f>IF(U$56&lt;=Rates!$D$71,$F$118*(1+$C$22)^MOD(U$56-1,$C$21)*U$65-($F$118-$G$118)-IF(AND(MOD(U$56,$C$21)=0,U$56&lt;Rates!$D$71),$D$118,0),0)</f>
        <v/>
      </c>
      <c r="V134" s="68">
        <f>IF(V$56&lt;=Rates!$D$71,$F$118*(1+$C$22)^MOD(V$56-1,$C$21)*V$65-($F$118-$G$118)-IF(AND(MOD(V$56,$C$21)=0,V$56&lt;Rates!$D$71),$D$118,0),0)</f>
        <v/>
      </c>
      <c r="W134" s="68">
        <f>IF(W$56&lt;=Rates!$D$71,$F$118*(1+$C$22)^MOD(W$56-1,$C$21)*W$65-($F$118-$G$118)-IF(AND(MOD(W$56,$C$21)=0,W$56&lt;Rates!$D$71),$D$118,0),0)</f>
        <v/>
      </c>
      <c r="X134" s="68">
        <f>IF(X$56&lt;=Rates!$D$71,$F$118*(1+$C$22)^MOD(X$56-1,$C$21)*X$65-($F$118-$G$118)-IF(AND(MOD(X$56,$C$21)=0,X$56&lt;Rates!$D$71),$D$118,0),0)</f>
        <v/>
      </c>
      <c r="Y134" s="68">
        <f>IF(Y$56&lt;=Rates!$D$71,$F$118*(1+$C$22)^MOD(Y$56-1,$C$21)*Y$65-($F$118-$G$118)-IF(AND(MOD(Y$56,$C$21)=0,Y$56&lt;Rates!$D$71),$D$118,0),0)</f>
        <v/>
      </c>
      <c r="Z134" s="68">
        <f>IF(Z$56&lt;=Rates!$D$71,$F$118*(1+$C$22)^MOD(Z$56-1,$C$21)*Z$65-($F$118-$G$118)-IF(AND(MOD(Z$56,$C$21)=0,Z$56&lt;Rates!$D$71),$D$118,0),0)</f>
        <v/>
      </c>
      <c r="AA134" s="68">
        <f>IF(AA$56&lt;=Rates!$D$71,$F$118*(1+$C$22)^MOD(AA$56-1,$C$21)*AA$65-($F$118-$G$118)-IF(AND(MOD(AA$56,$C$21)=0,AA$56&lt;Rates!$D$71),$D$118,0),0)</f>
        <v/>
      </c>
      <c r="AB134" s="68">
        <f>IF(AB$56&lt;=Rates!$D$71,$F$118*(1+$C$22)^MOD(AB$56-1,$C$21)*AB$65-($F$118-$G$118)-IF(AND(MOD(AB$56,$C$21)=0,AB$56&lt;Rates!$D$71),$D$118,0),0)</f>
        <v/>
      </c>
    </row>
    <row r="135">
      <c r="A135" s="68" t="inlineStr">
        <is>
          <t>helper tier 6 decay_flat</t>
        </is>
      </c>
      <c r="C135" s="68">
        <f>-$E$118</f>
        <v/>
      </c>
      <c r="D135" s="68">
        <f>IF(D$56&lt;=Rates!$D$71,$F$118*(1+$C$23)^MOD(D$56-1,$C$21)*D$65-($F$118-$G$118)-IF(AND(MOD(D$56,$C$21)=0,D$56&lt;Rates!$D$71),$D$118,0),0)</f>
        <v/>
      </c>
      <c r="E135" s="68">
        <f>IF(E$56&lt;=Rates!$D$71,$F$118*(1+$C$23)^MOD(E$56-1,$C$21)*E$65-($F$118-$G$118)-IF(AND(MOD(E$56,$C$21)=0,E$56&lt;Rates!$D$71),$D$118,0),0)</f>
        <v/>
      </c>
      <c r="F135" s="68">
        <f>IF(F$56&lt;=Rates!$D$71,$F$118*(1+$C$23)^MOD(F$56-1,$C$21)*F$65-($F$118-$G$118)-IF(AND(MOD(F$56,$C$21)=0,F$56&lt;Rates!$D$71),$D$118,0),0)</f>
        <v/>
      </c>
      <c r="G135" s="68">
        <f>IF(G$56&lt;=Rates!$D$71,$F$118*(1+$C$23)^MOD(G$56-1,$C$21)*G$65-($F$118-$G$118)-IF(AND(MOD(G$56,$C$21)=0,G$56&lt;Rates!$D$71),$D$118,0),0)</f>
        <v/>
      </c>
      <c r="H135" s="68">
        <f>IF(H$56&lt;=Rates!$D$71,$F$118*(1+$C$23)^MOD(H$56-1,$C$21)*H$65-($F$118-$G$118)-IF(AND(MOD(H$56,$C$21)=0,H$56&lt;Rates!$D$71),$D$118,0),0)</f>
        <v/>
      </c>
      <c r="I135" s="68">
        <f>IF(I$56&lt;=Rates!$D$71,$F$118*(1+$C$23)^MOD(I$56-1,$C$21)*I$65-($F$118-$G$118)-IF(AND(MOD(I$56,$C$21)=0,I$56&lt;Rates!$D$71),$D$118,0),0)</f>
        <v/>
      </c>
      <c r="J135" s="68">
        <f>IF(J$56&lt;=Rates!$D$71,$F$118*(1+$C$23)^MOD(J$56-1,$C$21)*J$65-($F$118-$G$118)-IF(AND(MOD(J$56,$C$21)=0,J$56&lt;Rates!$D$71),$D$118,0),0)</f>
        <v/>
      </c>
      <c r="K135" s="68">
        <f>IF(K$56&lt;=Rates!$D$71,$F$118*(1+$C$23)^MOD(K$56-1,$C$21)*K$65-($F$118-$G$118)-IF(AND(MOD(K$56,$C$21)=0,K$56&lt;Rates!$D$71),$D$118,0),0)</f>
        <v/>
      </c>
      <c r="L135" s="68">
        <f>IF(L$56&lt;=Rates!$D$71,$F$118*(1+$C$23)^MOD(L$56-1,$C$21)*L$65-($F$118-$G$118)-IF(AND(MOD(L$56,$C$21)=0,L$56&lt;Rates!$D$71),$D$118,0),0)</f>
        <v/>
      </c>
      <c r="M135" s="68">
        <f>IF(M$56&lt;=Rates!$D$71,$F$118*(1+$C$23)^MOD(M$56-1,$C$21)*M$65-($F$118-$G$118)-IF(AND(MOD(M$56,$C$21)=0,M$56&lt;Rates!$D$71),$D$118,0),0)</f>
        <v/>
      </c>
      <c r="N135" s="68">
        <f>IF(N$56&lt;=Rates!$D$71,$F$118*(1+$C$23)^MOD(N$56-1,$C$21)*N$65-($F$118-$G$118)-IF(AND(MOD(N$56,$C$21)=0,N$56&lt;Rates!$D$71),$D$118,0),0)</f>
        <v/>
      </c>
      <c r="O135" s="68">
        <f>IF(O$56&lt;=Rates!$D$71,$F$118*(1+$C$23)^MOD(O$56-1,$C$21)*O$65-($F$118-$G$118)-IF(AND(MOD(O$56,$C$21)=0,O$56&lt;Rates!$D$71),$D$118,0),0)</f>
        <v/>
      </c>
      <c r="P135" s="68">
        <f>IF(P$56&lt;=Rates!$D$71,$F$118*(1+$C$23)^MOD(P$56-1,$C$21)*P$65-($F$118-$G$118)-IF(AND(MOD(P$56,$C$21)=0,P$56&lt;Rates!$D$71),$D$118,0),0)</f>
        <v/>
      </c>
      <c r="Q135" s="68">
        <f>IF(Q$56&lt;=Rates!$D$71,$F$118*(1+$C$23)^MOD(Q$56-1,$C$21)*Q$65-($F$118-$G$118)-IF(AND(MOD(Q$56,$C$21)=0,Q$56&lt;Rates!$D$71),$D$118,0),0)</f>
        <v/>
      </c>
      <c r="R135" s="68">
        <f>IF(R$56&lt;=Rates!$D$71,$F$118*(1+$C$23)^MOD(R$56-1,$C$21)*R$65-($F$118-$G$118)-IF(AND(MOD(R$56,$C$21)=0,R$56&lt;Rates!$D$71),$D$118,0),0)</f>
        <v/>
      </c>
      <c r="S135" s="68">
        <f>IF(S$56&lt;=Rates!$D$71,$F$118*(1+$C$23)^MOD(S$56-1,$C$21)*S$65-($F$118-$G$118)-IF(AND(MOD(S$56,$C$21)=0,S$56&lt;Rates!$D$71),$D$118,0),0)</f>
        <v/>
      </c>
      <c r="T135" s="68">
        <f>IF(T$56&lt;=Rates!$D$71,$F$118*(1+$C$23)^MOD(T$56-1,$C$21)*T$65-($F$118-$G$118)-IF(AND(MOD(T$56,$C$21)=0,T$56&lt;Rates!$D$71),$D$118,0),0)</f>
        <v/>
      </c>
      <c r="U135" s="68">
        <f>IF(U$56&lt;=Rates!$D$71,$F$118*(1+$C$23)^MOD(U$56-1,$C$21)*U$65-($F$118-$G$118)-IF(AND(MOD(U$56,$C$21)=0,U$56&lt;Rates!$D$71),$D$118,0),0)</f>
        <v/>
      </c>
      <c r="V135" s="68">
        <f>IF(V$56&lt;=Rates!$D$71,$F$118*(1+$C$23)^MOD(V$56-1,$C$21)*V$65-($F$118-$G$118)-IF(AND(MOD(V$56,$C$21)=0,V$56&lt;Rates!$D$71),$D$118,0),0)</f>
        <v/>
      </c>
      <c r="W135" s="68">
        <f>IF(W$56&lt;=Rates!$D$71,$F$118*(1+$C$23)^MOD(W$56-1,$C$21)*W$65-($F$118-$G$118)-IF(AND(MOD(W$56,$C$21)=0,W$56&lt;Rates!$D$71),$D$118,0),0)</f>
        <v/>
      </c>
      <c r="X135" s="68">
        <f>IF(X$56&lt;=Rates!$D$71,$F$118*(1+$C$23)^MOD(X$56-1,$C$21)*X$65-($F$118-$G$118)-IF(AND(MOD(X$56,$C$21)=0,X$56&lt;Rates!$D$71),$D$118,0),0)</f>
        <v/>
      </c>
      <c r="Y135" s="68">
        <f>IF(Y$56&lt;=Rates!$D$71,$F$118*(1+$C$23)^MOD(Y$56-1,$C$21)*Y$65-($F$118-$G$118)-IF(AND(MOD(Y$56,$C$21)=0,Y$56&lt;Rates!$D$71),$D$118,0),0)</f>
        <v/>
      </c>
      <c r="Z135" s="68">
        <f>IF(Z$56&lt;=Rates!$D$71,$F$118*(1+$C$23)^MOD(Z$56-1,$C$21)*Z$65-($F$118-$G$118)-IF(AND(MOD(Z$56,$C$21)=0,Z$56&lt;Rates!$D$71),$D$118,0),0)</f>
        <v/>
      </c>
      <c r="AA135" s="68">
        <f>IF(AA$56&lt;=Rates!$D$71,$F$118*(1+$C$23)^MOD(AA$56-1,$C$21)*AA$65-($F$118-$G$118)-IF(AND(MOD(AA$56,$C$21)=0,AA$56&lt;Rates!$D$71),$D$118,0),0)</f>
        <v/>
      </c>
      <c r="AB135" s="68">
        <f>IF(AB$56&lt;=Rates!$D$71,$F$118*(1+$C$23)^MOD(AB$56-1,$C$21)*AB$65-($F$118-$G$118)-IF(AND(MOD(AB$56,$C$21)=0,AB$56&lt;Rates!$D$71),$D$118,0),0)</f>
        <v/>
      </c>
    </row>
    <row r="136">
      <c r="A136" s="68" t="inlineStr">
        <is>
          <t>helper tier 7 decay</t>
        </is>
      </c>
      <c r="C136" s="68">
        <f>-$E$119</f>
        <v/>
      </c>
      <c r="D136" s="68">
        <f>IF(D$56&lt;=Rates!$D$71,$F$119*(1+$C$22)^MOD(D$56-1,$C$21)*D$65-($F$119-$G$119)-IF(AND(MOD(D$56,$C$21)=0,D$56&lt;Rates!$D$71),$D$119,0),0)</f>
        <v/>
      </c>
      <c r="E136" s="68">
        <f>IF(E$56&lt;=Rates!$D$71,$F$119*(1+$C$22)^MOD(E$56-1,$C$21)*E$65-($F$119-$G$119)-IF(AND(MOD(E$56,$C$21)=0,E$56&lt;Rates!$D$71),$D$119,0),0)</f>
        <v/>
      </c>
      <c r="F136" s="68">
        <f>IF(F$56&lt;=Rates!$D$71,$F$119*(1+$C$22)^MOD(F$56-1,$C$21)*F$65-($F$119-$G$119)-IF(AND(MOD(F$56,$C$21)=0,F$56&lt;Rates!$D$71),$D$119,0),0)</f>
        <v/>
      </c>
      <c r="G136" s="68">
        <f>IF(G$56&lt;=Rates!$D$71,$F$119*(1+$C$22)^MOD(G$56-1,$C$21)*G$65-($F$119-$G$119)-IF(AND(MOD(G$56,$C$21)=0,G$56&lt;Rates!$D$71),$D$119,0),0)</f>
        <v/>
      </c>
      <c r="H136" s="68">
        <f>IF(H$56&lt;=Rates!$D$71,$F$119*(1+$C$22)^MOD(H$56-1,$C$21)*H$65-($F$119-$G$119)-IF(AND(MOD(H$56,$C$21)=0,H$56&lt;Rates!$D$71),$D$119,0),0)</f>
        <v/>
      </c>
      <c r="I136" s="68">
        <f>IF(I$56&lt;=Rates!$D$71,$F$119*(1+$C$22)^MOD(I$56-1,$C$21)*I$65-($F$119-$G$119)-IF(AND(MOD(I$56,$C$21)=0,I$56&lt;Rates!$D$71),$D$119,0),0)</f>
        <v/>
      </c>
      <c r="J136" s="68">
        <f>IF(J$56&lt;=Rates!$D$71,$F$119*(1+$C$22)^MOD(J$56-1,$C$21)*J$65-($F$119-$G$119)-IF(AND(MOD(J$56,$C$21)=0,J$56&lt;Rates!$D$71),$D$119,0),0)</f>
        <v/>
      </c>
      <c r="K136" s="68">
        <f>IF(K$56&lt;=Rates!$D$71,$F$119*(1+$C$22)^MOD(K$56-1,$C$21)*K$65-($F$119-$G$119)-IF(AND(MOD(K$56,$C$21)=0,K$56&lt;Rates!$D$71),$D$119,0),0)</f>
        <v/>
      </c>
      <c r="L136" s="68">
        <f>IF(L$56&lt;=Rates!$D$71,$F$119*(1+$C$22)^MOD(L$56-1,$C$21)*L$65-($F$119-$G$119)-IF(AND(MOD(L$56,$C$21)=0,L$56&lt;Rates!$D$71),$D$119,0),0)</f>
        <v/>
      </c>
      <c r="M136" s="68">
        <f>IF(M$56&lt;=Rates!$D$71,$F$119*(1+$C$22)^MOD(M$56-1,$C$21)*M$65-($F$119-$G$119)-IF(AND(MOD(M$56,$C$21)=0,M$56&lt;Rates!$D$71),$D$119,0),0)</f>
        <v/>
      </c>
      <c r="N136" s="68">
        <f>IF(N$56&lt;=Rates!$D$71,$F$119*(1+$C$22)^MOD(N$56-1,$C$21)*N$65-($F$119-$G$119)-IF(AND(MOD(N$56,$C$21)=0,N$56&lt;Rates!$D$71),$D$119,0),0)</f>
        <v/>
      </c>
      <c r="O136" s="68">
        <f>IF(O$56&lt;=Rates!$D$71,$F$119*(1+$C$22)^MOD(O$56-1,$C$21)*O$65-($F$119-$G$119)-IF(AND(MOD(O$56,$C$21)=0,O$56&lt;Rates!$D$71),$D$119,0),0)</f>
        <v/>
      </c>
      <c r="P136" s="68">
        <f>IF(P$56&lt;=Rates!$D$71,$F$119*(1+$C$22)^MOD(P$56-1,$C$21)*P$65-($F$119-$G$119)-IF(AND(MOD(P$56,$C$21)=0,P$56&lt;Rates!$D$71),$D$119,0),0)</f>
        <v/>
      </c>
      <c r="Q136" s="68">
        <f>IF(Q$56&lt;=Rates!$D$71,$F$119*(1+$C$22)^MOD(Q$56-1,$C$21)*Q$65-($F$119-$G$119)-IF(AND(MOD(Q$56,$C$21)=0,Q$56&lt;Rates!$D$71),$D$119,0),0)</f>
        <v/>
      </c>
      <c r="R136" s="68">
        <f>IF(R$56&lt;=Rates!$D$71,$F$119*(1+$C$22)^MOD(R$56-1,$C$21)*R$65-($F$119-$G$119)-IF(AND(MOD(R$56,$C$21)=0,R$56&lt;Rates!$D$71),$D$119,0),0)</f>
        <v/>
      </c>
      <c r="S136" s="68">
        <f>IF(S$56&lt;=Rates!$D$71,$F$119*(1+$C$22)^MOD(S$56-1,$C$21)*S$65-($F$119-$G$119)-IF(AND(MOD(S$56,$C$21)=0,S$56&lt;Rates!$D$71),$D$119,0),0)</f>
        <v/>
      </c>
      <c r="T136" s="68">
        <f>IF(T$56&lt;=Rates!$D$71,$F$119*(1+$C$22)^MOD(T$56-1,$C$21)*T$65-($F$119-$G$119)-IF(AND(MOD(T$56,$C$21)=0,T$56&lt;Rates!$D$71),$D$119,0),0)</f>
        <v/>
      </c>
      <c r="U136" s="68">
        <f>IF(U$56&lt;=Rates!$D$71,$F$119*(1+$C$22)^MOD(U$56-1,$C$21)*U$65-($F$119-$G$119)-IF(AND(MOD(U$56,$C$21)=0,U$56&lt;Rates!$D$71),$D$119,0),0)</f>
        <v/>
      </c>
      <c r="V136" s="68">
        <f>IF(V$56&lt;=Rates!$D$71,$F$119*(1+$C$22)^MOD(V$56-1,$C$21)*V$65-($F$119-$G$119)-IF(AND(MOD(V$56,$C$21)=0,V$56&lt;Rates!$D$71),$D$119,0),0)</f>
        <v/>
      </c>
      <c r="W136" s="68">
        <f>IF(W$56&lt;=Rates!$D$71,$F$119*(1+$C$22)^MOD(W$56-1,$C$21)*W$65-($F$119-$G$119)-IF(AND(MOD(W$56,$C$21)=0,W$56&lt;Rates!$D$71),$D$119,0),0)</f>
        <v/>
      </c>
      <c r="X136" s="68">
        <f>IF(X$56&lt;=Rates!$D$71,$F$119*(1+$C$22)^MOD(X$56-1,$C$21)*X$65-($F$119-$G$119)-IF(AND(MOD(X$56,$C$21)=0,X$56&lt;Rates!$D$71),$D$119,0),0)</f>
        <v/>
      </c>
      <c r="Y136" s="68">
        <f>IF(Y$56&lt;=Rates!$D$71,$F$119*(1+$C$22)^MOD(Y$56-1,$C$21)*Y$65-($F$119-$G$119)-IF(AND(MOD(Y$56,$C$21)=0,Y$56&lt;Rates!$D$71),$D$119,0),0)</f>
        <v/>
      </c>
      <c r="Z136" s="68">
        <f>IF(Z$56&lt;=Rates!$D$71,$F$119*(1+$C$22)^MOD(Z$56-1,$C$21)*Z$65-($F$119-$G$119)-IF(AND(MOD(Z$56,$C$21)=0,Z$56&lt;Rates!$D$71),$D$119,0),0)</f>
        <v/>
      </c>
      <c r="AA136" s="68">
        <f>IF(AA$56&lt;=Rates!$D$71,$F$119*(1+$C$22)^MOD(AA$56-1,$C$21)*AA$65-($F$119-$G$119)-IF(AND(MOD(AA$56,$C$21)=0,AA$56&lt;Rates!$D$71),$D$119,0),0)</f>
        <v/>
      </c>
      <c r="AB136" s="68">
        <f>IF(AB$56&lt;=Rates!$D$71,$F$119*(1+$C$22)^MOD(AB$56-1,$C$21)*AB$65-($F$119-$G$119)-IF(AND(MOD(AB$56,$C$21)=0,AB$56&lt;Rates!$D$71),$D$119,0),0)</f>
        <v/>
      </c>
    </row>
    <row r="137">
      <c r="A137" s="68" t="inlineStr">
        <is>
          <t>helper tier 7 decay_flat</t>
        </is>
      </c>
      <c r="C137" s="68">
        <f>-$E$119</f>
        <v/>
      </c>
      <c r="D137" s="68">
        <f>IF(D$56&lt;=Rates!$D$71,$F$119*(1+$C$23)^MOD(D$56-1,$C$21)*D$65-($F$119-$G$119)-IF(AND(MOD(D$56,$C$21)=0,D$56&lt;Rates!$D$71),$D$119,0),0)</f>
        <v/>
      </c>
      <c r="E137" s="68">
        <f>IF(E$56&lt;=Rates!$D$71,$F$119*(1+$C$23)^MOD(E$56-1,$C$21)*E$65-($F$119-$G$119)-IF(AND(MOD(E$56,$C$21)=0,E$56&lt;Rates!$D$71),$D$119,0),0)</f>
        <v/>
      </c>
      <c r="F137" s="68">
        <f>IF(F$56&lt;=Rates!$D$71,$F$119*(1+$C$23)^MOD(F$56-1,$C$21)*F$65-($F$119-$G$119)-IF(AND(MOD(F$56,$C$21)=0,F$56&lt;Rates!$D$71),$D$119,0),0)</f>
        <v/>
      </c>
      <c r="G137" s="68">
        <f>IF(G$56&lt;=Rates!$D$71,$F$119*(1+$C$23)^MOD(G$56-1,$C$21)*G$65-($F$119-$G$119)-IF(AND(MOD(G$56,$C$21)=0,G$56&lt;Rates!$D$71),$D$119,0),0)</f>
        <v/>
      </c>
      <c r="H137" s="68">
        <f>IF(H$56&lt;=Rates!$D$71,$F$119*(1+$C$23)^MOD(H$56-1,$C$21)*H$65-($F$119-$G$119)-IF(AND(MOD(H$56,$C$21)=0,H$56&lt;Rates!$D$71),$D$119,0),0)</f>
        <v/>
      </c>
      <c r="I137" s="68">
        <f>IF(I$56&lt;=Rates!$D$71,$F$119*(1+$C$23)^MOD(I$56-1,$C$21)*I$65-($F$119-$G$119)-IF(AND(MOD(I$56,$C$21)=0,I$56&lt;Rates!$D$71),$D$119,0),0)</f>
        <v/>
      </c>
      <c r="J137" s="68">
        <f>IF(J$56&lt;=Rates!$D$71,$F$119*(1+$C$23)^MOD(J$56-1,$C$21)*J$65-($F$119-$G$119)-IF(AND(MOD(J$56,$C$21)=0,J$56&lt;Rates!$D$71),$D$119,0),0)</f>
        <v/>
      </c>
      <c r="K137" s="68">
        <f>IF(K$56&lt;=Rates!$D$71,$F$119*(1+$C$23)^MOD(K$56-1,$C$21)*K$65-($F$119-$G$119)-IF(AND(MOD(K$56,$C$21)=0,K$56&lt;Rates!$D$71),$D$119,0),0)</f>
        <v/>
      </c>
      <c r="L137" s="68">
        <f>IF(L$56&lt;=Rates!$D$71,$F$119*(1+$C$23)^MOD(L$56-1,$C$21)*L$65-($F$119-$G$119)-IF(AND(MOD(L$56,$C$21)=0,L$56&lt;Rates!$D$71),$D$119,0),0)</f>
        <v/>
      </c>
      <c r="M137" s="68">
        <f>IF(M$56&lt;=Rates!$D$71,$F$119*(1+$C$23)^MOD(M$56-1,$C$21)*M$65-($F$119-$G$119)-IF(AND(MOD(M$56,$C$21)=0,M$56&lt;Rates!$D$71),$D$119,0),0)</f>
        <v/>
      </c>
      <c r="N137" s="68">
        <f>IF(N$56&lt;=Rates!$D$71,$F$119*(1+$C$23)^MOD(N$56-1,$C$21)*N$65-($F$119-$G$119)-IF(AND(MOD(N$56,$C$21)=0,N$56&lt;Rates!$D$71),$D$119,0),0)</f>
        <v/>
      </c>
      <c r="O137" s="68">
        <f>IF(O$56&lt;=Rates!$D$71,$F$119*(1+$C$23)^MOD(O$56-1,$C$21)*O$65-($F$119-$G$119)-IF(AND(MOD(O$56,$C$21)=0,O$56&lt;Rates!$D$71),$D$119,0),0)</f>
        <v/>
      </c>
      <c r="P137" s="68">
        <f>IF(P$56&lt;=Rates!$D$71,$F$119*(1+$C$23)^MOD(P$56-1,$C$21)*P$65-($F$119-$G$119)-IF(AND(MOD(P$56,$C$21)=0,P$56&lt;Rates!$D$71),$D$119,0),0)</f>
        <v/>
      </c>
      <c r="Q137" s="68">
        <f>IF(Q$56&lt;=Rates!$D$71,$F$119*(1+$C$23)^MOD(Q$56-1,$C$21)*Q$65-($F$119-$G$119)-IF(AND(MOD(Q$56,$C$21)=0,Q$56&lt;Rates!$D$71),$D$119,0),0)</f>
        <v/>
      </c>
      <c r="R137" s="68">
        <f>IF(R$56&lt;=Rates!$D$71,$F$119*(1+$C$23)^MOD(R$56-1,$C$21)*R$65-($F$119-$G$119)-IF(AND(MOD(R$56,$C$21)=0,R$56&lt;Rates!$D$71),$D$119,0),0)</f>
        <v/>
      </c>
      <c r="S137" s="68">
        <f>IF(S$56&lt;=Rates!$D$71,$F$119*(1+$C$23)^MOD(S$56-1,$C$21)*S$65-($F$119-$G$119)-IF(AND(MOD(S$56,$C$21)=0,S$56&lt;Rates!$D$71),$D$119,0),0)</f>
        <v/>
      </c>
      <c r="T137" s="68">
        <f>IF(T$56&lt;=Rates!$D$71,$F$119*(1+$C$23)^MOD(T$56-1,$C$21)*T$65-($F$119-$G$119)-IF(AND(MOD(T$56,$C$21)=0,T$56&lt;Rates!$D$71),$D$119,0),0)</f>
        <v/>
      </c>
      <c r="U137" s="68">
        <f>IF(U$56&lt;=Rates!$D$71,$F$119*(1+$C$23)^MOD(U$56-1,$C$21)*U$65-($F$119-$G$119)-IF(AND(MOD(U$56,$C$21)=0,U$56&lt;Rates!$D$71),$D$119,0),0)</f>
        <v/>
      </c>
      <c r="V137" s="68">
        <f>IF(V$56&lt;=Rates!$D$71,$F$119*(1+$C$23)^MOD(V$56-1,$C$21)*V$65-($F$119-$G$119)-IF(AND(MOD(V$56,$C$21)=0,V$56&lt;Rates!$D$71),$D$119,0),0)</f>
        <v/>
      </c>
      <c r="W137" s="68">
        <f>IF(W$56&lt;=Rates!$D$71,$F$119*(1+$C$23)^MOD(W$56-1,$C$21)*W$65-($F$119-$G$119)-IF(AND(MOD(W$56,$C$21)=0,W$56&lt;Rates!$D$71),$D$119,0),0)</f>
        <v/>
      </c>
      <c r="X137" s="68">
        <f>IF(X$56&lt;=Rates!$D$71,$F$119*(1+$C$23)^MOD(X$56-1,$C$21)*X$65-($F$119-$G$119)-IF(AND(MOD(X$56,$C$21)=0,X$56&lt;Rates!$D$71),$D$119,0),0)</f>
        <v/>
      </c>
      <c r="Y137" s="68">
        <f>IF(Y$56&lt;=Rates!$D$71,$F$119*(1+$C$23)^MOD(Y$56-1,$C$21)*Y$65-($F$119-$G$119)-IF(AND(MOD(Y$56,$C$21)=0,Y$56&lt;Rates!$D$71),$D$119,0),0)</f>
        <v/>
      </c>
      <c r="Z137" s="68">
        <f>IF(Z$56&lt;=Rates!$D$71,$F$119*(1+$C$23)^MOD(Z$56-1,$C$21)*Z$65-($F$119-$G$119)-IF(AND(MOD(Z$56,$C$21)=0,Z$56&lt;Rates!$D$71),$D$119,0),0)</f>
        <v/>
      </c>
      <c r="AA137" s="68">
        <f>IF(AA$56&lt;=Rates!$D$71,$F$119*(1+$C$23)^MOD(AA$56-1,$C$21)*AA$65-($F$119-$G$119)-IF(AND(MOD(AA$56,$C$21)=0,AA$56&lt;Rates!$D$71),$D$119,0),0)</f>
        <v/>
      </c>
      <c r="AB137" s="68">
        <f>IF(AB$56&lt;=Rates!$D$71,$F$119*(1+$C$23)^MOD(AB$56-1,$C$21)*AB$65-($F$119-$G$119)-IF(AND(MOD(AB$56,$C$21)=0,AB$56&lt;Rates!$D$71),$D$119,0),0)</f>
        <v/>
      </c>
    </row>
    <row r="138">
      <c r="A138" s="68" t="inlineStr">
        <is>
          <t>helper tier 8 decay</t>
        </is>
      </c>
      <c r="C138" s="68">
        <f>-$E$120</f>
        <v/>
      </c>
      <c r="D138" s="68">
        <f>IF(D$56&lt;=Rates!$D$71,$F$120*(1+$C$22)^MOD(D$56-1,$C$21)*D$65-($F$120-$G$120)-IF(AND(MOD(D$56,$C$21)=0,D$56&lt;Rates!$D$71),$D$120,0),0)</f>
        <v/>
      </c>
      <c r="E138" s="68">
        <f>IF(E$56&lt;=Rates!$D$71,$F$120*(1+$C$22)^MOD(E$56-1,$C$21)*E$65-($F$120-$G$120)-IF(AND(MOD(E$56,$C$21)=0,E$56&lt;Rates!$D$71),$D$120,0),0)</f>
        <v/>
      </c>
      <c r="F138" s="68">
        <f>IF(F$56&lt;=Rates!$D$71,$F$120*(1+$C$22)^MOD(F$56-1,$C$21)*F$65-($F$120-$G$120)-IF(AND(MOD(F$56,$C$21)=0,F$56&lt;Rates!$D$71),$D$120,0),0)</f>
        <v/>
      </c>
      <c r="G138" s="68">
        <f>IF(G$56&lt;=Rates!$D$71,$F$120*(1+$C$22)^MOD(G$56-1,$C$21)*G$65-($F$120-$G$120)-IF(AND(MOD(G$56,$C$21)=0,G$56&lt;Rates!$D$71),$D$120,0),0)</f>
        <v/>
      </c>
      <c r="H138" s="68">
        <f>IF(H$56&lt;=Rates!$D$71,$F$120*(1+$C$22)^MOD(H$56-1,$C$21)*H$65-($F$120-$G$120)-IF(AND(MOD(H$56,$C$21)=0,H$56&lt;Rates!$D$71),$D$120,0),0)</f>
        <v/>
      </c>
      <c r="I138" s="68">
        <f>IF(I$56&lt;=Rates!$D$71,$F$120*(1+$C$22)^MOD(I$56-1,$C$21)*I$65-($F$120-$G$120)-IF(AND(MOD(I$56,$C$21)=0,I$56&lt;Rates!$D$71),$D$120,0),0)</f>
        <v/>
      </c>
      <c r="J138" s="68">
        <f>IF(J$56&lt;=Rates!$D$71,$F$120*(1+$C$22)^MOD(J$56-1,$C$21)*J$65-($F$120-$G$120)-IF(AND(MOD(J$56,$C$21)=0,J$56&lt;Rates!$D$71),$D$120,0),0)</f>
        <v/>
      </c>
      <c r="K138" s="68">
        <f>IF(K$56&lt;=Rates!$D$71,$F$120*(1+$C$22)^MOD(K$56-1,$C$21)*K$65-($F$120-$G$120)-IF(AND(MOD(K$56,$C$21)=0,K$56&lt;Rates!$D$71),$D$120,0),0)</f>
        <v/>
      </c>
      <c r="L138" s="68">
        <f>IF(L$56&lt;=Rates!$D$71,$F$120*(1+$C$22)^MOD(L$56-1,$C$21)*L$65-($F$120-$G$120)-IF(AND(MOD(L$56,$C$21)=0,L$56&lt;Rates!$D$71),$D$120,0),0)</f>
        <v/>
      </c>
      <c r="M138" s="68">
        <f>IF(M$56&lt;=Rates!$D$71,$F$120*(1+$C$22)^MOD(M$56-1,$C$21)*M$65-($F$120-$G$120)-IF(AND(MOD(M$56,$C$21)=0,M$56&lt;Rates!$D$71),$D$120,0),0)</f>
        <v/>
      </c>
      <c r="N138" s="68">
        <f>IF(N$56&lt;=Rates!$D$71,$F$120*(1+$C$22)^MOD(N$56-1,$C$21)*N$65-($F$120-$G$120)-IF(AND(MOD(N$56,$C$21)=0,N$56&lt;Rates!$D$71),$D$120,0),0)</f>
        <v/>
      </c>
      <c r="O138" s="68">
        <f>IF(O$56&lt;=Rates!$D$71,$F$120*(1+$C$22)^MOD(O$56-1,$C$21)*O$65-($F$120-$G$120)-IF(AND(MOD(O$56,$C$21)=0,O$56&lt;Rates!$D$71),$D$120,0),0)</f>
        <v/>
      </c>
      <c r="P138" s="68">
        <f>IF(P$56&lt;=Rates!$D$71,$F$120*(1+$C$22)^MOD(P$56-1,$C$21)*P$65-($F$120-$G$120)-IF(AND(MOD(P$56,$C$21)=0,P$56&lt;Rates!$D$71),$D$120,0),0)</f>
        <v/>
      </c>
      <c r="Q138" s="68">
        <f>IF(Q$56&lt;=Rates!$D$71,$F$120*(1+$C$22)^MOD(Q$56-1,$C$21)*Q$65-($F$120-$G$120)-IF(AND(MOD(Q$56,$C$21)=0,Q$56&lt;Rates!$D$71),$D$120,0),0)</f>
        <v/>
      </c>
      <c r="R138" s="68">
        <f>IF(R$56&lt;=Rates!$D$71,$F$120*(1+$C$22)^MOD(R$56-1,$C$21)*R$65-($F$120-$G$120)-IF(AND(MOD(R$56,$C$21)=0,R$56&lt;Rates!$D$71),$D$120,0),0)</f>
        <v/>
      </c>
      <c r="S138" s="68">
        <f>IF(S$56&lt;=Rates!$D$71,$F$120*(1+$C$22)^MOD(S$56-1,$C$21)*S$65-($F$120-$G$120)-IF(AND(MOD(S$56,$C$21)=0,S$56&lt;Rates!$D$71),$D$120,0),0)</f>
        <v/>
      </c>
      <c r="T138" s="68">
        <f>IF(T$56&lt;=Rates!$D$71,$F$120*(1+$C$22)^MOD(T$56-1,$C$21)*T$65-($F$120-$G$120)-IF(AND(MOD(T$56,$C$21)=0,T$56&lt;Rates!$D$71),$D$120,0),0)</f>
        <v/>
      </c>
      <c r="U138" s="68">
        <f>IF(U$56&lt;=Rates!$D$71,$F$120*(1+$C$22)^MOD(U$56-1,$C$21)*U$65-($F$120-$G$120)-IF(AND(MOD(U$56,$C$21)=0,U$56&lt;Rates!$D$71),$D$120,0),0)</f>
        <v/>
      </c>
      <c r="V138" s="68">
        <f>IF(V$56&lt;=Rates!$D$71,$F$120*(1+$C$22)^MOD(V$56-1,$C$21)*V$65-($F$120-$G$120)-IF(AND(MOD(V$56,$C$21)=0,V$56&lt;Rates!$D$71),$D$120,0),0)</f>
        <v/>
      </c>
      <c r="W138" s="68">
        <f>IF(W$56&lt;=Rates!$D$71,$F$120*(1+$C$22)^MOD(W$56-1,$C$21)*W$65-($F$120-$G$120)-IF(AND(MOD(W$56,$C$21)=0,W$56&lt;Rates!$D$71),$D$120,0),0)</f>
        <v/>
      </c>
      <c r="X138" s="68">
        <f>IF(X$56&lt;=Rates!$D$71,$F$120*(1+$C$22)^MOD(X$56-1,$C$21)*X$65-($F$120-$G$120)-IF(AND(MOD(X$56,$C$21)=0,X$56&lt;Rates!$D$71),$D$120,0),0)</f>
        <v/>
      </c>
      <c r="Y138" s="68">
        <f>IF(Y$56&lt;=Rates!$D$71,$F$120*(1+$C$22)^MOD(Y$56-1,$C$21)*Y$65-($F$120-$G$120)-IF(AND(MOD(Y$56,$C$21)=0,Y$56&lt;Rates!$D$71),$D$120,0),0)</f>
        <v/>
      </c>
      <c r="Z138" s="68">
        <f>IF(Z$56&lt;=Rates!$D$71,$F$120*(1+$C$22)^MOD(Z$56-1,$C$21)*Z$65-($F$120-$G$120)-IF(AND(MOD(Z$56,$C$21)=0,Z$56&lt;Rates!$D$71),$D$120,0),0)</f>
        <v/>
      </c>
      <c r="AA138" s="68">
        <f>IF(AA$56&lt;=Rates!$D$71,$F$120*(1+$C$22)^MOD(AA$56-1,$C$21)*AA$65-($F$120-$G$120)-IF(AND(MOD(AA$56,$C$21)=0,AA$56&lt;Rates!$D$71),$D$120,0),0)</f>
        <v/>
      </c>
      <c r="AB138" s="68">
        <f>IF(AB$56&lt;=Rates!$D$71,$F$120*(1+$C$22)^MOD(AB$56-1,$C$21)*AB$65-($F$120-$G$120)-IF(AND(MOD(AB$56,$C$21)=0,AB$56&lt;Rates!$D$71),$D$120,0),0)</f>
        <v/>
      </c>
    </row>
    <row r="139">
      <c r="A139" s="68" t="inlineStr">
        <is>
          <t>helper tier 8 decay_flat</t>
        </is>
      </c>
      <c r="C139" s="68">
        <f>-$E$120</f>
        <v/>
      </c>
      <c r="D139" s="68">
        <f>IF(D$56&lt;=Rates!$D$71,$F$120*(1+$C$23)^MOD(D$56-1,$C$21)*D$65-($F$120-$G$120)-IF(AND(MOD(D$56,$C$21)=0,D$56&lt;Rates!$D$71),$D$120,0),0)</f>
        <v/>
      </c>
      <c r="E139" s="68">
        <f>IF(E$56&lt;=Rates!$D$71,$F$120*(1+$C$23)^MOD(E$56-1,$C$21)*E$65-($F$120-$G$120)-IF(AND(MOD(E$56,$C$21)=0,E$56&lt;Rates!$D$71),$D$120,0),0)</f>
        <v/>
      </c>
      <c r="F139" s="68">
        <f>IF(F$56&lt;=Rates!$D$71,$F$120*(1+$C$23)^MOD(F$56-1,$C$21)*F$65-($F$120-$G$120)-IF(AND(MOD(F$56,$C$21)=0,F$56&lt;Rates!$D$71),$D$120,0),0)</f>
        <v/>
      </c>
      <c r="G139" s="68">
        <f>IF(G$56&lt;=Rates!$D$71,$F$120*(1+$C$23)^MOD(G$56-1,$C$21)*G$65-($F$120-$G$120)-IF(AND(MOD(G$56,$C$21)=0,G$56&lt;Rates!$D$71),$D$120,0),0)</f>
        <v/>
      </c>
      <c r="H139" s="68">
        <f>IF(H$56&lt;=Rates!$D$71,$F$120*(1+$C$23)^MOD(H$56-1,$C$21)*H$65-($F$120-$G$120)-IF(AND(MOD(H$56,$C$21)=0,H$56&lt;Rates!$D$71),$D$120,0),0)</f>
        <v/>
      </c>
      <c r="I139" s="68">
        <f>IF(I$56&lt;=Rates!$D$71,$F$120*(1+$C$23)^MOD(I$56-1,$C$21)*I$65-($F$120-$G$120)-IF(AND(MOD(I$56,$C$21)=0,I$56&lt;Rates!$D$71),$D$120,0),0)</f>
        <v/>
      </c>
      <c r="J139" s="68">
        <f>IF(J$56&lt;=Rates!$D$71,$F$120*(1+$C$23)^MOD(J$56-1,$C$21)*J$65-($F$120-$G$120)-IF(AND(MOD(J$56,$C$21)=0,J$56&lt;Rates!$D$71),$D$120,0),0)</f>
        <v/>
      </c>
      <c r="K139" s="68">
        <f>IF(K$56&lt;=Rates!$D$71,$F$120*(1+$C$23)^MOD(K$56-1,$C$21)*K$65-($F$120-$G$120)-IF(AND(MOD(K$56,$C$21)=0,K$56&lt;Rates!$D$71),$D$120,0),0)</f>
        <v/>
      </c>
      <c r="L139" s="68">
        <f>IF(L$56&lt;=Rates!$D$71,$F$120*(1+$C$23)^MOD(L$56-1,$C$21)*L$65-($F$120-$G$120)-IF(AND(MOD(L$56,$C$21)=0,L$56&lt;Rates!$D$71),$D$120,0),0)</f>
        <v/>
      </c>
      <c r="M139" s="68">
        <f>IF(M$56&lt;=Rates!$D$71,$F$120*(1+$C$23)^MOD(M$56-1,$C$21)*M$65-($F$120-$G$120)-IF(AND(MOD(M$56,$C$21)=0,M$56&lt;Rates!$D$71),$D$120,0),0)</f>
        <v/>
      </c>
      <c r="N139" s="68">
        <f>IF(N$56&lt;=Rates!$D$71,$F$120*(1+$C$23)^MOD(N$56-1,$C$21)*N$65-($F$120-$G$120)-IF(AND(MOD(N$56,$C$21)=0,N$56&lt;Rates!$D$71),$D$120,0),0)</f>
        <v/>
      </c>
      <c r="O139" s="68">
        <f>IF(O$56&lt;=Rates!$D$71,$F$120*(1+$C$23)^MOD(O$56-1,$C$21)*O$65-($F$120-$G$120)-IF(AND(MOD(O$56,$C$21)=0,O$56&lt;Rates!$D$71),$D$120,0),0)</f>
        <v/>
      </c>
      <c r="P139" s="68">
        <f>IF(P$56&lt;=Rates!$D$71,$F$120*(1+$C$23)^MOD(P$56-1,$C$21)*P$65-($F$120-$G$120)-IF(AND(MOD(P$56,$C$21)=0,P$56&lt;Rates!$D$71),$D$120,0),0)</f>
        <v/>
      </c>
      <c r="Q139" s="68">
        <f>IF(Q$56&lt;=Rates!$D$71,$F$120*(1+$C$23)^MOD(Q$56-1,$C$21)*Q$65-($F$120-$G$120)-IF(AND(MOD(Q$56,$C$21)=0,Q$56&lt;Rates!$D$71),$D$120,0),0)</f>
        <v/>
      </c>
      <c r="R139" s="68">
        <f>IF(R$56&lt;=Rates!$D$71,$F$120*(1+$C$23)^MOD(R$56-1,$C$21)*R$65-($F$120-$G$120)-IF(AND(MOD(R$56,$C$21)=0,R$56&lt;Rates!$D$71),$D$120,0),0)</f>
        <v/>
      </c>
      <c r="S139" s="68">
        <f>IF(S$56&lt;=Rates!$D$71,$F$120*(1+$C$23)^MOD(S$56-1,$C$21)*S$65-($F$120-$G$120)-IF(AND(MOD(S$56,$C$21)=0,S$56&lt;Rates!$D$71),$D$120,0),0)</f>
        <v/>
      </c>
      <c r="T139" s="68">
        <f>IF(T$56&lt;=Rates!$D$71,$F$120*(1+$C$23)^MOD(T$56-1,$C$21)*T$65-($F$120-$G$120)-IF(AND(MOD(T$56,$C$21)=0,T$56&lt;Rates!$D$71),$D$120,0),0)</f>
        <v/>
      </c>
      <c r="U139" s="68">
        <f>IF(U$56&lt;=Rates!$D$71,$F$120*(1+$C$23)^MOD(U$56-1,$C$21)*U$65-($F$120-$G$120)-IF(AND(MOD(U$56,$C$21)=0,U$56&lt;Rates!$D$71),$D$120,0),0)</f>
        <v/>
      </c>
      <c r="V139" s="68">
        <f>IF(V$56&lt;=Rates!$D$71,$F$120*(1+$C$23)^MOD(V$56-1,$C$21)*V$65-($F$120-$G$120)-IF(AND(MOD(V$56,$C$21)=0,V$56&lt;Rates!$D$71),$D$120,0),0)</f>
        <v/>
      </c>
      <c r="W139" s="68">
        <f>IF(W$56&lt;=Rates!$D$71,$F$120*(1+$C$23)^MOD(W$56-1,$C$21)*W$65-($F$120-$G$120)-IF(AND(MOD(W$56,$C$21)=0,W$56&lt;Rates!$D$71),$D$120,0),0)</f>
        <v/>
      </c>
      <c r="X139" s="68">
        <f>IF(X$56&lt;=Rates!$D$71,$F$120*(1+$C$23)^MOD(X$56-1,$C$21)*X$65-($F$120-$G$120)-IF(AND(MOD(X$56,$C$21)=0,X$56&lt;Rates!$D$71),$D$120,0),0)</f>
        <v/>
      </c>
      <c r="Y139" s="68">
        <f>IF(Y$56&lt;=Rates!$D$71,$F$120*(1+$C$23)^MOD(Y$56-1,$C$21)*Y$65-($F$120-$G$120)-IF(AND(MOD(Y$56,$C$21)=0,Y$56&lt;Rates!$D$71),$D$120,0),0)</f>
        <v/>
      </c>
      <c r="Z139" s="68">
        <f>IF(Z$56&lt;=Rates!$D$71,$F$120*(1+$C$23)^MOD(Z$56-1,$C$21)*Z$65-($F$120-$G$120)-IF(AND(MOD(Z$56,$C$21)=0,Z$56&lt;Rates!$D$71),$D$120,0),0)</f>
        <v/>
      </c>
      <c r="AA139" s="68">
        <f>IF(AA$56&lt;=Rates!$D$71,$F$120*(1+$C$23)^MOD(AA$56-1,$C$21)*AA$65-($F$120-$G$120)-IF(AND(MOD(AA$56,$C$21)=0,AA$56&lt;Rates!$D$71),$D$120,0),0)</f>
        <v/>
      </c>
      <c r="AB139" s="68">
        <f>IF(AB$56&lt;=Rates!$D$71,$F$120*(1+$C$23)^MOD(AB$56-1,$C$21)*AB$65-($F$120-$G$120)-IF(AND(MOD(AB$56,$C$21)=0,AB$56&lt;Rates!$D$71),$D$120,0),0)</f>
        <v/>
      </c>
    </row>
    <row r="140">
      <c r="A140" s="68" t="inlineStr">
        <is>
          <t>helper tier 9 decay</t>
        </is>
      </c>
      <c r="C140" s="68">
        <f>-$E$121</f>
        <v/>
      </c>
      <c r="D140" s="68">
        <f>IF(D$56&lt;=Rates!$D$71,$F$121*(1+$C$22)^MOD(D$56-1,$C$21)*D$65-($F$121-$G$121)-IF(AND(MOD(D$56,$C$21)=0,D$56&lt;Rates!$D$71),$D$121,0),0)</f>
        <v/>
      </c>
      <c r="E140" s="68">
        <f>IF(E$56&lt;=Rates!$D$71,$F$121*(1+$C$22)^MOD(E$56-1,$C$21)*E$65-($F$121-$G$121)-IF(AND(MOD(E$56,$C$21)=0,E$56&lt;Rates!$D$71),$D$121,0),0)</f>
        <v/>
      </c>
      <c r="F140" s="68">
        <f>IF(F$56&lt;=Rates!$D$71,$F$121*(1+$C$22)^MOD(F$56-1,$C$21)*F$65-($F$121-$G$121)-IF(AND(MOD(F$56,$C$21)=0,F$56&lt;Rates!$D$71),$D$121,0),0)</f>
        <v/>
      </c>
      <c r="G140" s="68">
        <f>IF(G$56&lt;=Rates!$D$71,$F$121*(1+$C$22)^MOD(G$56-1,$C$21)*G$65-($F$121-$G$121)-IF(AND(MOD(G$56,$C$21)=0,G$56&lt;Rates!$D$71),$D$121,0),0)</f>
        <v/>
      </c>
      <c r="H140" s="68">
        <f>IF(H$56&lt;=Rates!$D$71,$F$121*(1+$C$22)^MOD(H$56-1,$C$21)*H$65-($F$121-$G$121)-IF(AND(MOD(H$56,$C$21)=0,H$56&lt;Rates!$D$71),$D$121,0),0)</f>
        <v/>
      </c>
      <c r="I140" s="68">
        <f>IF(I$56&lt;=Rates!$D$71,$F$121*(1+$C$22)^MOD(I$56-1,$C$21)*I$65-($F$121-$G$121)-IF(AND(MOD(I$56,$C$21)=0,I$56&lt;Rates!$D$71),$D$121,0),0)</f>
        <v/>
      </c>
      <c r="J140" s="68">
        <f>IF(J$56&lt;=Rates!$D$71,$F$121*(1+$C$22)^MOD(J$56-1,$C$21)*J$65-($F$121-$G$121)-IF(AND(MOD(J$56,$C$21)=0,J$56&lt;Rates!$D$71),$D$121,0),0)</f>
        <v/>
      </c>
      <c r="K140" s="68">
        <f>IF(K$56&lt;=Rates!$D$71,$F$121*(1+$C$22)^MOD(K$56-1,$C$21)*K$65-($F$121-$G$121)-IF(AND(MOD(K$56,$C$21)=0,K$56&lt;Rates!$D$71),$D$121,0),0)</f>
        <v/>
      </c>
      <c r="L140" s="68">
        <f>IF(L$56&lt;=Rates!$D$71,$F$121*(1+$C$22)^MOD(L$56-1,$C$21)*L$65-($F$121-$G$121)-IF(AND(MOD(L$56,$C$21)=0,L$56&lt;Rates!$D$71),$D$121,0),0)</f>
        <v/>
      </c>
      <c r="M140" s="68">
        <f>IF(M$56&lt;=Rates!$D$71,$F$121*(1+$C$22)^MOD(M$56-1,$C$21)*M$65-($F$121-$G$121)-IF(AND(MOD(M$56,$C$21)=0,M$56&lt;Rates!$D$71),$D$121,0),0)</f>
        <v/>
      </c>
      <c r="N140" s="68">
        <f>IF(N$56&lt;=Rates!$D$71,$F$121*(1+$C$22)^MOD(N$56-1,$C$21)*N$65-($F$121-$G$121)-IF(AND(MOD(N$56,$C$21)=0,N$56&lt;Rates!$D$71),$D$121,0),0)</f>
        <v/>
      </c>
      <c r="O140" s="68">
        <f>IF(O$56&lt;=Rates!$D$71,$F$121*(1+$C$22)^MOD(O$56-1,$C$21)*O$65-($F$121-$G$121)-IF(AND(MOD(O$56,$C$21)=0,O$56&lt;Rates!$D$71),$D$121,0),0)</f>
        <v/>
      </c>
      <c r="P140" s="68">
        <f>IF(P$56&lt;=Rates!$D$71,$F$121*(1+$C$22)^MOD(P$56-1,$C$21)*P$65-($F$121-$G$121)-IF(AND(MOD(P$56,$C$21)=0,P$56&lt;Rates!$D$71),$D$121,0),0)</f>
        <v/>
      </c>
      <c r="Q140" s="68">
        <f>IF(Q$56&lt;=Rates!$D$71,$F$121*(1+$C$22)^MOD(Q$56-1,$C$21)*Q$65-($F$121-$G$121)-IF(AND(MOD(Q$56,$C$21)=0,Q$56&lt;Rates!$D$71),$D$121,0),0)</f>
        <v/>
      </c>
      <c r="R140" s="68">
        <f>IF(R$56&lt;=Rates!$D$71,$F$121*(1+$C$22)^MOD(R$56-1,$C$21)*R$65-($F$121-$G$121)-IF(AND(MOD(R$56,$C$21)=0,R$56&lt;Rates!$D$71),$D$121,0),0)</f>
        <v/>
      </c>
      <c r="S140" s="68">
        <f>IF(S$56&lt;=Rates!$D$71,$F$121*(1+$C$22)^MOD(S$56-1,$C$21)*S$65-($F$121-$G$121)-IF(AND(MOD(S$56,$C$21)=0,S$56&lt;Rates!$D$71),$D$121,0),0)</f>
        <v/>
      </c>
      <c r="T140" s="68">
        <f>IF(T$56&lt;=Rates!$D$71,$F$121*(1+$C$22)^MOD(T$56-1,$C$21)*T$65-($F$121-$G$121)-IF(AND(MOD(T$56,$C$21)=0,T$56&lt;Rates!$D$71),$D$121,0),0)</f>
        <v/>
      </c>
      <c r="U140" s="68">
        <f>IF(U$56&lt;=Rates!$D$71,$F$121*(1+$C$22)^MOD(U$56-1,$C$21)*U$65-($F$121-$G$121)-IF(AND(MOD(U$56,$C$21)=0,U$56&lt;Rates!$D$71),$D$121,0),0)</f>
        <v/>
      </c>
      <c r="V140" s="68">
        <f>IF(V$56&lt;=Rates!$D$71,$F$121*(1+$C$22)^MOD(V$56-1,$C$21)*V$65-($F$121-$G$121)-IF(AND(MOD(V$56,$C$21)=0,V$56&lt;Rates!$D$71),$D$121,0),0)</f>
        <v/>
      </c>
      <c r="W140" s="68">
        <f>IF(W$56&lt;=Rates!$D$71,$F$121*(1+$C$22)^MOD(W$56-1,$C$21)*W$65-($F$121-$G$121)-IF(AND(MOD(W$56,$C$21)=0,W$56&lt;Rates!$D$71),$D$121,0),0)</f>
        <v/>
      </c>
      <c r="X140" s="68">
        <f>IF(X$56&lt;=Rates!$D$71,$F$121*(1+$C$22)^MOD(X$56-1,$C$21)*X$65-($F$121-$G$121)-IF(AND(MOD(X$56,$C$21)=0,X$56&lt;Rates!$D$71),$D$121,0),0)</f>
        <v/>
      </c>
      <c r="Y140" s="68">
        <f>IF(Y$56&lt;=Rates!$D$71,$F$121*(1+$C$22)^MOD(Y$56-1,$C$21)*Y$65-($F$121-$G$121)-IF(AND(MOD(Y$56,$C$21)=0,Y$56&lt;Rates!$D$71),$D$121,0),0)</f>
        <v/>
      </c>
      <c r="Z140" s="68">
        <f>IF(Z$56&lt;=Rates!$D$71,$F$121*(1+$C$22)^MOD(Z$56-1,$C$21)*Z$65-($F$121-$G$121)-IF(AND(MOD(Z$56,$C$21)=0,Z$56&lt;Rates!$D$71),$D$121,0),0)</f>
        <v/>
      </c>
      <c r="AA140" s="68">
        <f>IF(AA$56&lt;=Rates!$D$71,$F$121*(1+$C$22)^MOD(AA$56-1,$C$21)*AA$65-($F$121-$G$121)-IF(AND(MOD(AA$56,$C$21)=0,AA$56&lt;Rates!$D$71),$D$121,0),0)</f>
        <v/>
      </c>
      <c r="AB140" s="68">
        <f>IF(AB$56&lt;=Rates!$D$71,$F$121*(1+$C$22)^MOD(AB$56-1,$C$21)*AB$65-($F$121-$G$121)-IF(AND(MOD(AB$56,$C$21)=0,AB$56&lt;Rates!$D$71),$D$121,0),0)</f>
        <v/>
      </c>
    </row>
    <row r="141">
      <c r="A141" s="68" t="inlineStr">
        <is>
          <t>helper tier 9 decay_flat</t>
        </is>
      </c>
      <c r="C141" s="68">
        <f>-$E$121</f>
        <v/>
      </c>
      <c r="D141" s="68">
        <f>IF(D$56&lt;=Rates!$D$71,$F$121*(1+$C$23)^MOD(D$56-1,$C$21)*D$65-($F$121-$G$121)-IF(AND(MOD(D$56,$C$21)=0,D$56&lt;Rates!$D$71),$D$121,0),0)</f>
        <v/>
      </c>
      <c r="E141" s="68">
        <f>IF(E$56&lt;=Rates!$D$71,$F$121*(1+$C$23)^MOD(E$56-1,$C$21)*E$65-($F$121-$G$121)-IF(AND(MOD(E$56,$C$21)=0,E$56&lt;Rates!$D$71),$D$121,0),0)</f>
        <v/>
      </c>
      <c r="F141" s="68">
        <f>IF(F$56&lt;=Rates!$D$71,$F$121*(1+$C$23)^MOD(F$56-1,$C$21)*F$65-($F$121-$G$121)-IF(AND(MOD(F$56,$C$21)=0,F$56&lt;Rates!$D$71),$D$121,0),0)</f>
        <v/>
      </c>
      <c r="G141" s="68">
        <f>IF(G$56&lt;=Rates!$D$71,$F$121*(1+$C$23)^MOD(G$56-1,$C$21)*G$65-($F$121-$G$121)-IF(AND(MOD(G$56,$C$21)=0,G$56&lt;Rates!$D$71),$D$121,0),0)</f>
        <v/>
      </c>
      <c r="H141" s="68">
        <f>IF(H$56&lt;=Rates!$D$71,$F$121*(1+$C$23)^MOD(H$56-1,$C$21)*H$65-($F$121-$G$121)-IF(AND(MOD(H$56,$C$21)=0,H$56&lt;Rates!$D$71),$D$121,0),0)</f>
        <v/>
      </c>
      <c r="I141" s="68">
        <f>IF(I$56&lt;=Rates!$D$71,$F$121*(1+$C$23)^MOD(I$56-1,$C$21)*I$65-($F$121-$G$121)-IF(AND(MOD(I$56,$C$21)=0,I$56&lt;Rates!$D$71),$D$121,0),0)</f>
        <v/>
      </c>
      <c r="J141" s="68">
        <f>IF(J$56&lt;=Rates!$D$71,$F$121*(1+$C$23)^MOD(J$56-1,$C$21)*J$65-($F$121-$G$121)-IF(AND(MOD(J$56,$C$21)=0,J$56&lt;Rates!$D$71),$D$121,0),0)</f>
        <v/>
      </c>
      <c r="K141" s="68">
        <f>IF(K$56&lt;=Rates!$D$71,$F$121*(1+$C$23)^MOD(K$56-1,$C$21)*K$65-($F$121-$G$121)-IF(AND(MOD(K$56,$C$21)=0,K$56&lt;Rates!$D$71),$D$121,0),0)</f>
        <v/>
      </c>
      <c r="L141" s="68">
        <f>IF(L$56&lt;=Rates!$D$71,$F$121*(1+$C$23)^MOD(L$56-1,$C$21)*L$65-($F$121-$G$121)-IF(AND(MOD(L$56,$C$21)=0,L$56&lt;Rates!$D$71),$D$121,0),0)</f>
        <v/>
      </c>
      <c r="M141" s="68">
        <f>IF(M$56&lt;=Rates!$D$71,$F$121*(1+$C$23)^MOD(M$56-1,$C$21)*M$65-($F$121-$G$121)-IF(AND(MOD(M$56,$C$21)=0,M$56&lt;Rates!$D$71),$D$121,0),0)</f>
        <v/>
      </c>
      <c r="N141" s="68">
        <f>IF(N$56&lt;=Rates!$D$71,$F$121*(1+$C$23)^MOD(N$56-1,$C$21)*N$65-($F$121-$G$121)-IF(AND(MOD(N$56,$C$21)=0,N$56&lt;Rates!$D$71),$D$121,0),0)</f>
        <v/>
      </c>
      <c r="O141" s="68">
        <f>IF(O$56&lt;=Rates!$D$71,$F$121*(1+$C$23)^MOD(O$56-1,$C$21)*O$65-($F$121-$G$121)-IF(AND(MOD(O$56,$C$21)=0,O$56&lt;Rates!$D$71),$D$121,0),0)</f>
        <v/>
      </c>
      <c r="P141" s="68">
        <f>IF(P$56&lt;=Rates!$D$71,$F$121*(1+$C$23)^MOD(P$56-1,$C$21)*P$65-($F$121-$G$121)-IF(AND(MOD(P$56,$C$21)=0,P$56&lt;Rates!$D$71),$D$121,0),0)</f>
        <v/>
      </c>
      <c r="Q141" s="68">
        <f>IF(Q$56&lt;=Rates!$D$71,$F$121*(1+$C$23)^MOD(Q$56-1,$C$21)*Q$65-($F$121-$G$121)-IF(AND(MOD(Q$56,$C$21)=0,Q$56&lt;Rates!$D$71),$D$121,0),0)</f>
        <v/>
      </c>
      <c r="R141" s="68">
        <f>IF(R$56&lt;=Rates!$D$71,$F$121*(1+$C$23)^MOD(R$56-1,$C$21)*R$65-($F$121-$G$121)-IF(AND(MOD(R$56,$C$21)=0,R$56&lt;Rates!$D$71),$D$121,0),0)</f>
        <v/>
      </c>
      <c r="S141" s="68">
        <f>IF(S$56&lt;=Rates!$D$71,$F$121*(1+$C$23)^MOD(S$56-1,$C$21)*S$65-($F$121-$G$121)-IF(AND(MOD(S$56,$C$21)=0,S$56&lt;Rates!$D$71),$D$121,0),0)</f>
        <v/>
      </c>
      <c r="T141" s="68">
        <f>IF(T$56&lt;=Rates!$D$71,$F$121*(1+$C$23)^MOD(T$56-1,$C$21)*T$65-($F$121-$G$121)-IF(AND(MOD(T$56,$C$21)=0,T$56&lt;Rates!$D$71),$D$121,0),0)</f>
        <v/>
      </c>
      <c r="U141" s="68">
        <f>IF(U$56&lt;=Rates!$D$71,$F$121*(1+$C$23)^MOD(U$56-1,$C$21)*U$65-($F$121-$G$121)-IF(AND(MOD(U$56,$C$21)=0,U$56&lt;Rates!$D$71),$D$121,0),0)</f>
        <v/>
      </c>
      <c r="V141" s="68">
        <f>IF(V$56&lt;=Rates!$D$71,$F$121*(1+$C$23)^MOD(V$56-1,$C$21)*V$65-($F$121-$G$121)-IF(AND(MOD(V$56,$C$21)=0,V$56&lt;Rates!$D$71),$D$121,0),0)</f>
        <v/>
      </c>
      <c r="W141" s="68">
        <f>IF(W$56&lt;=Rates!$D$71,$F$121*(1+$C$23)^MOD(W$56-1,$C$21)*W$65-($F$121-$G$121)-IF(AND(MOD(W$56,$C$21)=0,W$56&lt;Rates!$D$71),$D$121,0),0)</f>
        <v/>
      </c>
      <c r="X141" s="68">
        <f>IF(X$56&lt;=Rates!$D$71,$F$121*(1+$C$23)^MOD(X$56-1,$C$21)*X$65-($F$121-$G$121)-IF(AND(MOD(X$56,$C$21)=0,X$56&lt;Rates!$D$71),$D$121,0),0)</f>
        <v/>
      </c>
      <c r="Y141" s="68">
        <f>IF(Y$56&lt;=Rates!$D$71,$F$121*(1+$C$23)^MOD(Y$56-1,$C$21)*Y$65-($F$121-$G$121)-IF(AND(MOD(Y$56,$C$21)=0,Y$56&lt;Rates!$D$71),$D$121,0),0)</f>
        <v/>
      </c>
      <c r="Z141" s="68">
        <f>IF(Z$56&lt;=Rates!$D$71,$F$121*(1+$C$23)^MOD(Z$56-1,$C$21)*Z$65-($F$121-$G$121)-IF(AND(MOD(Z$56,$C$21)=0,Z$56&lt;Rates!$D$71),$D$121,0),0)</f>
        <v/>
      </c>
      <c r="AA141" s="68">
        <f>IF(AA$56&lt;=Rates!$D$71,$F$121*(1+$C$23)^MOD(AA$56-1,$C$21)*AA$65-($F$121-$G$121)-IF(AND(MOD(AA$56,$C$21)=0,AA$56&lt;Rates!$D$71),$D$121,0),0)</f>
        <v/>
      </c>
      <c r="AB141" s="68">
        <f>IF(AB$56&lt;=Rates!$D$71,$F$121*(1+$C$23)^MOD(AB$56-1,$C$21)*AB$65-($F$121-$G$121)-IF(AND(MOD(AB$56,$C$21)=0,AB$56&lt;Rates!$D$71),$D$121,0),0)</f>
        <v/>
      </c>
    </row>
    <row r="142">
      <c r="A142" s="68" t="inlineStr">
        <is>
          <t>helper tier 10 decay</t>
        </is>
      </c>
      <c r="C142" s="68">
        <f>-$E$122</f>
        <v/>
      </c>
      <c r="D142" s="68">
        <f>IF(D$56&lt;=Rates!$D$71,$F$122*(1+$C$22)^MOD(D$56-1,$C$21)*D$65-($F$122-$G$122)-IF(AND(MOD(D$56,$C$21)=0,D$56&lt;Rates!$D$71),$D$122,0),0)</f>
        <v/>
      </c>
      <c r="E142" s="68">
        <f>IF(E$56&lt;=Rates!$D$71,$F$122*(1+$C$22)^MOD(E$56-1,$C$21)*E$65-($F$122-$G$122)-IF(AND(MOD(E$56,$C$21)=0,E$56&lt;Rates!$D$71),$D$122,0),0)</f>
        <v/>
      </c>
      <c r="F142" s="68">
        <f>IF(F$56&lt;=Rates!$D$71,$F$122*(1+$C$22)^MOD(F$56-1,$C$21)*F$65-($F$122-$G$122)-IF(AND(MOD(F$56,$C$21)=0,F$56&lt;Rates!$D$71),$D$122,0),0)</f>
        <v/>
      </c>
      <c r="G142" s="68">
        <f>IF(G$56&lt;=Rates!$D$71,$F$122*(1+$C$22)^MOD(G$56-1,$C$21)*G$65-($F$122-$G$122)-IF(AND(MOD(G$56,$C$21)=0,G$56&lt;Rates!$D$71),$D$122,0),0)</f>
        <v/>
      </c>
      <c r="H142" s="68">
        <f>IF(H$56&lt;=Rates!$D$71,$F$122*(1+$C$22)^MOD(H$56-1,$C$21)*H$65-($F$122-$G$122)-IF(AND(MOD(H$56,$C$21)=0,H$56&lt;Rates!$D$71),$D$122,0),0)</f>
        <v/>
      </c>
      <c r="I142" s="68">
        <f>IF(I$56&lt;=Rates!$D$71,$F$122*(1+$C$22)^MOD(I$56-1,$C$21)*I$65-($F$122-$G$122)-IF(AND(MOD(I$56,$C$21)=0,I$56&lt;Rates!$D$71),$D$122,0),0)</f>
        <v/>
      </c>
      <c r="J142" s="68">
        <f>IF(J$56&lt;=Rates!$D$71,$F$122*(1+$C$22)^MOD(J$56-1,$C$21)*J$65-($F$122-$G$122)-IF(AND(MOD(J$56,$C$21)=0,J$56&lt;Rates!$D$71),$D$122,0),0)</f>
        <v/>
      </c>
      <c r="K142" s="68">
        <f>IF(K$56&lt;=Rates!$D$71,$F$122*(1+$C$22)^MOD(K$56-1,$C$21)*K$65-($F$122-$G$122)-IF(AND(MOD(K$56,$C$21)=0,K$56&lt;Rates!$D$71),$D$122,0),0)</f>
        <v/>
      </c>
      <c r="L142" s="68">
        <f>IF(L$56&lt;=Rates!$D$71,$F$122*(1+$C$22)^MOD(L$56-1,$C$21)*L$65-($F$122-$G$122)-IF(AND(MOD(L$56,$C$21)=0,L$56&lt;Rates!$D$71),$D$122,0),0)</f>
        <v/>
      </c>
      <c r="M142" s="68">
        <f>IF(M$56&lt;=Rates!$D$71,$F$122*(1+$C$22)^MOD(M$56-1,$C$21)*M$65-($F$122-$G$122)-IF(AND(MOD(M$56,$C$21)=0,M$56&lt;Rates!$D$71),$D$122,0),0)</f>
        <v/>
      </c>
      <c r="N142" s="68">
        <f>IF(N$56&lt;=Rates!$D$71,$F$122*(1+$C$22)^MOD(N$56-1,$C$21)*N$65-($F$122-$G$122)-IF(AND(MOD(N$56,$C$21)=0,N$56&lt;Rates!$D$71),$D$122,0),0)</f>
        <v/>
      </c>
      <c r="O142" s="68">
        <f>IF(O$56&lt;=Rates!$D$71,$F$122*(1+$C$22)^MOD(O$56-1,$C$21)*O$65-($F$122-$G$122)-IF(AND(MOD(O$56,$C$21)=0,O$56&lt;Rates!$D$71),$D$122,0),0)</f>
        <v/>
      </c>
      <c r="P142" s="68">
        <f>IF(P$56&lt;=Rates!$D$71,$F$122*(1+$C$22)^MOD(P$56-1,$C$21)*P$65-($F$122-$G$122)-IF(AND(MOD(P$56,$C$21)=0,P$56&lt;Rates!$D$71),$D$122,0),0)</f>
        <v/>
      </c>
      <c r="Q142" s="68">
        <f>IF(Q$56&lt;=Rates!$D$71,$F$122*(1+$C$22)^MOD(Q$56-1,$C$21)*Q$65-($F$122-$G$122)-IF(AND(MOD(Q$56,$C$21)=0,Q$56&lt;Rates!$D$71),$D$122,0),0)</f>
        <v/>
      </c>
      <c r="R142" s="68">
        <f>IF(R$56&lt;=Rates!$D$71,$F$122*(1+$C$22)^MOD(R$56-1,$C$21)*R$65-($F$122-$G$122)-IF(AND(MOD(R$56,$C$21)=0,R$56&lt;Rates!$D$71),$D$122,0),0)</f>
        <v/>
      </c>
      <c r="S142" s="68">
        <f>IF(S$56&lt;=Rates!$D$71,$F$122*(1+$C$22)^MOD(S$56-1,$C$21)*S$65-($F$122-$G$122)-IF(AND(MOD(S$56,$C$21)=0,S$56&lt;Rates!$D$71),$D$122,0),0)</f>
        <v/>
      </c>
      <c r="T142" s="68">
        <f>IF(T$56&lt;=Rates!$D$71,$F$122*(1+$C$22)^MOD(T$56-1,$C$21)*T$65-($F$122-$G$122)-IF(AND(MOD(T$56,$C$21)=0,T$56&lt;Rates!$D$71),$D$122,0),0)</f>
        <v/>
      </c>
      <c r="U142" s="68">
        <f>IF(U$56&lt;=Rates!$D$71,$F$122*(1+$C$22)^MOD(U$56-1,$C$21)*U$65-($F$122-$G$122)-IF(AND(MOD(U$56,$C$21)=0,U$56&lt;Rates!$D$71),$D$122,0),0)</f>
        <v/>
      </c>
      <c r="V142" s="68">
        <f>IF(V$56&lt;=Rates!$D$71,$F$122*(1+$C$22)^MOD(V$56-1,$C$21)*V$65-($F$122-$G$122)-IF(AND(MOD(V$56,$C$21)=0,V$56&lt;Rates!$D$71),$D$122,0),0)</f>
        <v/>
      </c>
      <c r="W142" s="68">
        <f>IF(W$56&lt;=Rates!$D$71,$F$122*(1+$C$22)^MOD(W$56-1,$C$21)*W$65-($F$122-$G$122)-IF(AND(MOD(W$56,$C$21)=0,W$56&lt;Rates!$D$71),$D$122,0),0)</f>
        <v/>
      </c>
      <c r="X142" s="68">
        <f>IF(X$56&lt;=Rates!$D$71,$F$122*(1+$C$22)^MOD(X$56-1,$C$21)*X$65-($F$122-$G$122)-IF(AND(MOD(X$56,$C$21)=0,X$56&lt;Rates!$D$71),$D$122,0),0)</f>
        <v/>
      </c>
      <c r="Y142" s="68">
        <f>IF(Y$56&lt;=Rates!$D$71,$F$122*(1+$C$22)^MOD(Y$56-1,$C$21)*Y$65-($F$122-$G$122)-IF(AND(MOD(Y$56,$C$21)=0,Y$56&lt;Rates!$D$71),$D$122,0),0)</f>
        <v/>
      </c>
      <c r="Z142" s="68">
        <f>IF(Z$56&lt;=Rates!$D$71,$F$122*(1+$C$22)^MOD(Z$56-1,$C$21)*Z$65-($F$122-$G$122)-IF(AND(MOD(Z$56,$C$21)=0,Z$56&lt;Rates!$D$71),$D$122,0),0)</f>
        <v/>
      </c>
      <c r="AA142" s="68">
        <f>IF(AA$56&lt;=Rates!$D$71,$F$122*(1+$C$22)^MOD(AA$56-1,$C$21)*AA$65-($F$122-$G$122)-IF(AND(MOD(AA$56,$C$21)=0,AA$56&lt;Rates!$D$71),$D$122,0),0)</f>
        <v/>
      </c>
      <c r="AB142" s="68">
        <f>IF(AB$56&lt;=Rates!$D$71,$F$122*(1+$C$22)^MOD(AB$56-1,$C$21)*AB$65-($F$122-$G$122)-IF(AND(MOD(AB$56,$C$21)=0,AB$56&lt;Rates!$D$71),$D$122,0),0)</f>
        <v/>
      </c>
    </row>
    <row r="143">
      <c r="A143" s="68" t="inlineStr">
        <is>
          <t>helper tier 10 decay_flat</t>
        </is>
      </c>
      <c r="C143" s="68">
        <f>-$E$122</f>
        <v/>
      </c>
      <c r="D143" s="68">
        <f>IF(D$56&lt;=Rates!$D$71,$F$122*(1+$C$23)^MOD(D$56-1,$C$21)*D$65-($F$122-$G$122)-IF(AND(MOD(D$56,$C$21)=0,D$56&lt;Rates!$D$71),$D$122,0),0)</f>
        <v/>
      </c>
      <c r="E143" s="68">
        <f>IF(E$56&lt;=Rates!$D$71,$F$122*(1+$C$23)^MOD(E$56-1,$C$21)*E$65-($F$122-$G$122)-IF(AND(MOD(E$56,$C$21)=0,E$56&lt;Rates!$D$71),$D$122,0),0)</f>
        <v/>
      </c>
      <c r="F143" s="68">
        <f>IF(F$56&lt;=Rates!$D$71,$F$122*(1+$C$23)^MOD(F$56-1,$C$21)*F$65-($F$122-$G$122)-IF(AND(MOD(F$56,$C$21)=0,F$56&lt;Rates!$D$71),$D$122,0),0)</f>
        <v/>
      </c>
      <c r="G143" s="68">
        <f>IF(G$56&lt;=Rates!$D$71,$F$122*(1+$C$23)^MOD(G$56-1,$C$21)*G$65-($F$122-$G$122)-IF(AND(MOD(G$56,$C$21)=0,G$56&lt;Rates!$D$71),$D$122,0),0)</f>
        <v/>
      </c>
      <c r="H143" s="68">
        <f>IF(H$56&lt;=Rates!$D$71,$F$122*(1+$C$23)^MOD(H$56-1,$C$21)*H$65-($F$122-$G$122)-IF(AND(MOD(H$56,$C$21)=0,H$56&lt;Rates!$D$71),$D$122,0),0)</f>
        <v/>
      </c>
      <c r="I143" s="68">
        <f>IF(I$56&lt;=Rates!$D$71,$F$122*(1+$C$23)^MOD(I$56-1,$C$21)*I$65-($F$122-$G$122)-IF(AND(MOD(I$56,$C$21)=0,I$56&lt;Rates!$D$71),$D$122,0),0)</f>
        <v/>
      </c>
      <c r="J143" s="68">
        <f>IF(J$56&lt;=Rates!$D$71,$F$122*(1+$C$23)^MOD(J$56-1,$C$21)*J$65-($F$122-$G$122)-IF(AND(MOD(J$56,$C$21)=0,J$56&lt;Rates!$D$71),$D$122,0),0)</f>
        <v/>
      </c>
      <c r="K143" s="68">
        <f>IF(K$56&lt;=Rates!$D$71,$F$122*(1+$C$23)^MOD(K$56-1,$C$21)*K$65-($F$122-$G$122)-IF(AND(MOD(K$56,$C$21)=0,K$56&lt;Rates!$D$71),$D$122,0),0)</f>
        <v/>
      </c>
      <c r="L143" s="68">
        <f>IF(L$56&lt;=Rates!$D$71,$F$122*(1+$C$23)^MOD(L$56-1,$C$21)*L$65-($F$122-$G$122)-IF(AND(MOD(L$56,$C$21)=0,L$56&lt;Rates!$D$71),$D$122,0),0)</f>
        <v/>
      </c>
      <c r="M143" s="68">
        <f>IF(M$56&lt;=Rates!$D$71,$F$122*(1+$C$23)^MOD(M$56-1,$C$21)*M$65-($F$122-$G$122)-IF(AND(MOD(M$56,$C$21)=0,M$56&lt;Rates!$D$71),$D$122,0),0)</f>
        <v/>
      </c>
      <c r="N143" s="68">
        <f>IF(N$56&lt;=Rates!$D$71,$F$122*(1+$C$23)^MOD(N$56-1,$C$21)*N$65-($F$122-$G$122)-IF(AND(MOD(N$56,$C$21)=0,N$56&lt;Rates!$D$71),$D$122,0),0)</f>
        <v/>
      </c>
      <c r="O143" s="68">
        <f>IF(O$56&lt;=Rates!$D$71,$F$122*(1+$C$23)^MOD(O$56-1,$C$21)*O$65-($F$122-$G$122)-IF(AND(MOD(O$56,$C$21)=0,O$56&lt;Rates!$D$71),$D$122,0),0)</f>
        <v/>
      </c>
      <c r="P143" s="68">
        <f>IF(P$56&lt;=Rates!$D$71,$F$122*(1+$C$23)^MOD(P$56-1,$C$21)*P$65-($F$122-$G$122)-IF(AND(MOD(P$56,$C$21)=0,P$56&lt;Rates!$D$71),$D$122,0),0)</f>
        <v/>
      </c>
      <c r="Q143" s="68">
        <f>IF(Q$56&lt;=Rates!$D$71,$F$122*(1+$C$23)^MOD(Q$56-1,$C$21)*Q$65-($F$122-$G$122)-IF(AND(MOD(Q$56,$C$21)=0,Q$56&lt;Rates!$D$71),$D$122,0),0)</f>
        <v/>
      </c>
      <c r="R143" s="68">
        <f>IF(R$56&lt;=Rates!$D$71,$F$122*(1+$C$23)^MOD(R$56-1,$C$21)*R$65-($F$122-$G$122)-IF(AND(MOD(R$56,$C$21)=0,R$56&lt;Rates!$D$71),$D$122,0),0)</f>
        <v/>
      </c>
      <c r="S143" s="68">
        <f>IF(S$56&lt;=Rates!$D$71,$F$122*(1+$C$23)^MOD(S$56-1,$C$21)*S$65-($F$122-$G$122)-IF(AND(MOD(S$56,$C$21)=0,S$56&lt;Rates!$D$71),$D$122,0),0)</f>
        <v/>
      </c>
      <c r="T143" s="68">
        <f>IF(T$56&lt;=Rates!$D$71,$F$122*(1+$C$23)^MOD(T$56-1,$C$21)*T$65-($F$122-$G$122)-IF(AND(MOD(T$56,$C$21)=0,T$56&lt;Rates!$D$71),$D$122,0),0)</f>
        <v/>
      </c>
      <c r="U143" s="68">
        <f>IF(U$56&lt;=Rates!$D$71,$F$122*(1+$C$23)^MOD(U$56-1,$C$21)*U$65-($F$122-$G$122)-IF(AND(MOD(U$56,$C$21)=0,U$56&lt;Rates!$D$71),$D$122,0),0)</f>
        <v/>
      </c>
      <c r="V143" s="68">
        <f>IF(V$56&lt;=Rates!$D$71,$F$122*(1+$C$23)^MOD(V$56-1,$C$21)*V$65-($F$122-$G$122)-IF(AND(MOD(V$56,$C$21)=0,V$56&lt;Rates!$D$71),$D$122,0),0)</f>
        <v/>
      </c>
      <c r="W143" s="68">
        <f>IF(W$56&lt;=Rates!$D$71,$F$122*(1+$C$23)^MOD(W$56-1,$C$21)*W$65-($F$122-$G$122)-IF(AND(MOD(W$56,$C$21)=0,W$56&lt;Rates!$D$71),$D$122,0),0)</f>
        <v/>
      </c>
      <c r="X143" s="68">
        <f>IF(X$56&lt;=Rates!$D$71,$F$122*(1+$C$23)^MOD(X$56-1,$C$21)*X$65-($F$122-$G$122)-IF(AND(MOD(X$56,$C$21)=0,X$56&lt;Rates!$D$71),$D$122,0),0)</f>
        <v/>
      </c>
      <c r="Y143" s="68">
        <f>IF(Y$56&lt;=Rates!$D$71,$F$122*(1+$C$23)^MOD(Y$56-1,$C$21)*Y$65-($F$122-$G$122)-IF(AND(MOD(Y$56,$C$21)=0,Y$56&lt;Rates!$D$71),$D$122,0),0)</f>
        <v/>
      </c>
      <c r="Z143" s="68">
        <f>IF(Z$56&lt;=Rates!$D$71,$F$122*(1+$C$23)^MOD(Z$56-1,$C$21)*Z$65-($F$122-$G$122)-IF(AND(MOD(Z$56,$C$21)=0,Z$56&lt;Rates!$D$71),$D$122,0),0)</f>
        <v/>
      </c>
      <c r="AA143" s="68">
        <f>IF(AA$56&lt;=Rates!$D$71,$F$122*(1+$C$23)^MOD(AA$56-1,$C$21)*AA$65-($F$122-$G$122)-IF(AND(MOD(AA$56,$C$21)=0,AA$56&lt;Rates!$D$71),$D$122,0),0)</f>
        <v/>
      </c>
      <c r="AB143" s="68">
        <f>IF(AB$56&lt;=Rates!$D$71,$F$122*(1+$C$23)^MOD(AB$56-1,$C$21)*AB$65-($F$122-$G$122)-IF(AND(MOD(AB$56,$C$21)=0,AB$56&lt;Rates!$D$71),$D$122,0),0)</f>
        <v/>
      </c>
    </row>
    <row r="144"/>
    <row r="145"/>
    <row r="146">
      <c r="A146" s="68" t="inlineStr">
        <is>
          <t>Not included: GPU import duty/GST timing, financing, tax, resale value, remote-site staff premium, (connectivity now on the Connectivity tab), sales/marketing, customer concentration. A sell-compute business carries GPU price and utilisation risk that a colo landlord does not.</t>
        </is>
      </c>
    </row>
  </sheetData>
  <mergeCells count="1">
    <mergeCell ref="A2:F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60" customWidth="1" style="69" min="1" max="1"/>
    <col width="16" customWidth="1" style="69" min="2" max="2"/>
    <col width="14" customWidth="1" style="69" min="3" max="3"/>
    <col width="26" customWidth="1" style="69" min="4" max="4"/>
    <col width="16" customWidth="1" style="69" min="5" max="5"/>
    <col width="16" customWidth="1" style="69" min="6" max="6"/>
    <col width="12" customWidth="1" style="69" min="7" max="7"/>
    <col width="60" customWidth="1" style="69" min="8" max="8"/>
    <col width="40" customWidth="1" style="69" min="9" max="9"/>
  </cols>
  <sheetData>
    <row r="1">
      <c r="A1" s="100" t="inlineStr">
        <is>
          <t>ARCHEGON  ·  CONNECTIVITY — how the GPUs reach customers. Scenario toggle feeds Sell-Compute. PUBLIC PROXY inputs; not quotes.</t>
        </is>
      </c>
      <c r="B1" s="101" t="n"/>
      <c r="C1" s="101" t="n"/>
      <c r="D1" s="101" t="n"/>
      <c r="E1" s="101" t="n"/>
      <c r="F1" s="101" t="n"/>
      <c r="G1" s="101" t="n"/>
      <c r="H1" s="101" t="n"/>
    </row>
    <row r="2"/>
    <row r="3">
      <c r="A3" s="68" t="inlineStr">
        <is>
          <t>Scenario selected (1 = today: one satellite terminal, 2 = bonded satellite terminals, 3 = future satellite gateway, 4 = fibre). Change C4.</t>
        </is>
      </c>
    </row>
    <row r="4">
      <c r="A4" s="68" t="inlineStr">
        <is>
          <t>SCENARIO</t>
        </is>
      </c>
      <c r="C4" s="68" t="n">
        <v>4</v>
      </c>
    </row>
    <row r="5">
      <c r="A5" s="68" t="inlineStr">
        <is>
          <t>AU selected: connectivity capex, A$</t>
        </is>
      </c>
      <c r="C5" s="90">
        <f>IF($C$10=1,CHOOSE($C$4,E46,E48,E50,E52),CHOOSE($C$4,E47,E49,E51,E53))</f>
        <v/>
      </c>
    </row>
    <row r="6">
      <c r="A6" s="68" t="inlineStr">
        <is>
          <t>AU selected: connectivity opex, A$/yr</t>
        </is>
      </c>
      <c r="C6" s="90">
        <f>IF($C$10=1,CHOOSE($C$4,F46,F48,F50,F52),CHOOSE($C$4,F47,F49,F51,F53))</f>
        <v/>
      </c>
    </row>
    <row r="7">
      <c r="A7" s="68" t="inlineStr">
        <is>
          <t>NZ selected: connectivity capex, A$</t>
        </is>
      </c>
      <c r="C7" s="90">
        <f>E57</f>
        <v/>
      </c>
    </row>
    <row r="8">
      <c r="A8" s="68" t="inlineStr">
        <is>
          <t>NZ selected: connectivity opex, A$/yr</t>
        </is>
      </c>
      <c r="C8" s="90">
        <f>F57</f>
        <v/>
      </c>
    </row>
    <row r="9">
      <c r="A9" s="68" t="inlineStr">
        <is>
          <t>AU selected: can it carry the need for the chosen workload?</t>
        </is>
      </c>
      <c r="C9" s="68">
        <f>IF($C$10=1,CHOOSE($C$4,G46,G48,G50,G52),CHOOSE($C$4,G47,G49,G51,G53))</f>
        <v/>
      </c>
    </row>
    <row r="10">
      <c r="A10" s="68" t="inlineStr">
        <is>
          <t>WORKLOAD (1 = training-style, 2 = inference serving). Change C10.</t>
        </is>
      </c>
      <c r="C10" s="68" t="n">
        <v>1</v>
      </c>
    </row>
    <row r="11">
      <c r="A11" s="68" t="inlineStr">
        <is>
          <t>AU selected: deliverable bandwidth, Gbps</t>
        </is>
      </c>
      <c r="C11" s="123">
        <f>IF($C$10=1,CHOOSE($C$4,C46,C48,C50,C52),CHOOSE($C$4,C47,C49,C51,C53))</f>
        <v/>
      </c>
    </row>
    <row r="12">
      <c r="A12" s="68" t="inlineStr">
        <is>
          <t>AU selected: bandwidth the workload needs, Gbps</t>
        </is>
      </c>
      <c r="C12" s="143">
        <f>IF($C$10=1,CHOOSE($C$4,B46,B48,B50,B52),CHOOSE($C$4,B47,B49,B51,B53))</f>
        <v/>
      </c>
    </row>
    <row r="13">
      <c r="A13" s="68" t="inlineStr">
        <is>
          <t>AU SELLABLE SHARE of GPU-hours = MIN(1, deliverable / need). Caps Sell-Compute revenue.</t>
        </is>
      </c>
      <c r="C13" s="91">
        <f>MIN(1,C11/C12)</f>
        <v/>
      </c>
    </row>
    <row r="14">
      <c r="A14" s="68" t="inlineStr">
        <is>
          <t>NZ sellable share (fibre lateral; NZ onward transit RATE_MISSING)</t>
        </is>
      </c>
      <c r="C14" s="68" t="n">
        <v>1</v>
      </c>
    </row>
    <row r="15"/>
    <row r="16">
      <c r="A16" s="89" t="inlineStr">
        <is>
          <t>id</t>
        </is>
      </c>
      <c r="B16" s="89" t="inlineStr">
        <is>
          <t>Input</t>
        </is>
      </c>
      <c r="C16" s="89" t="inlineStr">
        <is>
          <t>Value</t>
        </is>
      </c>
      <c r="D16" s="89" t="inlineStr">
        <is>
          <t>Unit</t>
        </is>
      </c>
      <c r="E16" s="89" t="inlineStr">
        <is>
          <t>Status</t>
        </is>
      </c>
      <c r="F16" s="89" t="inlineStr">
        <is>
          <t>Source</t>
        </is>
      </c>
      <c r="G16" s="89" t="inlineStr">
        <is>
          <t>URL</t>
        </is>
      </c>
      <c r="H16" s="89" t="inlineStr">
        <is>
          <t>Date</t>
        </is>
      </c>
      <c r="I16" s="89" t="inlineStr">
        <is>
          <t>Caveat</t>
        </is>
      </c>
    </row>
    <row r="17">
      <c r="A17" s="68" t="inlineStr">
        <is>
          <t>bw_train</t>
        </is>
      </c>
      <c r="B17" s="68" t="inlineStr">
        <is>
          <t>Internet bandwidth, training-style cluster (100-1,000+ GPUs), low end</t>
        </is>
      </c>
      <c r="C17" s="68" t="n">
        <v>10</v>
      </c>
      <c r="D17" s="68" t="inlineStr">
        <is>
          <t>Gbps</t>
        </is>
      </c>
      <c r="E17" s="68" t="inlineStr">
        <is>
          <t>PUBLIC PROXY</t>
        </is>
      </c>
      <c r="F17" s="68" t="inlineStr">
        <is>
          <t>RAX: data-centre bandwidth for AI workloads</t>
        </is>
      </c>
      <c r="G17" s="68" t="inlineStr">
        <is>
          <t>https://rax.ae/knowledge-center/articles/data-center-bandwidth-network-peering-ai-workloads.html</t>
        </is>
      </c>
      <c r="H17" s="68" t="inlineStr">
        <is>
          <t>2026</t>
        </is>
      </c>
      <c r="I17" s="68" t="inlineStr">
        <is>
          <t>Range 10-100 Gbps committed. Dataset ingest + checkpoints; GPU-to-GPU traffic stays inside the hall.</t>
        </is>
      </c>
    </row>
    <row r="18">
      <c r="A18" s="68" t="inlineStr">
        <is>
          <t>bw_inf100</t>
        </is>
      </c>
      <c r="B18" s="68" t="inlineStr">
        <is>
          <t>Internet bandwidth, inference serving, per 100 GPUs, low end</t>
        </is>
      </c>
      <c r="C18" s="68" t="n">
        <v>10</v>
      </c>
      <c r="D18" s="68" t="inlineStr">
        <is>
          <t>Gbps</t>
        </is>
      </c>
      <c r="E18" s="68" t="inlineStr">
        <is>
          <t>PUBLIC PROXY</t>
        </is>
      </c>
      <c r="F18" s="68" t="inlineStr">
        <is>
          <t>RAX (as above)</t>
        </is>
      </c>
      <c r="G18" s="68" t="inlineStr">
        <is>
          <t>https://rax.ae/knowledge-center/articles/data-center-bandwidth-network-peering-ai-workloads.html</t>
        </is>
      </c>
      <c r="H18" s="68" t="inlineStr">
        <is>
          <t>2026</t>
        </is>
      </c>
      <c r="I18" s="68" t="inlineStr">
        <is>
          <t>Range 10-40 Gbps per 100 GPUs.</t>
        </is>
      </c>
    </row>
    <row r="19">
      <c r="A19" s="68" t="inlineStr">
        <is>
          <t>sl_busy</t>
        </is>
      </c>
      <c r="B19" s="68" t="inlineStr">
        <is>
          <t>Satellite terminal busy-hour throughput, today</t>
        </is>
      </c>
      <c r="C19" s="68" t="n">
        <v>50</v>
      </c>
      <c r="D19" s="68" t="inlineStr">
        <is>
          <t>Mbps</t>
        </is>
      </c>
      <c r="E19" s="68" t="inlineStr">
        <is>
          <t>PUBLIC PROXY</t>
        </is>
      </c>
      <c r="F19" s="68" t="inlineStr">
        <is>
          <t>Telstra Satellite Internet (Starlink) busy-hour typical</t>
        </is>
      </c>
      <c r="G19" s="68" t="inlineStr">
        <is>
          <t>https://www.telstra.com.au/internet/starlink</t>
        </is>
      </c>
      <c r="H19" s="68" t="inlineStr">
        <is>
          <t>2026</t>
        </is>
      </c>
      <c r="I19" s="68" t="inlineStr">
        <is>
          <t>Same figure as Sell-Compute starlink_mbps.</t>
        </is>
      </c>
    </row>
    <row r="20">
      <c r="A20" s="68" t="inlineStr">
        <is>
          <t>sl_adv</t>
        </is>
      </c>
      <c r="B20" s="68" t="inlineStr">
        <is>
          <t>Priority plan advertised download, low end</t>
        </is>
      </c>
      <c r="C20" s="68" t="n">
        <v>135</v>
      </c>
      <c r="D20" s="68" t="inlineStr">
        <is>
          <t>Mbps</t>
        </is>
      </c>
      <c r="E20" s="68" t="inlineStr">
        <is>
          <t>PUBLIC PROXY</t>
        </is>
      </c>
      <c r="F20" s="68" t="inlineStr">
        <is>
          <t>WhistleOut: Starlink priority plans</t>
        </is>
      </c>
      <c r="G20" s="68" t="inlineStr">
        <is>
          <t>https://www.whistleout.com.au/Broadband/Guides/Starlink-Priority-Plans</t>
        </is>
      </c>
      <c r="H20" s="68" t="inlineStr">
        <is>
          <t>Oct 2026</t>
        </is>
      </c>
      <c r="I20" s="68" t="inlineStr">
        <is>
          <t>Advertised 135-310 Mbps; not busy-hour.</t>
        </is>
      </c>
    </row>
    <row r="21">
      <c r="A21" s="68" t="inlineStr">
        <is>
          <t>sl_plan</t>
        </is>
      </c>
      <c r="B21" s="68" t="inlineStr">
        <is>
          <t>Local Priority 2 TB plan, per terminal (1 terminal per service line)</t>
        </is>
      </c>
      <c r="C21" s="68" t="n">
        <v>806</v>
      </c>
      <c r="D21" s="68" t="inlineStr">
        <is>
          <t>A$/month</t>
        </is>
      </c>
      <c r="E21" s="68" t="inlineStr">
        <is>
          <t>PUBLIC PROXY</t>
        </is>
      </c>
      <c r="F21" s="68" t="inlineStr">
        <is>
          <t>WhistleOut / Finder</t>
        </is>
      </c>
      <c r="G21" s="68" t="inlineStr">
        <is>
          <t>https://www.whistleout.com.au/Broadband/Guides/Starlink-Priority-Plans</t>
        </is>
      </c>
      <c r="H21" s="68" t="inlineStr">
        <is>
          <t>Oct 2026</t>
        </is>
      </c>
      <c r="I21" s="68" t="inlineStr">
        <is>
          <t>Canstar lists A$906. After priority data: 1 Mbps unless extra blocks bought.</t>
        </is>
      </c>
    </row>
    <row r="22">
      <c r="A22" s="68" t="inlineStr">
        <is>
          <t>sl_gb</t>
        </is>
      </c>
      <c r="B22" s="68" t="inlineStr">
        <is>
          <t>Priority data included in that plan</t>
        </is>
      </c>
      <c r="C22" s="68" t="n">
        <v>2000</v>
      </c>
      <c r="D22" s="68" t="inlineStr">
        <is>
          <t>GB/month</t>
        </is>
      </c>
      <c r="E22" s="68" t="inlineStr">
        <is>
          <t>PUBLIC PROXY</t>
        </is>
      </c>
      <c r="F22" s="68" t="inlineStr">
        <is>
          <t>WhistleOut</t>
        </is>
      </c>
      <c r="G22" s="68" t="inlineStr">
        <is>
          <t>https://www.whistleout.com.au/Broadband/Guides/Starlink-Priority-Plans</t>
        </is>
      </c>
      <c r="H22" s="68" t="inlineStr">
        <is>
          <t>Oct 2026</t>
        </is>
      </c>
      <c r="I22" s="68" t="inlineStr"/>
    </row>
    <row r="23">
      <c r="A23" s="68" t="inlineStr">
        <is>
          <t>sl_blk</t>
        </is>
      </c>
      <c r="B23" s="68" t="inlineStr">
        <is>
          <t>Extra priority data block</t>
        </is>
      </c>
      <c r="C23" s="68" t="n">
        <v>38</v>
      </c>
      <c r="D23" s="68" t="inlineStr">
        <is>
          <t>A$ per 50 GB</t>
        </is>
      </c>
      <c r="E23" s="68" t="inlineStr">
        <is>
          <t>PUBLIC PROXY</t>
        </is>
      </c>
      <c r="F23" s="68" t="inlineStr">
        <is>
          <t>WhistleOut</t>
        </is>
      </c>
      <c r="G23" s="68" t="inlineStr">
        <is>
          <t>https://www.whistleout.com.au/Broadband/Guides/Starlink-Priority-Plans</t>
        </is>
      </c>
      <c r="H23" s="68" t="inlineStr">
        <is>
          <t>Oct 2026</t>
        </is>
      </c>
      <c r="I23" s="68" t="inlineStr">
        <is>
          <t>Canstar lists A$42.</t>
        </is>
      </c>
    </row>
    <row r="24">
      <c r="A24" s="68" t="inlineStr">
        <is>
          <t>sl_kit</t>
        </is>
      </c>
      <c r="B24" s="68" t="inlineStr">
        <is>
          <t>Performance kit (terminal hardware)</t>
        </is>
      </c>
      <c r="C24" s="68" t="n">
        <v>2499</v>
      </c>
      <c r="D24" s="68" t="inlineStr">
        <is>
          <t>A$/terminal</t>
        </is>
      </c>
      <c r="E24" s="68" t="inlineStr">
        <is>
          <t>PUBLIC PROXY</t>
        </is>
      </c>
      <c r="F24" s="68" t="inlineStr">
        <is>
          <t>Canstar: Starlink Australia</t>
        </is>
      </c>
      <c r="G24" s="68" t="inlineStr">
        <is>
          <t>https://www.canstar.com.au/internet/starlink/</t>
        </is>
      </c>
      <c r="H24" s="68" t="inlineStr">
        <is>
          <t>2026</t>
        </is>
      </c>
      <c r="I24" s="68" t="inlineStr">
        <is>
          <t>Standard kit A$549.</t>
        </is>
      </c>
    </row>
    <row r="25">
      <c r="A25" s="68" t="inlineStr">
        <is>
          <t>sl_cell</t>
        </is>
      </c>
      <c r="B25" s="68" t="inlineStr">
        <is>
          <t>Satellite downlink licensed per ground cell (Ku, V2 mini)</t>
        </is>
      </c>
      <c r="C25" s="68" t="n">
        <v>20</v>
      </c>
      <c r="D25" s="68" t="inlineStr">
        <is>
          <t>Gbps</t>
        </is>
      </c>
      <c r="E25" s="68" t="inlineStr">
        <is>
          <t>PUBLIC PROXY</t>
        </is>
      </c>
      <c r="F25" s="68" t="inlineStr">
        <is>
          <t>FCC licence figures summarised on the Starlink research list (Univ. of Auckland)</t>
        </is>
      </c>
      <c r="G25" s="68" t="inlineStr">
        <is>
          <t>https://lists.bufferbloat.net/starlink/ce654e6f-e9b9-4cd5-8bb8-81d06def070e@auckland.ac.nz/1-a.txt</t>
        </is>
      </c>
      <c r="H25" s="68" t="inlineStr">
        <is>
          <t>2024</t>
        </is>
      </c>
      <c r="I25" s="68" t="inlineStr">
        <is>
          <t>Shared by every user in the cell; a hard ceiling on bonding.</t>
        </is>
      </c>
    </row>
    <row r="26">
      <c r="A26" s="68" t="inlineStr">
        <is>
          <t>bond_eff</t>
        </is>
      </c>
      <c r="B26" s="68" t="inlineStr">
        <is>
          <t>Bonding efficiency (5 x 250 Mbps bonded to 650 Mbps)</t>
        </is>
      </c>
      <c r="C26" s="68">
        <f>650/(5*250)</f>
        <v/>
      </c>
      <c r="D26" s="68" t="inlineStr">
        <is>
          <t>share</t>
        </is>
      </c>
      <c r="E26" s="68" t="inlineStr">
        <is>
          <t>DERIVED</t>
        </is>
      </c>
      <c r="F26" s="68" t="inlineStr">
        <is>
          <t>Peplink community test, FusionHub endpoint</t>
        </is>
      </c>
      <c r="G26" s="68" t="inlineStr">
        <is>
          <t>https://forum.peplink.com/t/bonding-of-5-starlink-with-balance-sdx/56160</t>
        </is>
      </c>
      <c r="H26" s="68" t="inlineStr">
        <is>
          <t>2025</t>
        </is>
      </c>
      <c r="I26" s="68" t="inlineStr">
        <is>
          <t>650 / (5 x 250). The operator also says gains do not scale linearly (Starlink help centre).</t>
        </is>
      </c>
    </row>
    <row r="27">
      <c r="A27" s="68" t="inlineStr">
        <is>
          <t>pep_per</t>
        </is>
      </c>
      <c r="B27" s="68" t="inlineStr">
        <is>
          <t>Satellite links per bonding router cluster</t>
        </is>
      </c>
      <c r="C27" s="68" t="n">
        <v>18</v>
      </c>
      <c r="D27" s="68" t="inlineStr">
        <is>
          <t>terminals</t>
        </is>
      </c>
      <c r="E27" s="68" t="inlineStr">
        <is>
          <t>PUBLIC PROXY</t>
        </is>
      </c>
      <c r="F27" s="68" t="inlineStr">
        <is>
          <t>Peplink multi-Starlink bonding page</t>
        </is>
      </c>
      <c r="G27" s="68" t="inlineStr">
        <is>
          <t>https://www.peplink.com/solutions/starlink-solutions-page/</t>
        </is>
      </c>
      <c r="H27" s="68" t="inlineStr">
        <is>
          <t>2026</t>
        </is>
      </c>
      <c r="I27" s="68" t="inlineStr">
        <is>
          <t>Balance 5000 EC cluster, 30 Gbps tunnel capacity.</t>
        </is>
      </c>
    </row>
    <row r="28">
      <c r="A28" s="68" t="inlineStr">
        <is>
          <t>pep_usd</t>
        </is>
      </c>
      <c r="B28" s="68" t="inlineStr">
        <is>
          <t>Bonding router (Balance 5000 EC 100G), one at site and one at hub</t>
        </is>
      </c>
      <c r="C28" s="68" t="n">
        <v>39999</v>
      </c>
      <c r="D28" s="68" t="inlineStr">
        <is>
          <t>US$/router</t>
        </is>
      </c>
      <c r="E28" s="68" t="inlineStr">
        <is>
          <t>PUBLIC PROXY</t>
        </is>
      </c>
      <c r="F28" s="68" t="inlineStr">
        <is>
          <t>peprouter.com list price</t>
        </is>
      </c>
      <c r="G28" s="68" t="inlineStr">
        <is>
          <t>https://peprouter.com/products/balance-5000-ec</t>
        </is>
      </c>
      <c r="H28" s="68" t="inlineStr">
        <is>
          <t>Oct 2026</t>
        </is>
      </c>
      <c r="I28" s="68" t="inlineStr">
        <is>
          <t>Other resellers US$30-45k.</t>
        </is>
      </c>
    </row>
    <row r="29">
      <c r="A29" s="68" t="inlineStr">
        <is>
          <t>cg_up</t>
        </is>
      </c>
      <c r="B29" s="68" t="inlineStr">
        <is>
          <t>Satellite community gateway, upfront</t>
        </is>
      </c>
      <c r="C29" s="68" t="n">
        <v>1250000</v>
      </c>
      <c r="D29" s="68" t="inlineStr">
        <is>
          <t>US$</t>
        </is>
      </c>
      <c r="E29" s="68" t="inlineStr">
        <is>
          <t>PUBLIC PROXY</t>
        </is>
      </c>
      <c r="F29" s="68" t="inlineStr">
        <is>
          <t>Via Satellite / PCMag</t>
        </is>
      </c>
      <c r="G29" s="68" t="inlineStr">
        <is>
          <t>https://www.pcmag.com/news/starlink-latest-offering-gigabit-gateways-starting-at-75000-per-month</t>
        </is>
      </c>
      <c r="H29" s="68" t="inlineStr">
        <is>
          <t>17 Jan 2024</t>
        </is>
      </c>
      <c r="I29" s="68" t="inlineStr">
        <is>
          <t>2024 list price; may change with V3.</t>
        </is>
      </c>
    </row>
    <row r="30">
      <c r="A30" s="68" t="inlineStr">
        <is>
          <t>cg_mo</t>
        </is>
      </c>
      <c r="B30" s="68" t="inlineStr">
        <is>
          <t>Community gateway, per Gbps per month</t>
        </is>
      </c>
      <c r="C30" s="68" t="n">
        <v>75000</v>
      </c>
      <c r="D30" s="68" t="inlineStr">
        <is>
          <t>US$/Gbps/month</t>
        </is>
      </c>
      <c r="E30" s="68" t="inlineStr">
        <is>
          <t>PUBLIC PROXY</t>
        </is>
      </c>
      <c r="F30" s="68" t="inlineStr">
        <is>
          <t>Via Satellite / PCMag</t>
        </is>
      </c>
      <c r="G30" s="68" t="inlineStr">
        <is>
          <t>https://www.satellitetoday.com/connectivity/2024/01/17/starlink-advertises-community-gateway-service/</t>
        </is>
      </c>
      <c r="H30" s="68" t="inlineStr">
        <is>
          <t>17 Jan 2024</t>
        </is>
      </c>
      <c r="I30" s="68" t="inlineStr">
        <is>
          <t>Committed in 1 Gbps steps.</t>
        </is>
      </c>
    </row>
    <row r="31">
      <c r="A31" s="68" t="inlineStr">
        <is>
          <t>cg_max</t>
        </is>
      </c>
      <c r="B31" s="68" t="inlineStr">
        <is>
          <t>Community gateway maximum throughput</t>
        </is>
      </c>
      <c r="C31" s="68" t="n">
        <v>10</v>
      </c>
      <c r="D31" s="68" t="inlineStr">
        <is>
          <t>Gbps</t>
        </is>
      </c>
      <c r="E31" s="68" t="inlineStr">
        <is>
          <t>PUBLIC PROXY</t>
        </is>
      </c>
      <c r="F31" s="68" t="inlineStr">
        <is>
          <t>Speedcast gateway brochure</t>
        </is>
      </c>
      <c r="G31" s="68" t="inlineStr">
        <is>
          <t>https://www.speedcast.com/wp-content/uploads/2022/09/Speedcast_Starlink_Community_Gateway-Brochure.pdf</t>
        </is>
      </c>
      <c r="H31" s="68" t="inlineStr">
        <is>
          <t>2024</t>
        </is>
      </c>
      <c r="I31" s="68" t="inlineStr">
        <is>
          <t>Up to 10 Gbps symmetric.</t>
        </is>
      </c>
    </row>
    <row r="32">
      <c r="A32" s="68" t="inlineStr">
        <is>
          <t>v3_tbps</t>
        </is>
      </c>
      <c r="B32" s="68" t="inlineStr">
        <is>
          <t>Next-gen (V3) satellite downlink per satellite (claim)</t>
        </is>
      </c>
      <c r="C32" s="68" t="n">
        <v>1</v>
      </c>
      <c r="D32" s="68" t="inlineStr">
        <is>
          <t>Tbps</t>
        </is>
      </c>
      <c r="E32" s="68" t="inlineStr">
        <is>
          <t>PUBLIC PROXY</t>
        </is>
      </c>
      <c r="F32" s="68" t="inlineStr">
        <is>
          <t>SpaceX / Light Reading</t>
        </is>
      </c>
      <c r="G32" s="68" t="inlineStr">
        <is>
          <t>https://www.lightreading.com/satellite/starship-reaches-orbit-releases-26-high-capacity-v3-starlink-satellites</t>
        </is>
      </c>
      <c r="H32" s="68" t="inlineStr">
        <is>
          <t>28 Sep 2026</t>
        </is>
      </c>
      <c r="I32" s="68" t="inlineStr">
        <is>
          <t>First 26 launched; not yet in service. Per-cell limit for V3 not published. Not used in costs.</t>
        </is>
      </c>
    </row>
    <row r="33">
      <c r="A33" s="68" t="inlineStr">
        <is>
          <t>km_moomba</t>
        </is>
      </c>
      <c r="B33" s="68" t="inlineStr">
        <is>
          <t>Innamincka to Moomba, straight line</t>
        </is>
      </c>
      <c r="C33" s="68" t="n">
        <v>66</v>
      </c>
      <c r="D33" s="68" t="inlineStr">
        <is>
          <t>km</t>
        </is>
      </c>
      <c r="E33" s="68" t="inlineStr">
        <is>
          <t>PUBLIC PROXY</t>
        </is>
      </c>
      <c r="F33" s="68" t="inlineStr">
        <is>
          <t>Wikipedia: Innamincka</t>
        </is>
      </c>
      <c r="G33" s="68" t="inlineStr">
        <is>
          <t>https://en.wikipedia.org/wiki/Innamincka,_South_Australia</t>
        </is>
      </c>
      <c r="H33" s="68" t="inlineStr">
        <is>
          <t>Oct 2026</t>
        </is>
      </c>
      <c r="I33" s="68" t="inlineStr">
        <is>
          <t>Moomba links to Adelaide via Santos microwave/fibre and Telstra fibre (2013); third-party access not public.</t>
        </is>
      </c>
    </row>
    <row r="34">
      <c r="A34" s="68" t="inlineStr">
        <is>
          <t>km_lynd</t>
        </is>
      </c>
      <c r="B34" s="68" t="inlineStr">
        <is>
          <t>Innamincka to Lyndhurst (fallback if Moomba access refused)</t>
        </is>
      </c>
      <c r="C34" s="68" t="n">
        <v>365</v>
      </c>
      <c r="D34" s="68" t="inlineStr">
        <is>
          <t>km</t>
        </is>
      </c>
      <c r="E34" s="68" t="inlineStr">
        <is>
          <t>PUBLIC PROXY</t>
        </is>
      </c>
      <c r="F34" s="68" t="inlineStr">
        <is>
          <t>Wikipedia: Innamincka</t>
        </is>
      </c>
      <c r="G34" s="68" t="inlineStr">
        <is>
          <t>https://en.wikipedia.org/wiki/Innamincka,_South_Australia</t>
        </is>
      </c>
      <c r="H34" s="68" t="inlineStr">
        <is>
          <t>Oct 2026</t>
        </is>
      </c>
      <c r="I34" s="68" t="inlineStr">
        <is>
          <t>Telstra presence at Lyndhurst not verified.</t>
        </is>
      </c>
    </row>
    <row r="35">
      <c r="A35" s="68" t="inlineStr">
        <is>
          <t>route_f</t>
        </is>
      </c>
      <c r="B35" s="68" t="inlineStr">
        <is>
          <t>Route length / straight line</t>
        </is>
      </c>
      <c r="C35" s="68" t="n">
        <v>1.2</v>
      </c>
      <c r="D35" s="68" t="inlineStr">
        <is>
          <t>x</t>
        </is>
      </c>
      <c r="E35" s="68" t="inlineStr">
        <is>
          <t>ASSUMPTION</t>
        </is>
      </c>
      <c r="F35" s="68" t="inlineStr">
        <is>
          <t>Archegon assumption</t>
        </is>
      </c>
      <c r="G35" s="68" t="inlineStr"/>
      <c r="H35" s="68" t="inlineStr">
        <is>
          <t>12 Oct 2026</t>
        </is>
      </c>
      <c r="I35" s="68" t="inlineStr">
        <is>
          <t>Road/track detour; replace with survey.</t>
        </is>
      </c>
    </row>
    <row r="36">
      <c r="A36" s="68" t="inlineStr">
        <is>
          <t>cpk_low</t>
        </is>
      </c>
      <c r="B36" s="68" t="inlineStr">
        <is>
          <t>Fibre build cost, low (Regional Backbone Blackspots: A$250m / 6,000 km)</t>
        </is>
      </c>
      <c r="C36" s="68">
        <f>250000000/6000</f>
        <v/>
      </c>
      <c r="D36" s="68" t="inlineStr">
        <is>
          <t>A$/km</t>
        </is>
      </c>
      <c r="E36" s="68" t="inlineStr">
        <is>
          <t>DERIVED</t>
        </is>
      </c>
      <c r="F36" s="68" t="inlineStr">
        <is>
          <t>Treasury ministers: Toowoomba-Darwin completion</t>
        </is>
      </c>
      <c r="G36" s="68" t="inlineStr">
        <is>
          <t>https://ministers.treasury.gov.au/ministers/wayne-swan-2007/speeches/address-mark-completion-toowoomba-darwin-fibre-optic-long-haul</t>
        </is>
      </c>
      <c r="H36" s="68" t="inlineStr">
        <is>
          <t>2011</t>
        </is>
      </c>
      <c r="I36" s="68" t="inlineStr">
        <is>
          <t>250,000,000 / 6,000. 2011 dollars; includes redundant paths.</t>
        </is>
      </c>
    </row>
    <row r="37">
      <c r="A37" s="68" t="inlineStr">
        <is>
          <t>cpk_high</t>
        </is>
      </c>
      <c r="B37" s="68" t="inlineStr">
        <is>
          <t>Fibre build cost to a remote outback site, high</t>
        </is>
      </c>
      <c r="C37" s="68" t="n">
        <v>200000</v>
      </c>
      <c r="D37" s="68" t="inlineStr">
        <is>
          <t>A$/km</t>
        </is>
      </c>
      <c r="E37" s="68" t="inlineStr">
        <is>
          <t>PUBLIC PROXY</t>
        </is>
      </c>
      <c r="F37" s="68" t="inlineStr">
        <is>
          <t>SpaceSGP: Australia satellite internet 2026</t>
        </is>
      </c>
      <c r="G37" s="68" t="inlineStr">
        <is>
          <t>https://www.spacesgp.com/en/insights/australia-satellite-internet-leo-2026</t>
        </is>
      </c>
      <c r="H37" s="68" t="inlineStr">
        <is>
          <t>2026</t>
        </is>
      </c>
      <c r="I37" s="68" t="inlineStr">
        <is>
          <t>Range A$50k-200k/km.</t>
        </is>
      </c>
    </row>
    <row r="38">
      <c r="A38" s="68" t="inlineStr">
        <is>
          <t>cpk_base</t>
        </is>
      </c>
      <c r="B38" s="68" t="inlineStr">
        <is>
          <t>Fibre build cost, base (mid of A$50k-200k range)</t>
        </is>
      </c>
      <c r="C38" s="68">
        <f>(50000+200000)/2</f>
        <v/>
      </c>
      <c r="D38" s="68" t="inlineStr">
        <is>
          <t>A$/km</t>
        </is>
      </c>
      <c r="E38" s="68" t="inlineStr">
        <is>
          <t>DERIVED</t>
        </is>
      </c>
      <c r="F38" s="68" t="inlineStr">
        <is>
          <t>SpaceSGP range midpoint</t>
        </is>
      </c>
      <c r="G38" s="68" t="inlineStr">
        <is>
          <t>https://www.spacesgp.com/en/insights/australia-satellite-internet-leo-2026</t>
        </is>
      </c>
      <c r="H38" s="68" t="inlineStr">
        <is>
          <t>2026</t>
        </is>
      </c>
      <c r="I38" s="68" t="inlineStr">
        <is>
          <t>(50,000 + 200,000) / 2</t>
        </is>
      </c>
    </row>
    <row r="39">
      <c r="A39" s="68" t="inlineStr">
        <is>
          <t>fib_om</t>
        </is>
      </c>
      <c r="B39" s="68" t="inlineStr">
        <is>
          <t>Fibre operations and maintenance</t>
        </is>
      </c>
      <c r="C39" s="68" t="n">
        <v>0.02</v>
      </c>
      <c r="D39" s="68" t="inlineStr">
        <is>
          <t>share of capex/yr</t>
        </is>
      </c>
      <c r="E39" s="68" t="inlineStr">
        <is>
          <t>ASSUMPTION</t>
        </is>
      </c>
      <c r="F39" s="68" t="inlineStr">
        <is>
          <t>Archegon assumption</t>
        </is>
      </c>
      <c r="G39" s="68" t="inlineStr"/>
      <c r="H39" s="68" t="inlineStr">
        <is>
          <t>12 Oct 2026</t>
        </is>
      </c>
      <c r="I39" s="68" t="inlineStr">
        <is>
          <t>No public Australian figure found.</t>
        </is>
      </c>
    </row>
    <row r="40">
      <c r="A40" s="68" t="inlineStr">
        <is>
          <t>dtcs</t>
        </is>
      </c>
      <c r="B40" s="68" t="inlineStr">
        <is>
          <t>Onward transport Moomba to Adelaide, regulated regional rate</t>
        </is>
      </c>
      <c r="C40" s="68" t="n">
        <v>9187</v>
      </c>
      <c r="D40" s="68" t="inlineStr">
        <is>
          <t>A$/Gbps/month</t>
        </is>
      </c>
      <c r="E40" s="68" t="inlineStr">
        <is>
          <t>PUBLIC PROXY</t>
        </is>
      </c>
      <c r="F40" s="68" t="inlineStr">
        <is>
          <t>ACCC DTCS final access determination (2,600 km regional route)</t>
        </is>
      </c>
      <c r="G40" s="68" t="inlineStr">
        <is>
          <t>https://www.accc.gov.au/system/files/2016%20DTCS%20FAD%20Variation%20Inquiry%20-%20Final%20Report_0.pdf</t>
        </is>
      </c>
      <c r="H40" s="68" t="inlineStr">
        <is>
          <t>2016</t>
        </is>
      </c>
      <c r="I40" s="68" t="inlineStr">
        <is>
          <t>Regulated up to 1 Gbps; large wavelengths cost less per Gbps. Dated.</t>
        </is>
      </c>
    </row>
    <row r="41">
      <c r="A41" s="68" t="inlineStr">
        <is>
          <t>nz_km</t>
        </is>
      </c>
      <c r="B41" s="68" t="inlineStr">
        <is>
          <t>NZ site fibre lateral to nearest backbone</t>
        </is>
      </c>
      <c r="C41" s="68" t="n">
        <v>10</v>
      </c>
      <c r="D41" s="68" t="inlineStr">
        <is>
          <t>km</t>
        </is>
      </c>
      <c r="E41" s="68" t="inlineStr">
        <is>
          <t>ASSUMPTION</t>
        </is>
      </c>
      <c r="F41" s="68" t="inlineStr">
        <is>
          <t>Archegon assumption</t>
        </is>
      </c>
      <c r="G41" s="68" t="inlineStr"/>
      <c r="H41" s="68" t="inlineStr">
        <is>
          <t>12 Oct 2026</t>
        </is>
      </c>
      <c r="I41" s="68" t="inlineStr">
        <is>
          <t>NZ geothermal sites sit near the grid and State Highway fibre; replace with survey.</t>
        </is>
      </c>
    </row>
    <row r="42"/>
    <row r="43"/>
    <row r="44">
      <c r="A44" s="136" t="inlineStr">
        <is>
          <t>OPTIONS AT THE 5 MW REFERENCE. Sized at committed capacity running full time (upper bound on data volume).</t>
        </is>
      </c>
      <c r="B44" s="137" t="n"/>
      <c r="C44" s="137" t="n"/>
      <c r="D44" s="137" t="n"/>
      <c r="E44" s="137" t="n"/>
      <c r="F44" s="137" t="n"/>
    </row>
    <row r="45">
      <c r="A45" s="89" t="inlineStr">
        <is>
          <t>Option</t>
        </is>
      </c>
      <c r="B45" s="89" t="inlineStr">
        <is>
          <t>Need it must carry, Gbps</t>
        </is>
      </c>
      <c r="C45" s="89" t="inlineStr">
        <is>
          <t>Deliverable, Gbps</t>
        </is>
      </c>
      <c r="D45" s="89" t="inlineStr">
        <is>
          <t>Terminals / routers</t>
        </is>
      </c>
      <c r="E45" s="89" t="inlineStr">
        <is>
          <t>Capex, A$</t>
        </is>
      </c>
      <c r="F45" s="89" t="inlineStr">
        <is>
          <t>Opex, A$/yr</t>
        </is>
      </c>
      <c r="G45" s="89" t="inlineStr">
        <is>
          <t>Carries the need?</t>
        </is>
      </c>
      <c r="H45" s="89" t="inlineStr">
        <is>
          <t>Notes</t>
        </is>
      </c>
    </row>
    <row r="46">
      <c r="A46" s="68" t="inlineStr">
        <is>
          <t>1. Today: one satellite terminal, training-style need</t>
        </is>
      </c>
      <c r="B46" s="143">
        <f>$C$17</f>
        <v/>
      </c>
      <c r="C46" s="123">
        <f>$C$19/1000</f>
        <v/>
      </c>
      <c r="D46" s="68">
        <f>"1 terminal"</f>
        <v/>
      </c>
      <c r="E46" s="90">
        <f>$C$24</f>
        <v/>
      </c>
      <c r="F46" s="90">
        <f>12*($C$21+MAX(0,($C$19/1000*324000)-$C$22)/50*$C$23)</f>
        <v/>
      </c>
      <c r="G46" s="68">
        <f>IF(C46&gt;=B46-0.0001,"yes","NO")</f>
        <v/>
      </c>
      <c r="H46" s="68" t="inlineStr">
        <is>
          <t>Cannot carry a GPU cluster.</t>
        </is>
      </c>
    </row>
    <row r="47">
      <c r="A47" s="68" t="inlineStr">
        <is>
          <t>1b. Today: one satellite terminal, inference need</t>
        </is>
      </c>
      <c r="B47" s="143">
        <f>('Sell-Compute'!$B$33/100*$C$18)</f>
        <v/>
      </c>
      <c r="C47" s="123">
        <f>$C$19/1000</f>
        <v/>
      </c>
      <c r="D47" s="68">
        <f>"1 terminal"</f>
        <v/>
      </c>
      <c r="E47" s="90">
        <f>$C$24</f>
        <v/>
      </c>
      <c r="F47" s="90">
        <f>12*($C$21+MAX(0,($C$19/1000*324000)-$C$22)/50*$C$23)</f>
        <v/>
      </c>
      <c r="G47" s="68">
        <f>IF(C47&gt;=B47-0.0001,"yes","NO")</f>
        <v/>
      </c>
      <c r="H47" s="68" t="inlineStr">
        <is>
          <t>Cannot carry a GPU cluster.</t>
        </is>
      </c>
    </row>
    <row r="48">
      <c r="A48" s="68" t="inlineStr">
        <is>
          <t>2a. Bonded satellite terminals, training-style need</t>
        </is>
      </c>
      <c r="B48" s="143">
        <f>$C$17</f>
        <v/>
      </c>
      <c r="C48" s="123">
        <f>MIN(CEILING($C$17*1000/($C$19*$C$26),1)*$C$19*$C$26/1000,$C$25)</f>
        <v/>
      </c>
      <c r="D48" s="68">
        <f>CEILING($C$17*1000/($C$19*$C$26),1)&amp;" terminals, "&amp;2*CEILING(CEILING($C$17*1000/($C$19*$C$26),1)/$C$27,1)&amp;" routers"</f>
        <v/>
      </c>
      <c r="E48" s="90">
        <f>(CEILING($C$17*1000/($C$19*$C$26),1)*$C$24+2*CEILING(CEILING($C$17*1000/($C$19*$C$26),1)/$C$27,1)*$C$28/Rates!$D$4)</f>
        <v/>
      </c>
      <c r="F48" s="90">
        <f>12*(CEILING($C$17*1000/($C$19*$C$26),1)*$C$21+MAX(0,($C$17*324000)-CEILING($C$17*1000/($C$19*$C$26),1)*$C$22)/50*$C$23)</f>
        <v/>
      </c>
      <c r="G48" s="68">
        <f>IF(C48&gt;=B48-0.0001,"yes","NO")</f>
        <v/>
      </c>
      <c r="H48" s="68" t="inlineStr">
        <is>
          <t>One service line per terminal (Local Priority). Cell ceiling and shared contention apply; most cost is priority data.</t>
        </is>
      </c>
    </row>
    <row r="49">
      <c r="A49" s="68" t="inlineStr">
        <is>
          <t>2b. Bonded satellite terminals, inference need</t>
        </is>
      </c>
      <c r="B49" s="143">
        <f>('Sell-Compute'!$B$33/100*$C$18)</f>
        <v/>
      </c>
      <c r="C49" s="123">
        <f>MIN(CEILING(('Sell-Compute'!$B$33/100*$C$18)*1000/($C$19*$C$26),1)*$C$19*$C$26/1000,$C$25)</f>
        <v/>
      </c>
      <c r="D49" s="68">
        <f>CEILING(('Sell-Compute'!$B$33/100*$C$18)*1000/($C$19*$C$26),1)&amp;" terminals, "&amp;2*CEILING(CEILING(('Sell-Compute'!$B$33/100*$C$18)*1000/($C$19*$C$26),1)/$C$27,1)&amp;" routers"</f>
        <v/>
      </c>
      <c r="E49" s="90">
        <f>(CEILING(('Sell-Compute'!$B$33/100*$C$18)*1000/($C$19*$C$26),1)*$C$24+2*CEILING(CEILING(('Sell-Compute'!$B$33/100*$C$18)*1000/($C$19*$C$26),1)/$C$27,1)*$C$28/Rates!$D$4)</f>
        <v/>
      </c>
      <c r="F49" s="90">
        <f>12*(CEILING(('Sell-Compute'!$B$33/100*$C$18)*1000/($C$19*$C$26),1)*$C$21+MAX(0,(('Sell-Compute'!$B$33/100*$C$18)*324000)-CEILING(('Sell-Compute'!$B$33/100*$C$18)*1000/($C$19*$C$26),1)*$C$22)/50*$C$23)</f>
        <v/>
      </c>
      <c r="G49" s="68">
        <f>IF(C49&gt;=B49-0.0001,"yes","NO")</f>
        <v/>
      </c>
      <c r="H49" s="68" t="inlineStr">
        <is>
          <t>Need exceeds the whole cell ceiling: not possible however many terminals.</t>
        </is>
      </c>
    </row>
    <row r="50">
      <c r="A50" s="68" t="inlineStr">
        <is>
          <t>3. Future satellite: community gateway (training-style need)</t>
        </is>
      </c>
      <c r="B50" s="143">
        <f>$C$17</f>
        <v/>
      </c>
      <c r="C50" s="123">
        <f>MIN($C$31,$C$17)</f>
        <v/>
      </c>
      <c r="D50" s="68">
        <f>"1 gateway"</f>
        <v/>
      </c>
      <c r="E50" s="90">
        <f>$C$29/Rates!$D$4</f>
        <v/>
      </c>
      <c r="F50" s="90">
        <f>12*$C$30*CEILING(MIN($C$31,$C$17),1)/Rates!$D$4</f>
        <v/>
      </c>
      <c r="G50" s="68">
        <f>IF(C50&gt;=B50-0.0001,"yes","NO")</f>
        <v/>
      </c>
      <c r="H50" s="68" t="inlineStr">
        <is>
          <t>2024 price, 10 Gbps max. V3 satellites (1 Tbps each, launched Sep 2026) may lift capacity; no per-cell figure or price published.</t>
        </is>
      </c>
    </row>
    <row r="51">
      <c r="A51" s="68" t="inlineStr">
        <is>
          <t>3b. Future satellite gateway, inference need</t>
        </is>
      </c>
      <c r="B51" s="143">
        <f>('Sell-Compute'!$B$33/100*$C$18)</f>
        <v/>
      </c>
      <c r="C51" s="123">
        <f>MIN($C$31,('Sell-Compute'!$B$33/100*$C$18))</f>
        <v/>
      </c>
      <c r="D51" s="68">
        <f>"1 gateway (max)"</f>
        <v/>
      </c>
      <c r="E51" s="90">
        <f>$C$29/Rates!$D$4</f>
        <v/>
      </c>
      <c r="F51" s="90">
        <f>12*$C$30*$C$31/Rates!$D$4</f>
        <v/>
      </c>
      <c r="G51" s="68">
        <f>IF(C51&gt;=B51-0.0001,"yes","NO")</f>
        <v/>
      </c>
      <c r="H51" s="68" t="inlineStr">
        <is>
          <t>Gateway capped at 10 Gbps.</t>
        </is>
      </c>
    </row>
    <row r="52">
      <c r="A52" s="68" t="inlineStr">
        <is>
          <t>4. Fibre to Moomba (base cost/km), training-style need</t>
        </is>
      </c>
      <c r="B52" s="143">
        <f>$C$17</f>
        <v/>
      </c>
      <c r="C52" s="123">
        <f>100000</f>
        <v/>
      </c>
      <c r="D52" s="68">
        <f>"~79 km route (capacity not limiting)"</f>
        <v/>
      </c>
      <c r="E52" s="90">
        <f>$C$33*$C$35*$C$38</f>
        <v/>
      </c>
      <c r="F52" s="90">
        <f>$C$39*$C$33*$C$35*$C$38+12*$C$40*$C$17</f>
        <v/>
      </c>
      <c r="G52" s="68">
        <f>IF(C52&gt;=B52-0.0001,"yes","NO")</f>
        <v/>
      </c>
      <c r="H52" s="68" t="inlineStr">
        <is>
          <t>Fibre capacity effectively unlimited; onward transport priced per Gbps.</t>
        </is>
      </c>
    </row>
    <row r="53">
      <c r="A53" s="68" t="inlineStr">
        <is>
          <t>4b. Fibre to Moomba, inference need</t>
        </is>
      </c>
      <c r="B53" s="143">
        <f>('Sell-Compute'!$B$33/100*$C$18)</f>
        <v/>
      </c>
      <c r="C53" s="123">
        <f>100000</f>
        <v/>
      </c>
      <c r="D53" s="68">
        <f>"~79 km route (capacity not limiting)"</f>
        <v/>
      </c>
      <c r="E53" s="90">
        <f>$C$33*$C$35*$C$38</f>
        <v/>
      </c>
      <c r="F53" s="90">
        <f>$C$39*$C$33*$C$35*$C$38+12*$C$40*('Sell-Compute'!$B$33/100*$C$18)</f>
        <v/>
      </c>
      <c r="G53" s="68">
        <f>IF(C53&gt;=B53-0.0001,"yes","NO")</f>
        <v/>
      </c>
      <c r="H53" s="68" t="inlineStr">
        <is>
          <t>Regulated small-circuit rate overstates cost at this scale.</t>
        </is>
      </c>
    </row>
    <row r="54">
      <c r="A54" s="68" t="inlineStr">
        <is>
          <t>4c. Fibre to Moomba, low cost/km</t>
        </is>
      </c>
      <c r="B54" s="143">
        <f>$C$17</f>
        <v/>
      </c>
      <c r="C54" s="123">
        <f>100000</f>
        <v/>
      </c>
      <c r="D54" s="68">
        <f>"~79 km route (capacity not limiting)"</f>
        <v/>
      </c>
      <c r="E54" s="90">
        <f>$C$33*$C$35*$C$36</f>
        <v/>
      </c>
      <c r="F54" s="90">
        <f>$C$39*$C$33*$C$35*$C$36+12*$C$40*$C$17</f>
        <v/>
      </c>
      <c r="G54" s="68">
        <f>IF(C54&gt;=B54-0.0001,"yes","NO")</f>
        <v/>
      </c>
      <c r="H54" s="68" t="inlineStr">
        <is>
          <t>2011 program cost/km.</t>
        </is>
      </c>
    </row>
    <row r="55">
      <c r="A55" s="68" t="inlineStr">
        <is>
          <t>4d. Fibre to Moomba, high cost/km</t>
        </is>
      </c>
      <c r="B55" s="143">
        <f>$C$17</f>
        <v/>
      </c>
      <c r="C55" s="123">
        <f>100000</f>
        <v/>
      </c>
      <c r="D55" s="68">
        <f>"~79 km route (capacity not limiting)"</f>
        <v/>
      </c>
      <c r="E55" s="90">
        <f>$C$33*$C$35*$C$37</f>
        <v/>
      </c>
      <c r="F55" s="90">
        <f>$C$39*$C$33*$C$35*$C$37+12*$C$40*$C$17</f>
        <v/>
      </c>
      <c r="G55" s="68">
        <f>IF(C55&gt;=B55-0.0001,"yes","NO")</f>
        <v/>
      </c>
      <c r="H55" s="68" t="inlineStr"/>
    </row>
    <row r="56">
      <c r="A56" s="68" t="inlineStr">
        <is>
          <t>4e. Fibre to Lyndhurst (if Moomba access refused)</t>
        </is>
      </c>
      <c r="B56" s="143">
        <f>$C$17</f>
        <v/>
      </c>
      <c r="C56" s="123">
        <f>100000</f>
        <v/>
      </c>
      <c r="D56" s="68">
        <f>"~438 km route"</f>
        <v/>
      </c>
      <c r="E56" s="90">
        <f>$C$34*$C$35*$C$38</f>
        <v/>
      </c>
      <c r="F56" s="90">
        <f>$C$39*$C$34*$C$35*$C$38+12*$C$40*$C$17</f>
        <v/>
      </c>
      <c r="G56" s="68">
        <f>IF(C56&gt;=B56-0.0001,"yes","NO")</f>
        <v/>
      </c>
      <c r="H56" s="68" t="inlineStr"/>
    </row>
    <row r="57">
      <c r="A57" s="68" t="inlineStr">
        <is>
          <t>NZ: fibre lateral to backbone</t>
        </is>
      </c>
      <c r="B57" s="143">
        <f>$C$17</f>
        <v/>
      </c>
      <c r="C57" s="123">
        <f>100000</f>
        <v/>
      </c>
      <c r="D57" s="68">
        <f>"lateral"</f>
        <v/>
      </c>
      <c r="E57" s="90">
        <f>$C$41*$C$38</f>
        <v/>
      </c>
      <c r="F57" s="90">
        <f>$C$39*$C$41*$C$38</f>
        <v/>
      </c>
      <c r="G57" s="68">
        <f>IF(C57&gt;=B57-0.0001,"yes","NO")</f>
        <v/>
      </c>
      <c r="H57" s="68" t="inlineStr">
        <is>
          <t>NZ onward transport not priced (RATE_MISSING); short lateral assumed.</t>
        </is>
      </c>
    </row>
    <row r="58"/>
    <row r="59">
      <c r="A59" s="68" t="inlineStr">
        <is>
          <t>Practical limits: satellite cells are shared with every other user, so bonded throughput is not guaranteed; the operator says extra terminals do not add speed linearly. Local Priority allows one terminal per service line, so N terminals means N plans. Bonding needs a router at the far end (hub or cloud) and adds latency. Fibre route, Santos/Moomba access and Aboriginal land and native-title approvals are unconfirmed.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52" customWidth="1" style="69" min="1" max="1"/>
    <col width="22" customWidth="1" style="69" min="2" max="2"/>
    <col width="20" customWidth="1" style="69" min="3" max="3"/>
    <col width="18" customWidth="1" style="69" min="4" max="4"/>
    <col width="14" customWidth="1" style="69" min="5" max="5"/>
    <col width="18" customWidth="1" style="69" min="6" max="6"/>
    <col width="18" customWidth="1" style="69" min="7" max="7"/>
    <col width="50" customWidth="1" style="69" min="8" max="8"/>
    <col width="40" customWidth="1" style="69" min="9" max="9"/>
  </cols>
  <sheetData>
    <row r="1">
      <c r="A1" s="100" t="inlineStr">
        <is>
          <t>ARCHEGON  ·  WATER — reservoir make-up, ORC cooling and data-hall cooling. Dry vs evaporative. PUBLIC PROXY inputs; not quotes.</t>
        </is>
      </c>
      <c r="B1" s="101" t="n"/>
      <c r="C1" s="101" t="n"/>
      <c r="D1" s="101" t="n"/>
      <c r="E1" s="101" t="n"/>
      <c r="F1" s="101" t="n"/>
      <c r="G1" s="101" t="n"/>
      <c r="H1" s="101" t="n"/>
    </row>
    <row r="2">
      <c r="A2" s="135" t="inlineStr">
        <is>
          <t>Volumes scale with annual energy at the 5 MW reference (Compute-Revenue B7, MWh/yr; the same MWh is used for the hall as a screening simplification). AU priced at the SA Far North water levy; NZ at Waikato Regional Council water-take charges.</t>
        </is>
      </c>
    </row>
    <row r="3">
      <c r="A3" s="68" t="inlineStr">
        <is>
          <t>AU base water cost, A$/yr</t>
        </is>
      </c>
      <c r="C3" s="90">
        <f>F22</f>
        <v/>
      </c>
    </row>
    <row r="4">
      <c r="A4" s="89" t="inlineStr">
        <is>
          <t>id</t>
        </is>
      </c>
      <c r="B4" s="89" t="inlineStr">
        <is>
          <t>Input</t>
        </is>
      </c>
      <c r="C4" s="89" t="inlineStr">
        <is>
          <t>Value</t>
        </is>
      </c>
      <c r="D4" s="89" t="inlineStr">
        <is>
          <t>Unit</t>
        </is>
      </c>
      <c r="E4" s="89" t="inlineStr">
        <is>
          <t>Status</t>
        </is>
      </c>
      <c r="F4" s="89" t="inlineStr">
        <is>
          <t>Source</t>
        </is>
      </c>
      <c r="G4" s="89" t="inlineStr">
        <is>
          <t>URL</t>
        </is>
      </c>
      <c r="H4" s="89" t="inlineStr">
        <is>
          <t>Date</t>
        </is>
      </c>
      <c r="I4" s="89" t="inlineStr">
        <is>
          <t>Caveat</t>
        </is>
      </c>
    </row>
    <row r="5">
      <c r="A5" s="68" t="inlineStr">
        <is>
          <t>w_noncool</t>
        </is>
      </c>
      <c r="B5" s="68" t="inlineStr">
        <is>
          <t>Non-cooling fresh water (dust, maintenance, domestic), any geothermal plant</t>
        </is>
      </c>
      <c r="C5" s="68" t="n">
        <v>40</v>
      </c>
      <c r="D5" s="68" t="inlineStr">
        <is>
          <t>gal/MWh</t>
        </is>
      </c>
      <c r="E5" s="68" t="inlineStr">
        <is>
          <t>PUBLIC PROXY</t>
        </is>
      </c>
      <c r="F5" s="68" t="inlineStr">
        <is>
          <t>Argonne ANL-EVS-14-2, Table 4</t>
        </is>
      </c>
      <c r="G5" s="68" t="inlineStr">
        <is>
          <t>https://gdr.openei.org/files/420/ANL-EVS-14-2.pdf</t>
        </is>
      </c>
      <c r="H5" s="68" t="inlineStr">
        <is>
          <t>2014</t>
        </is>
      </c>
      <c r="I5" s="68" t="inlineStr"/>
    </row>
    <row r="6">
      <c r="A6" s="68" t="inlineStr">
        <is>
          <t>w_egs_low</t>
        </is>
      </c>
      <c r="B6" s="68" t="inlineStr">
        <is>
          <t>EGS reservoir make-up (below-ground loss), air-cooled binary, low</t>
        </is>
      </c>
      <c r="C6" s="68" t="n">
        <v>190</v>
      </c>
      <c r="D6" s="68" t="inlineStr">
        <is>
          <t>gal/MWh</t>
        </is>
      </c>
      <c r="E6" s="68" t="inlineStr">
        <is>
          <t>PUBLIC PROXY</t>
        </is>
      </c>
      <c r="F6" s="68" t="inlineStr">
        <is>
          <t>Argonne ANL-EVS-14-2, Table 4</t>
        </is>
      </c>
      <c r="G6" s="68" t="inlineStr">
        <is>
          <t>https://gdr.openei.org/files/420/ANL-EVS-14-2.pdf</t>
        </is>
      </c>
      <c r="H6" s="68" t="inlineStr">
        <is>
          <t>2014</t>
        </is>
      </c>
      <c r="I6" s="68" t="inlineStr">
        <is>
          <t>Six EGS binary scenarios span 190-4,100 gal/MWh; loss 1-5% of circulated fluid.</t>
        </is>
      </c>
    </row>
    <row r="7">
      <c r="A7" s="68" t="inlineStr">
        <is>
          <t>w_egs_base</t>
        </is>
      </c>
      <c r="B7" s="68" t="inlineStr">
        <is>
          <t>EGS reservoir make-up, base (median of the six air-cooled EGS scenarios)</t>
        </is>
      </c>
      <c r="C7" s="68">
        <f>MEDIAN(4100,960,860,750,260,190)</f>
        <v/>
      </c>
      <c r="D7" s="68" t="inlineStr">
        <is>
          <t>gal/MWh</t>
        </is>
      </c>
      <c r="E7" s="68" t="inlineStr">
        <is>
          <t>DERIVED</t>
        </is>
      </c>
      <c r="F7" s="68" t="inlineStr">
        <is>
          <t>Argonne ANL-EVS-14-2, Table 4</t>
        </is>
      </c>
      <c r="G7" s="68" t="inlineStr">
        <is>
          <t>https://gdr.openei.org/files/420/ANL-EVS-14-2.pdf</t>
        </is>
      </c>
      <c r="H7" s="68" t="inlineStr">
        <is>
          <t>2014</t>
        </is>
      </c>
      <c r="I7" s="68" t="inlineStr">
        <is>
          <t>Median of 4,100 / 960 / 860 / 750 / 260 / 190.</t>
        </is>
      </c>
    </row>
    <row r="8">
      <c r="A8" s="68" t="inlineStr">
        <is>
          <t>w_egs_high</t>
        </is>
      </c>
      <c r="B8" s="68" t="inlineStr">
        <is>
          <t>EGS reservoir make-up, high</t>
        </is>
      </c>
      <c r="C8" s="68" t="n">
        <v>4100</v>
      </c>
      <c r="D8" s="68" t="inlineStr">
        <is>
          <t>gal/MWh</t>
        </is>
      </c>
      <c r="E8" s="68" t="inlineStr">
        <is>
          <t>PUBLIC PROXY</t>
        </is>
      </c>
      <c r="F8" s="68" t="inlineStr">
        <is>
          <t>Argonne ANL-EVS-14-2, Table 4</t>
        </is>
      </c>
      <c r="G8" s="68" t="inlineStr">
        <is>
          <t>https://gdr.openei.org/files/420/ANL-EVS-14-2.pdf</t>
        </is>
      </c>
      <c r="H8" s="68" t="inlineStr">
        <is>
          <t>2014</t>
        </is>
      </c>
      <c r="I8" s="68" t="inlineStr">
        <is>
          <t>Highest-loss scenario.</t>
        </is>
      </c>
    </row>
    <row r="9">
      <c r="A9" s="68" t="inlineStr">
        <is>
          <t>w_orc_evap</t>
        </is>
      </c>
      <c r="B9" s="68" t="inlineStr">
        <is>
          <t>Extra water if the plant uses evaporative (wet) cooling</t>
        </is>
      </c>
      <c r="C9" s="68">
        <f>(1500+2300)/2</f>
        <v/>
      </c>
      <c r="D9" s="68" t="inlineStr">
        <is>
          <t>gal/MWh</t>
        </is>
      </c>
      <c r="E9" s="68" t="inlineStr">
        <is>
          <t>DERIVED</t>
        </is>
      </c>
      <c r="F9" s="68" t="inlineStr">
        <is>
          <t>Argonne ANL-EVS-14-2: wet-cooled scenarios 1,500-2,300</t>
        </is>
      </c>
      <c r="G9" s="68" t="inlineStr">
        <is>
          <t>https://gdr.openei.org/files/420/ANL-EVS-14-2.pdf</t>
        </is>
      </c>
      <c r="H9" s="68" t="inlineStr">
        <is>
          <t>2014</t>
        </is>
      </c>
      <c r="I9" s="68" t="inlineStr">
        <is>
          <t>Midpoint. Air-cooled binary: zero cooling loss.</t>
        </is>
      </c>
    </row>
    <row r="10">
      <c r="A10" s="68" t="inlineStr">
        <is>
          <t>wue_evap</t>
        </is>
      </c>
      <c r="B10" s="68" t="inlineStr">
        <is>
          <t>Data hall, evaporative cooling, water use effectiveness</t>
        </is>
      </c>
      <c r="C10" s="68" t="n">
        <v>1.8</v>
      </c>
      <c r="D10" s="68" t="inlineStr">
        <is>
          <t>L/kWh</t>
        </is>
      </c>
      <c r="E10" s="68" t="inlineStr">
        <is>
          <t>PUBLIC PROXY</t>
        </is>
      </c>
      <c r="F10" s="68" t="inlineStr">
        <is>
          <t>Reynolds Bauhm WUE calculator (typical evaporative)</t>
        </is>
      </c>
      <c r="G10" s="68" t="inlineStr">
        <is>
          <t>https://reynoldsbauhm.co.uk/data-centre-wue-calculator</t>
        </is>
      </c>
      <c r="H10" s="68" t="inlineStr">
        <is>
          <t>2026</t>
        </is>
      </c>
      <c r="I10" s="68" t="inlineStr">
        <is>
          <t>Range 1.0-2.5 L/kWh by climate and cycles.</t>
        </is>
      </c>
    </row>
    <row r="11">
      <c r="A11" s="68" t="inlineStr">
        <is>
          <t>wue_dry</t>
        </is>
      </c>
      <c r="B11" s="68" t="inlineStr">
        <is>
          <t>Data hall, dry (air or closed-loop) cooling</t>
        </is>
      </c>
      <c r="C11" s="68" t="n">
        <v>0</v>
      </c>
      <c r="D11" s="68" t="inlineStr">
        <is>
          <t>L/kWh</t>
        </is>
      </c>
      <c r="E11" s="68" t="inlineStr">
        <is>
          <t>PUBLIC PROXY</t>
        </is>
      </c>
      <c r="F11" s="68" t="inlineStr">
        <is>
          <t>Equinix: what is WUE</t>
        </is>
      </c>
      <c r="G11" s="68" t="inlineStr">
        <is>
          <t>https://blog.equinix.com/blog/2024/11/13/what-is-water-usage-effectiveness-wue-in-data-centers/</t>
        </is>
      </c>
      <c r="H11" s="68" t="inlineStr">
        <is>
          <t>13 Nov 2024</t>
        </is>
      </c>
      <c r="I11" s="68" t="inlineStr">
        <is>
          <t>Air-cooled sites approach 0; costs more electricity on hot days.</t>
        </is>
      </c>
    </row>
    <row r="12">
      <c r="A12" s="68" t="inlineStr">
        <is>
          <t>gal_l</t>
        </is>
      </c>
      <c r="B12" s="68" t="inlineStr">
        <is>
          <t>Litres per US gallon</t>
        </is>
      </c>
      <c r="C12" s="68" t="n">
        <v>3.78541</v>
      </c>
      <c r="D12" s="68" t="inlineStr">
        <is>
          <t>L/gal</t>
        </is>
      </c>
      <c r="E12" s="68" t="inlineStr">
        <is>
          <t>PUBLIC PROXY</t>
        </is>
      </c>
      <c r="F12" s="68" t="inlineStr">
        <is>
          <t>Definition</t>
        </is>
      </c>
      <c r="G12" s="68" t="inlineStr"/>
      <c r="H12" s="68" t="inlineStr"/>
      <c r="I12" s="68" t="inlineStr"/>
    </row>
    <row r="13">
      <c r="A13" s="68" t="inlineStr">
        <is>
          <t>sa_levy</t>
        </is>
      </c>
      <c r="B13" s="68" t="inlineStr">
        <is>
          <t>SA Far North Prescribed Wells Area (Great Artesian Basin) water levy, energy sector</t>
        </is>
      </c>
      <c r="C13" s="68" t="n">
        <v>0.0835</v>
      </c>
      <c r="D13" s="68" t="inlineStr">
        <is>
          <t>A$/kL</t>
        </is>
      </c>
      <c r="E13" s="68" t="inlineStr">
        <is>
          <t>PUBLIC PROXY</t>
        </is>
      </c>
      <c r="F13" s="68" t="inlineStr">
        <is>
          <t>Landscape SA, SA Arid Lands: water levy 2025-26</t>
        </is>
      </c>
      <c r="G13" s="68" t="inlineStr">
        <is>
          <t>https://www.landscape.sa.gov.au/saal/about-us/landscape-and-water-levies/water-levy</t>
        </is>
      </c>
      <c r="H13" s="68" t="inlineStr">
        <is>
          <t>2025-26</t>
        </is>
      </c>
      <c r="I13" s="68" t="inlineStr">
        <is>
          <t>Levied on the licensed allocation, not use. A licence must be granted under the Far North Water Allocation Plan (2021).</t>
        </is>
      </c>
    </row>
    <row r="14">
      <c r="A14" s="68" t="inlineStr">
        <is>
          <t>bore_m</t>
        </is>
      </c>
      <c r="B14" s="68" t="inlineStr">
        <is>
          <t>Bore drilling and casing, shallow SA example (reference only)</t>
        </is>
      </c>
      <c r="C14" s="68" t="n">
        <v>161</v>
      </c>
      <c r="D14" s="68" t="inlineStr">
        <is>
          <t>A$/m</t>
        </is>
      </c>
      <c r="E14" s="68" t="inlineStr">
        <is>
          <t>PUBLIC PROXY</t>
        </is>
      </c>
      <c r="F14" s="68" t="inlineStr">
        <is>
          <t>BIGG groundwater case study (105 m bore, A$16,878)</t>
        </is>
      </c>
      <c r="G14" s="68" t="inlineStr">
        <is>
          <t>https://biggroup.org.au/wp-content/uploads/2023/07/Groundwater-Options-BIGG-Case-Study.pdf</t>
        </is>
      </c>
      <c r="H14" s="68" t="inlineStr">
        <is>
          <t>2023</t>
        </is>
      </c>
      <c r="I14" s="68" t="inlineStr">
        <is>
          <t>Not a Great Artesian Basin bore. GAB bore depth at site unknown: bore capex RATE_MISSING.</t>
        </is>
      </c>
    </row>
    <row r="15">
      <c r="A15" s="68" t="inlineStr">
        <is>
          <t>nz_take</t>
        </is>
      </c>
      <c r="B15" s="68" t="inlineStr">
        <is>
          <t>Waikato Regional Council water-take charge (surface/groundwater)</t>
        </is>
      </c>
      <c r="C15" s="68" t="n">
        <v>0.48</v>
      </c>
      <c r="D15" s="68" t="inlineStr">
        <is>
          <t>NZ$/m3</t>
        </is>
      </c>
      <c r="E15" s="68" t="inlineStr">
        <is>
          <t>PUBLIC PROXY</t>
        </is>
      </c>
      <c r="F15" s="68" t="inlineStr">
        <is>
          <t>Waikato Regional Council schedule of fees and charges 2025/26</t>
        </is>
      </c>
      <c r="G15" s="68" t="inlineStr">
        <is>
          <t>https://www.waikatoregion.govt.nz/assets/WRC/ProposedScheduleFeesCharges.pdf</t>
        </is>
      </c>
      <c r="H15" s="68" t="inlineStr">
        <is>
          <t>2025/26</t>
        </is>
      </c>
      <c r="I15" s="68" t="inlineStr">
        <is>
          <t>Charge basis (per m3 of consented take, calculated daily) to confirm with council.</t>
        </is>
      </c>
    </row>
    <row r="16">
      <c r="A16" s="68" t="inlineStr">
        <is>
          <t>nz_geo</t>
        </is>
      </c>
      <c r="B16" s="68" t="inlineStr">
        <is>
          <t>Waikato Regional Council geothermal-fluid take charge</t>
        </is>
      </c>
      <c r="C16" s="68" t="n">
        <v>0.3</v>
      </c>
      <c r="D16" s="68" t="inlineStr">
        <is>
          <t>NZ$/m3</t>
        </is>
      </c>
      <c r="E16" s="68" t="inlineStr">
        <is>
          <t>PUBLIC PROXY</t>
        </is>
      </c>
      <c r="F16" s="68" t="inlineStr">
        <is>
          <t>Waikato Regional Council schedule of fees and charges 2025/26</t>
        </is>
      </c>
      <c r="G16" s="68" t="inlineStr">
        <is>
          <t>https://www.waikatoregion.govt.nz/assets/WRC/ProposedScheduleFeesCharges.pdf</t>
        </is>
      </c>
      <c r="H16" s="68" t="inlineStr">
        <is>
          <t>2025/26</t>
        </is>
      </c>
      <c r="I16" s="68" t="inlineStr">
        <is>
          <t>Shown for reference; applies to geothermal take, not make-up water.</t>
        </is>
      </c>
    </row>
    <row r="17">
      <c r="A17" s="68" t="inlineStr">
        <is>
          <t>nz_consent</t>
        </is>
      </c>
      <c r="B17" s="68" t="inlineStr">
        <is>
          <t>Notified resource consent with hearing (application cost)</t>
        </is>
      </c>
      <c r="C17" s="68" t="n">
        <v>50000</v>
      </c>
      <c r="D17" s="68" t="inlineStr">
        <is>
          <t>NZ$</t>
        </is>
      </c>
      <c r="E17" s="68" t="inlineStr">
        <is>
          <t>PUBLIC PROXY</t>
        </is>
      </c>
      <c r="F17" s="68" t="inlineStr">
        <is>
          <t>Waikato Regional Council: costs to applicants</t>
        </is>
      </c>
      <c r="G17" s="68" t="inlineStr">
        <is>
          <t>https://subsite.waikatoregion.govt.nz/services/consents-and-compliance/resource-consents/costs-to-applicants-and-consent-holders/</t>
        </is>
      </c>
      <c r="H17" s="68" t="inlineStr">
        <is>
          <t>2026</t>
        </is>
      </c>
      <c r="I17" s="68" t="inlineStr">
        <is>
          <t>NZ$25k-50k or more.</t>
        </is>
      </c>
    </row>
    <row r="18"/>
    <row r="19"/>
    <row r="20">
      <c r="A20" s="136" t="inlineStr">
        <is>
          <t>ANNUAL WATER AND COST AT THE 5 MW REFERENCE</t>
        </is>
      </c>
      <c r="B20" s="137" t="n"/>
      <c r="C20" s="137" t="n"/>
      <c r="D20" s="137" t="n"/>
      <c r="E20" s="137" t="n"/>
      <c r="F20" s="137" t="n"/>
    </row>
    <row r="21">
      <c r="A21" s="89" t="inlineStr">
        <is>
          <t>Case</t>
        </is>
      </c>
      <c r="B21" s="89" t="inlineStr">
        <is>
          <t>Plant make-up + non-cooling, ML/yr</t>
        </is>
      </c>
      <c r="C21" s="89" t="inlineStr">
        <is>
          <t>ORC evaporative cooling, ML/yr</t>
        </is>
      </c>
      <c r="D21" s="89" t="inlineStr">
        <is>
          <t>Data-hall cooling, ML/yr</t>
        </is>
      </c>
      <c r="E21" s="89" t="inlineStr">
        <is>
          <t>TOTAL ML/yr</t>
        </is>
      </c>
      <c r="F21" s="89" t="inlineStr">
        <is>
          <t>AU cost at SA levy, A$/yr</t>
        </is>
      </c>
      <c r="G21" s="89" t="inlineStr">
        <is>
          <t>NZ cost at water-take charge, A$/yr</t>
        </is>
      </c>
      <c r="H21" s="89" t="inlineStr">
        <is>
          <t>Hot-day effect</t>
        </is>
      </c>
    </row>
    <row r="22">
      <c r="A22" s="68" t="inlineStr">
        <is>
          <t>A. Dry ORC + dry hall, base make-up</t>
        </is>
      </c>
      <c r="B22" s="154">
        <f>($C$7+$C$5)*'Compute-Revenue'!$B$7*$C$12/1e6</f>
        <v/>
      </c>
      <c r="C22" s="154">
        <f>0*$C$9*'Compute-Revenue'!$B$7*$C$12/1e6</f>
        <v/>
      </c>
      <c r="D22" s="154">
        <f>0*$C$10*'Compute-Revenue'!$B$7*1000/1e6</f>
        <v/>
      </c>
      <c r="E22" s="154">
        <f>SUM(B22:D22)</f>
        <v/>
      </c>
      <c r="F22" s="90">
        <f>E22*1000*$C$13</f>
        <v/>
      </c>
      <c r="G22" s="90">
        <f>E22*1000*$C$15/Rates!$D$5</f>
        <v/>
      </c>
      <c r="H22" s="68" t="inlineStr">
        <is>
          <t>Plant derates on hot days (Firm-Power D31:D34); no cooling water</t>
        </is>
      </c>
    </row>
    <row r="23">
      <c r="A23" s="68" t="inlineStr">
        <is>
          <t>B. Dry ORC + dry hall, high make-up</t>
        </is>
      </c>
      <c r="B23" s="154">
        <f>($C$8+$C$5)*'Compute-Revenue'!$B$7*$C$12/1e6</f>
        <v/>
      </c>
      <c r="C23" s="154">
        <f>0*$C$9*'Compute-Revenue'!$B$7*$C$12/1e6</f>
        <v/>
      </c>
      <c r="D23" s="154">
        <f>0*$C$10*'Compute-Revenue'!$B$7*1000/1e6</f>
        <v/>
      </c>
      <c r="E23" s="154">
        <f>SUM(B23:D23)</f>
        <v/>
      </c>
      <c r="F23" s="90">
        <f>E23*1000*$C$13</f>
        <v/>
      </c>
      <c r="G23" s="90">
        <f>E23*1000*$C$15/Rates!$D$5</f>
        <v/>
      </c>
      <c r="H23" s="68" t="inlineStr">
        <is>
          <t>As A; make-up depends on reservoir loss (measured at Gate 1)</t>
        </is>
      </c>
    </row>
    <row r="24">
      <c r="A24" s="68" t="inlineStr">
        <is>
          <t>C. Evaporative ORC + dry hall</t>
        </is>
      </c>
      <c r="B24" s="154">
        <f>($C$7+$C$5)*'Compute-Revenue'!$B$7*$C$12/1e6</f>
        <v/>
      </c>
      <c r="C24" s="154">
        <f>1*$C$9*'Compute-Revenue'!$B$7*$C$12/1e6</f>
        <v/>
      </c>
      <c r="D24" s="154">
        <f>0*$C$10*'Compute-Revenue'!$B$7*1000/1e6</f>
        <v/>
      </c>
      <c r="E24" s="154">
        <f>SUM(B24:D24)</f>
        <v/>
      </c>
      <c r="F24" s="90">
        <f>E24*1000*$C$13</f>
        <v/>
      </c>
      <c r="G24" s="90">
        <f>E24*1000*$C$15/Rates!$D$5</f>
        <v/>
      </c>
      <c r="H24" s="68" t="inlineStr">
        <is>
          <t>Wet cooling holds ORC output on hot days; vendor curve RATE_MISSING</t>
        </is>
      </c>
    </row>
    <row r="25">
      <c r="A25" s="68" t="inlineStr">
        <is>
          <t>D. Dry ORC + evaporative hall</t>
        </is>
      </c>
      <c r="B25" s="154">
        <f>($C$7+$C$5)*'Compute-Revenue'!$B$7*$C$12/1e6</f>
        <v/>
      </c>
      <c r="C25" s="154">
        <f>0*$C$9*'Compute-Revenue'!$B$7*$C$12/1e6</f>
        <v/>
      </c>
      <c r="D25" s="154">
        <f>1*$C$10*'Compute-Revenue'!$B$7*1000/1e6</f>
        <v/>
      </c>
      <c r="E25" s="154">
        <f>SUM(B25:D25)</f>
        <v/>
      </c>
      <c r="F25" s="90">
        <f>E25*1000*$C$13</f>
        <v/>
      </c>
      <c r="G25" s="90">
        <f>E25*1000*$C$15/Rates!$D$5</f>
        <v/>
      </c>
      <c r="H25" s="68" t="inlineStr">
        <is>
          <t>Lower hall PUE on hot days; plant still derates</t>
        </is>
      </c>
    </row>
    <row r="26">
      <c r="A26" s="68" t="inlineStr">
        <is>
          <t>E. Evaporative ORC + evaporative hall</t>
        </is>
      </c>
      <c r="B26" s="154">
        <f>($C$7+$C$5)*'Compute-Revenue'!$B$7*$C$12/1e6</f>
        <v/>
      </c>
      <c r="C26" s="154">
        <f>1*$C$9*'Compute-Revenue'!$B$7*$C$12/1e6</f>
        <v/>
      </c>
      <c r="D26" s="154">
        <f>1*$C$10*'Compute-Revenue'!$B$7*1000/1e6</f>
        <v/>
      </c>
      <c r="E26" s="154">
        <f>SUM(B26:D26)</f>
        <v/>
      </c>
      <c r="F26" s="90">
        <f>E26*1000*$C$13</f>
        <v/>
      </c>
      <c r="G26" s="90">
        <f>E26*1000*$C$15/Rates!$D$5</f>
        <v/>
      </c>
      <c r="H26" s="68" t="inlineStr">
        <is>
          <t>Least hot-day derate; most water</t>
        </is>
      </c>
    </row>
    <row r="27"/>
    <row r="28">
      <c r="A28" s="68" t="inlineStr">
        <is>
          <t>Base case in the model: A (dry ORC, dry hall). Water cost at the levy is small; the real constraints are (1) getting a Great Artesian Basin licence for the allocation, (2) bore capex at site depth (RATE_MISSING) or trucking (no public rate found), and (3) reservoir make-up, which only the Gate 1 circulation test can measure.</t>
        </is>
      </c>
    </row>
    <row r="29">
      <c r="A29" s="68" t="inlineStr">
        <is>
          <t>Dry vs evaporative: evaporative cooling avoids most of the hot-day ORC derate shown on Firm-Power (illustrative 10-30% loss leaves 3 lit modules with both producers and 2 with one producer out (Firm-Power D31:D34)) but uses the extra water in columns C-D, in an arid basin with GAB spring protections.</t>
        </is>
      </c>
    </row>
    <row r="30">
      <c r="A30" s="68" t="inlineStr">
        <is>
          <t>Base-case AU water cost (A$/yr) is reported only; it is not in route opex (immaterial at the levy rate).</t>
        </is>
      </c>
    </row>
    <row r="31"/>
    <row r="32"/>
    <row r="33">
      <c r="A33" s="136" t="inlineStr">
        <is>
          <t>RESERVOIR FLUID LOSS: make-up water if injected fluid does not come back (circulated flow = Flow-Basis C18 x producers, at the capacity factor)</t>
        </is>
      </c>
      <c r="B33" s="137" t="n"/>
      <c r="C33" s="137" t="n"/>
      <c r="D33" s="137" t="n"/>
      <c r="E33" s="137" t="n"/>
      <c r="F33" s="137" t="n"/>
    </row>
    <row r="34">
      <c r="A34" s="68" t="inlineStr">
        <is>
          <t>Bore yield, typical SA Cooper Basin artesian bore, midpoint of 1-10 L/s</t>
        </is>
      </c>
      <c r="C34" s="68">
        <f>(1+10)/2</f>
        <v/>
      </c>
      <c r="E34" s="68" t="inlineStr">
        <is>
          <t>DERIVED</t>
        </is>
      </c>
      <c r="F34" s="68" t="inlineStr">
        <is>
          <t>SA Arid Lands: GAB water social amenity and physical characteristics (2008)</t>
        </is>
      </c>
      <c r="G34" s="68" t="inlineStr">
        <is>
          <t>https://cdn.environment.sa.gov.au/landscape/docs/saal/water-social-amenity-physical-characteristics-gab-rep.pdf</t>
        </is>
      </c>
      <c r="H34" s="68" t="inlineStr">
        <is>
          <t>2008</t>
        </is>
      </c>
    </row>
    <row r="35">
      <c r="A35" s="68" t="inlineStr">
        <is>
          <t>Circulated flow, kg/s (both producers)</t>
        </is>
      </c>
      <c r="C35" s="143">
        <f>'Flow-Basis'!$C$18*'AU-Route'!$B$8</f>
        <v/>
      </c>
    </row>
    <row r="36">
      <c r="A36" s="89" t="inlineStr">
        <is>
          <t>Loss case</t>
        </is>
      </c>
      <c r="B36" s="89" t="inlineStr">
        <is>
          <t>Loss % of injected</t>
        </is>
      </c>
      <c r="C36" s="89" t="inlineStr">
        <is>
          <t>Make-up, L/s</t>
        </is>
      </c>
      <c r="D36" s="89" t="inlineStr">
        <is>
          <t>Make-up, ML/yr</t>
        </is>
      </c>
      <c r="E36" s="89" t="inlineStr">
        <is>
          <t>AU levy, A$/yr</t>
        </is>
      </c>
      <c r="F36" s="89" t="inlineStr">
        <is>
          <t>Bores needed at typical yield</t>
        </is>
      </c>
      <c r="G36" s="89" t="inlineStr">
        <is>
          <t>NZ water-take charge, A$/yr</t>
        </is>
      </c>
      <c r="H36" s="89" t="inlineStr">
        <is>
          <t>Source</t>
        </is>
      </c>
      <c r="I36" s="89" t="inlineStr">
        <is>
          <t>Bore capex at A$300k/bore (low A$72k)</t>
        </is>
      </c>
    </row>
    <row r="37">
      <c r="A37" s="68" t="inlineStr">
        <is>
          <t>Habanero 2013 closed loop: nearly all reinjected</t>
        </is>
      </c>
      <c r="B37" s="145" t="n">
        <v>0</v>
      </c>
      <c r="C37" s="143">
        <f>$C$35*B37</f>
        <v/>
      </c>
      <c r="D37" s="90">
        <f>C37*8760*3600*Control!$B$16/1e6</f>
        <v/>
      </c>
      <c r="E37" s="90">
        <f>D37*1000*$C$13</f>
        <v/>
      </c>
      <c r="F37" s="68">
        <f>IF(C37=0,0,CEILING(C37/$C$34,1))</f>
        <v/>
      </c>
      <c r="G37" s="90">
        <f>D37*1000*$C$15/Rates!$D$5</f>
        <v/>
      </c>
      <c r="H37" s="68" t="inlineStr">
        <is>
          <t>Habanero lessons learned (GRC)</t>
        </is>
      </c>
      <c r="I37" s="90">
        <f>F37*Rates!$D$91</f>
        <v/>
      </c>
    </row>
    <row r="38">
      <c r="A38" s="68" t="inlineStr">
        <is>
          <t>Developer target: &gt;99% recapture</t>
        </is>
      </c>
      <c r="B38" s="145" t="n">
        <v>0.01</v>
      </c>
      <c r="C38" s="143">
        <f>$C$35*B38</f>
        <v/>
      </c>
      <c r="D38" s="90">
        <f>C38*8760*3600*Control!$B$16/1e6</f>
        <v/>
      </c>
      <c r="E38" s="90">
        <f>D38*1000*$C$13</f>
        <v/>
      </c>
      <c r="F38" s="68">
        <f>IF(C38=0,0,CEILING(C38/$C$34,1))</f>
        <v/>
      </c>
      <c r="G38" s="90">
        <f>D38*1000*$C$15/Rates!$D$5</f>
        <v/>
      </c>
      <c r="H38" s="68" t="inlineStr">
        <is>
          <t>Fervo statement quoted in Morpheus/press coverage</t>
        </is>
      </c>
      <c r="I38" s="90">
        <f>F38*Rates!$D$91</f>
        <v/>
      </c>
    </row>
    <row r="39">
      <c r="A39" s="68" t="inlineStr">
        <is>
          <t>Fenton Hill Phase II</t>
        </is>
      </c>
      <c r="B39" s="145" t="n">
        <v>0.07000000000000001</v>
      </c>
      <c r="C39" s="143">
        <f>$C$35*B39</f>
        <v/>
      </c>
      <c r="D39" s="90">
        <f>C39*8760*3600*Control!$B$16/1e6</f>
        <v/>
      </c>
      <c r="E39" s="90">
        <f>D39*1000*$C$13</f>
        <v/>
      </c>
      <c r="F39" s="68">
        <f>IF(C39=0,0,CEILING(C39/$C$34,1))</f>
        <v/>
      </c>
      <c r="G39" s="90">
        <f>D39*1000*$C$15/Rates!$D$5</f>
        <v/>
      </c>
      <c r="H39" s="68" t="inlineStr">
        <is>
          <t>HDR history (Brown 1993)</t>
        </is>
      </c>
      <c r="I39" s="90">
        <f>F39*Rates!$D$91</f>
        <v/>
      </c>
    </row>
    <row r="40">
      <c r="A40" s="68" t="inlineStr">
        <is>
          <t>10% (ASSUMPTION, between Fenton Hill and Rosemanowes)</t>
        </is>
      </c>
      <c r="B40" s="145" t="n">
        <v>0.1</v>
      </c>
      <c r="C40" s="143">
        <f>$C$35*B40</f>
        <v/>
      </c>
      <c r="D40" s="90">
        <f>C40*8760*3600*Control!$B$16/1e6</f>
        <v/>
      </c>
      <c r="E40" s="90">
        <f>D40*1000*$C$13</f>
        <v/>
      </c>
      <c r="F40" s="68">
        <f>IF(C40=0,0,CEILING(C40/$C$34,1))</f>
        <v/>
      </c>
      <c r="G40" s="90">
        <f>D40*1000*$C$15/Rates!$D$5</f>
        <v/>
      </c>
      <c r="H40" s="68" t="inlineStr">
        <is>
          <t>Archegon assumption</t>
        </is>
      </c>
      <c r="I40" s="90">
        <f>F40*Rates!$D$91</f>
        <v/>
      </c>
    </row>
    <row r="41">
      <c r="A41" s="68" t="inlineStr">
        <is>
          <t>Rosemanowes early circulation</t>
        </is>
      </c>
      <c r="B41" s="145" t="n">
        <v>0.2</v>
      </c>
      <c r="C41" s="143">
        <f>$C$35*B41</f>
        <v/>
      </c>
      <c r="D41" s="90">
        <f>C41*8760*3600*Control!$B$16/1e6</f>
        <v/>
      </c>
      <c r="E41" s="90">
        <f>D41*1000*$C$13</f>
        <v/>
      </c>
      <c r="F41" s="68">
        <f>IF(C41=0,0,CEILING(C41/$C$34,1))</f>
        <v/>
      </c>
      <c r="G41" s="90">
        <f>D41*1000*$C$15/Rates!$D$5</f>
        <v/>
      </c>
      <c r="H41" s="68" t="inlineStr">
        <is>
          <t>HDR history</t>
        </is>
      </c>
      <c r="I41" s="90">
        <f>F41*Rates!$D$91</f>
        <v/>
      </c>
    </row>
    <row r="42">
      <c r="A42" s="68" t="inlineStr">
        <is>
          <t>Alleged Project Red (Morpheus Research, disputed)</t>
        </is>
      </c>
      <c r="B42" s="145" t="n">
        <v>0.3</v>
      </c>
      <c r="C42" s="143">
        <f>$C$35*B42</f>
        <v/>
      </c>
      <c r="D42" s="90">
        <f>C42*8760*3600*Control!$B$16/1e6</f>
        <v/>
      </c>
      <c r="E42" s="90">
        <f>D42*1000*$C$13</f>
        <v/>
      </c>
      <c r="F42" s="68">
        <f>IF(C42=0,0,CEILING(C42/$C$34,1))</f>
        <v/>
      </c>
      <c r="G42" s="90">
        <f>D42*1000*$C$15/Rates!$D$5</f>
        <v/>
      </c>
      <c r="H42" s="68" t="inlineStr">
        <is>
          <t>Morpheus Research, 6 Oct 2026</t>
        </is>
      </c>
      <c r="I42" s="90">
        <f>F42*Rates!$D$91</f>
        <v/>
      </c>
    </row>
    <row r="43">
      <c r="A43" s="68" t="inlineStr">
        <is>
          <t>Bore capex: A$72k average GABSI redrill (shallow stock bores) to A$300k reported for a capped and piped bore; deep site bores need a quote. Stimulation water: ~19 ML per multistage stimulation (Utah FORGE 2024). Trucking has no public rate. At the levy the cost is small; the constraint is supply: licensed volume and bore count. At 30% loss the make-up is ~38 L/s, about 8 typical bores, and roughly 1,000+ ML/yr in an arid basin with protected springs. Losses above ~5% are a Gate 1 NO-GO.</t>
        </is>
      </c>
    </row>
  </sheetData>
  <mergeCells count="1">
    <mergeCell ref="A2:F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36" customWidth="1" style="69" min="1" max="1"/>
    <col width="70" customWidth="1" style="69" min="2" max="2"/>
    <col width="10" customWidth="1" style="69" min="3" max="3"/>
    <col width="14" customWidth="1" style="69" min="4" max="4"/>
    <col width="16" customWidth="1" style="69" min="5" max="5"/>
    <col width="18" customWidth="1" style="69" min="6" max="6"/>
    <col width="46" customWidth="1" style="69" min="7" max="7"/>
    <col width="10" customWidth="1" style="69" min="8" max="8"/>
    <col width="30" customWidth="1" style="69" min="9" max="9"/>
  </cols>
  <sheetData>
    <row r="1">
      <c r="A1" s="100" t="inlineStr">
        <is>
          <t>ARCHEGON  ·  US$10m SEED — staged release against gates. Rates are PUBLIC PROXIES; hours and counts are ASSUMPTIONS.</t>
        </is>
      </c>
      <c r="B1" s="101" t="n"/>
      <c r="C1" s="101" t="n"/>
      <c r="D1" s="101" t="n"/>
      <c r="E1" s="101" t="n"/>
      <c r="F1" s="101" t="n"/>
      <c r="G1" s="101" t="n"/>
      <c r="H1" s="101" t="n"/>
    </row>
    <row r="2" ht="30" customHeight="1" s="69">
      <c r="A2" s="135" t="inlineStr">
        <is>
          <t>Seed buys decisions and Gate 1 long-lead items, not plant. Money is released in three tranches; each tranche needs the gates before it. The balance of Tranche 3 pre-buys Gate 1 items and cuts the Gate 1 round by the same amount.</t>
        </is>
      </c>
    </row>
    <row r="3"/>
    <row r="4">
      <c r="A4" s="89" t="inlineStr">
        <is>
          <t>id</t>
        </is>
      </c>
      <c r="B4" s="89" t="inlineStr">
        <is>
          <t>Input</t>
        </is>
      </c>
      <c r="C4" s="89" t="inlineStr">
        <is>
          <t>Value</t>
        </is>
      </c>
      <c r="D4" s="89" t="inlineStr">
        <is>
          <t>Unit</t>
        </is>
      </c>
      <c r="E4" s="89" t="inlineStr">
        <is>
          <t>Status</t>
        </is>
      </c>
      <c r="F4" s="89" t="inlineStr">
        <is>
          <t>Source</t>
        </is>
      </c>
      <c r="G4" s="89" t="inlineStr">
        <is>
          <t>URL</t>
        </is>
      </c>
      <c r="H4" s="89" t="inlineStr">
        <is>
          <t>Date</t>
        </is>
      </c>
      <c r="I4" s="89" t="inlineStr">
        <is>
          <t>Caveat</t>
        </is>
      </c>
    </row>
    <row r="5">
      <c r="A5" s="68" t="inlineStr">
        <is>
          <t>seed_usd</t>
        </is>
      </c>
      <c r="B5" s="68" t="inlineStr">
        <is>
          <t>Seed raise</t>
        </is>
      </c>
      <c r="C5" s="68" t="n">
        <v>10000000</v>
      </c>
      <c r="D5" s="68" t="inlineStr">
        <is>
          <t>US$</t>
        </is>
      </c>
      <c r="E5" s="68" t="inlineStr">
        <is>
          <t>ASSUMPTION</t>
        </is>
      </c>
      <c r="F5" s="68" t="inlineStr">
        <is>
          <t>the founder, 14 Oct 2026</t>
        </is>
      </c>
      <c r="G5" s="68" t="inlineStr"/>
      <c r="H5" s="68" t="inlineStr">
        <is>
          <t>14 Oct 2026</t>
        </is>
      </c>
      <c r="I5" s="68" t="inlineStr">
        <is>
          <t>Size set by Archegon.</t>
        </is>
      </c>
    </row>
    <row r="6">
      <c r="A6" s="68" t="inlineStr">
        <is>
          <t>fx</t>
        </is>
      </c>
      <c r="B6" s="68" t="inlineStr">
        <is>
          <t>Model FX, US$ per A$</t>
        </is>
      </c>
      <c r="C6" s="68">
        <f>Rates!$D$4</f>
        <v/>
      </c>
      <c r="D6" s="68" t="inlineStr">
        <is>
          <t>US$/A$</t>
        </is>
      </c>
      <c r="E6" s="68" t="inlineStr">
        <is>
          <t>VERIFIED</t>
        </is>
      </c>
      <c r="F6" s="68" t="inlineStr">
        <is>
          <t>Rates D4 (finding geothermal-capex-71)</t>
        </is>
      </c>
      <c r="G6" s="68" t="inlineStr"/>
      <c r="H6" s="68" t="inlineStr">
        <is>
          <t>2026</t>
        </is>
      </c>
      <c r="I6" s="68" t="inlineStr">
        <is>
          <t>Point-in-time rate used throughout the model.</t>
        </is>
      </c>
    </row>
    <row r="7">
      <c r="A7" s="68" t="inlineStr">
        <is>
          <t>seed_aud</t>
        </is>
      </c>
      <c r="B7" s="68" t="inlineStr">
        <is>
          <t>Seed raise in A$</t>
        </is>
      </c>
      <c r="C7" s="90">
        <f>C5/C6</f>
        <v/>
      </c>
      <c r="D7" s="68" t="inlineStr">
        <is>
          <t>A$</t>
        </is>
      </c>
      <c r="E7" s="68" t="inlineStr">
        <is>
          <t>DERIVED</t>
        </is>
      </c>
      <c r="F7" s="68" t="inlineStr">
        <is>
          <t>US$ / FX</t>
        </is>
      </c>
      <c r="G7" s="68" t="inlineStr"/>
      <c r="H7" s="68" t="inlineStr"/>
      <c r="I7" s="68" t="inlineStr"/>
    </row>
    <row r="8">
      <c r="A8" s="68" t="inlineStr">
        <is>
          <t>r_eng_pr</t>
        </is>
      </c>
      <c r="B8" s="68" t="inlineStr">
        <is>
          <t>Principal / specialist engineer charge-out</t>
        </is>
      </c>
      <c r="C8" s="68" t="n">
        <v>350</v>
      </c>
      <c r="D8" s="68" t="inlineStr">
        <is>
          <t>A$/h</t>
        </is>
      </c>
      <c r="E8" s="68" t="inlineStr">
        <is>
          <t>PUBLIC PROXY</t>
        </is>
      </c>
      <c r="F8" s="68" t="inlineStr">
        <is>
          <t>PBE: engineer hourly rates in Australia (principal A$250-350)</t>
        </is>
      </c>
      <c r="G8" s="68" t="inlineStr">
        <is>
          <t>https://www.pbengineering.com.au/blog/what-is-the-hourly-rate-for-a-structural-engineer-in-austral/</t>
        </is>
      </c>
      <c r="H8" s="68" t="inlineStr">
        <is>
          <t>2025</t>
        </is>
      </c>
      <c r="I8" s="68" t="inlineStr">
        <is>
          <t>Structural-engineering source; geothermal specialists may bill more.</t>
        </is>
      </c>
    </row>
    <row r="9">
      <c r="A9" s="68" t="inlineStr">
        <is>
          <t>r_eng_sr</t>
        </is>
      </c>
      <c r="B9" s="68" t="inlineStr">
        <is>
          <t>Senior engineer / project manager charge-out</t>
        </is>
      </c>
      <c r="C9" s="68" t="n">
        <v>230</v>
      </c>
      <c r="D9" s="68" t="inlineStr">
        <is>
          <t>A$/h</t>
        </is>
      </c>
      <c r="E9" s="68" t="inlineStr">
        <is>
          <t>PUBLIC PROXY</t>
        </is>
      </c>
      <c r="F9" s="68" t="inlineStr">
        <is>
          <t>Barker Ryan Stewart schedule of rates</t>
        </is>
      </c>
      <c r="G9" s="68" t="inlineStr">
        <is>
          <t>https://brs.com.au/terms-and-conditions-of-engagement-2024/</t>
        </is>
      </c>
      <c r="H9" s="68" t="inlineStr">
        <is>
          <t>2024</t>
        </is>
      </c>
      <c r="I9" s="68" t="inlineStr"/>
    </row>
    <row r="10">
      <c r="A10" s="68" t="inlineStr">
        <is>
          <t>r_law_p</t>
        </is>
      </c>
      <c r="B10" s="68" t="inlineStr">
        <is>
          <t>Law firm partner charge-out (Sydney/Melbourne)</t>
        </is>
      </c>
      <c r="C10" s="68" t="n">
        <v>750</v>
      </c>
      <c r="D10" s="68" t="inlineStr">
        <is>
          <t>A$/h</t>
        </is>
      </c>
      <c r="E10" s="68" t="inlineStr">
        <is>
          <t>DERIVED</t>
        </is>
      </c>
      <c r="F10" s="68" t="inlineStr">
        <is>
          <t>LexUnits (A$600-900+)</t>
        </is>
      </c>
      <c r="G10" s="68" t="inlineStr">
        <is>
          <t>https://lexunits.com/blog/setting-up-legal-billing-rates-australia</t>
        </is>
      </c>
      <c r="H10" s="68" t="inlineStr">
        <is>
          <t>2026</t>
        </is>
      </c>
      <c r="I10" s="68" t="inlineStr">
        <is>
          <t>Midpoint.</t>
        </is>
      </c>
    </row>
    <row r="11">
      <c r="A11" s="68" t="inlineStr">
        <is>
          <t>r_law_sa</t>
        </is>
      </c>
      <c r="B11" s="68" t="inlineStr">
        <is>
          <t>Law firm senior associate charge-out</t>
        </is>
      </c>
      <c r="C11" s="68" t="n">
        <v>600</v>
      </c>
      <c r="D11" s="68" t="inlineStr">
        <is>
          <t>A$/h</t>
        </is>
      </c>
      <c r="E11" s="68" t="inlineStr">
        <is>
          <t>DERIVED</t>
        </is>
      </c>
      <c r="F11" s="68" t="inlineStr">
        <is>
          <t>LexUnits (A$500-700)</t>
        </is>
      </c>
      <c r="G11" s="68" t="inlineStr">
        <is>
          <t>https://lexunits.com/blog/setting-up-legal-billing-rates-australia</t>
        </is>
      </c>
      <c r="H11" s="68" t="inlineStr">
        <is>
          <t>2026</t>
        </is>
      </c>
      <c r="I11" s="68" t="inlineStr">
        <is>
          <t>Midpoint.</t>
        </is>
      </c>
    </row>
    <row r="12">
      <c r="A12" s="68" t="inlineStr">
        <is>
          <t>desk</t>
        </is>
      </c>
      <c r="B12" s="68" t="inlineStr">
        <is>
          <t>Geothermal feasibility / desk study</t>
        </is>
      </c>
      <c r="C12" s="68" t="n">
        <v>500000</v>
      </c>
      <c r="D12" s="68" t="inlineStr">
        <is>
          <t>A$</t>
        </is>
      </c>
      <c r="E12" s="68" t="inlineStr">
        <is>
          <t>PUBLIC PROXY</t>
        </is>
      </c>
      <c r="F12" s="68" t="inlineStr">
        <is>
          <t>ARENA feasibility studies (A$100k-500k)</t>
        </is>
      </c>
      <c r="G12" s="68" t="inlineStr">
        <is>
          <t>https://arena.gov.au/assets/2022/09/industrial-energy-transformation-studies-stream-a-feasibility-studies.pdf</t>
        </is>
      </c>
      <c r="H12" s="68" t="inlineStr">
        <is>
          <t>2022</t>
        </is>
      </c>
      <c r="I12" s="68" t="inlineStr">
        <is>
          <t>ARENA co-funding not assumed.</t>
        </is>
      </c>
    </row>
    <row r="13">
      <c r="A13" s="68" t="inlineStr">
        <is>
          <t>nz_cons</t>
        </is>
      </c>
      <c r="B13" s="68" t="inlineStr">
        <is>
          <t>NZ notified resource consent</t>
        </is>
      </c>
      <c r="C13" s="68" t="n">
        <v>50000</v>
      </c>
      <c r="D13" s="68" t="inlineStr">
        <is>
          <t>NZ$</t>
        </is>
      </c>
      <c r="E13" s="68" t="inlineStr">
        <is>
          <t>PUBLIC PROXY</t>
        </is>
      </c>
      <c r="F13" s="68" t="inlineStr">
        <is>
          <t>Waikato Regional Council</t>
        </is>
      </c>
      <c r="G13" s="68" t="inlineStr">
        <is>
          <t>https://subsite.waikatoregion.govt.nz/services/consents-and-compliance/resource-consents/costs-to-applicants-and-consent-holders/</t>
        </is>
      </c>
      <c r="H13" s="68" t="inlineStr">
        <is>
          <t>2026</t>
        </is>
      </c>
      <c r="I13" s="68" t="inlineStr"/>
    </row>
    <row r="14">
      <c r="A14" s="68" t="inlineStr">
        <is>
          <t>ret</t>
        </is>
      </c>
      <c r="B14" s="68" t="inlineStr">
        <is>
          <t>Adviser retainer</t>
        </is>
      </c>
      <c r="C14" s="68" t="n">
        <v>15000</v>
      </c>
      <c r="D14" s="68" t="inlineStr">
        <is>
          <t>A$/month</t>
        </is>
      </c>
      <c r="E14" s="68" t="inlineStr">
        <is>
          <t>PUBLIC PROXY</t>
        </is>
      </c>
      <c r="F14" s="68" t="inlineStr">
        <is>
          <t>Mandate filed with US SEC (A$15k/month + 6%)</t>
        </is>
      </c>
      <c r="G14" s="68" t="inlineStr">
        <is>
          <t>https://www.sec.gov/Archives/edgar/data/2102907/000121390026077366/ea029646501ex4-7.htm</t>
        </is>
      </c>
      <c r="H14" s="68" t="inlineStr">
        <is>
          <t>2026</t>
        </is>
      </c>
      <c r="I14" s="68" t="inlineStr"/>
    </row>
    <row r="15">
      <c r="A15" s="68" t="inlineStr">
        <is>
          <t>succ</t>
        </is>
      </c>
      <c r="B15" s="68" t="inlineStr">
        <is>
          <t>Success fee on the Gate 1 round</t>
        </is>
      </c>
      <c r="C15" s="68" t="n">
        <v>0.06</v>
      </c>
      <c r="D15" s="68" t="inlineStr">
        <is>
          <t>share</t>
        </is>
      </c>
      <c r="E15" s="68" t="inlineStr">
        <is>
          <t>PUBLIC PROXY</t>
        </is>
      </c>
      <c r="F15" s="68" t="inlineStr">
        <is>
          <t>Same mandate (range 2-7%)</t>
        </is>
      </c>
      <c r="G15" s="68" t="inlineStr">
        <is>
          <t>https://sociibook.com/guides/capital-raise-success-fee-structure</t>
        </is>
      </c>
      <c r="H15" s="68" t="inlineStr">
        <is>
          <t>2026</t>
        </is>
      </c>
      <c r="I15" s="68" t="inlineStr">
        <is>
          <t>Gate 1 round is grossed up for it (Gated-Plan C6).</t>
        </is>
      </c>
    </row>
    <row r="16">
      <c r="A16" s="68" t="inlineStr">
        <is>
          <t>months</t>
        </is>
      </c>
      <c r="B16" s="68" t="inlineStr">
        <is>
          <t>Seed period</t>
        </is>
      </c>
      <c r="C16" s="68" t="n">
        <v>18</v>
      </c>
      <c r="D16" s="68" t="inlineStr">
        <is>
          <t>months</t>
        </is>
      </c>
      <c r="E16" s="68" t="inlineStr">
        <is>
          <t>ASSUMPTION</t>
        </is>
      </c>
      <c r="F16" s="68" t="inlineStr">
        <is>
          <t>Archegon</t>
        </is>
      </c>
      <c r="G16" s="68" t="inlineStr"/>
      <c r="H16" s="68" t="inlineStr">
        <is>
          <t>14 Oct 2026</t>
        </is>
      </c>
      <c r="I16" s="68" t="inlineStr"/>
    </row>
    <row r="17">
      <c r="A17" s="68" t="inlineStr">
        <is>
          <t>sal_ceo</t>
        </is>
      </c>
      <c r="B17" s="68" t="inlineStr">
        <is>
          <t>CEO salary</t>
        </is>
      </c>
      <c r="C17" s="68" t="n">
        <v>147000</v>
      </c>
      <c r="D17" s="68" t="inlineStr">
        <is>
          <t>A$/yr</t>
        </is>
      </c>
      <c r="E17" s="68" t="inlineStr">
        <is>
          <t>PUBLIC PROXY</t>
        </is>
      </c>
      <c r="F17" s="68" t="inlineStr">
        <is>
          <t>Think &amp; Grow Australian Start-Up Salary Guide 2022-23 (CEO average)</t>
        </is>
      </c>
      <c r="G17" s="68" t="inlineStr">
        <is>
          <t>https://21255406.fs1.hubspotusercontent-na1.net/hubfs/21255406/Salary-Guide/2022-23-Think-and-Grow-Salary-Survey.pdf</t>
        </is>
      </c>
      <c r="H17" s="68" t="inlineStr">
        <is>
          <t>2023</t>
        </is>
      </c>
      <c r="I17" s="68" t="inlineStr">
        <is>
          <t>Dated; range A$50-300k.</t>
        </is>
      </c>
    </row>
    <row r="18">
      <c r="A18" s="68" t="inlineStr">
        <is>
          <t>sal_eng</t>
        </is>
      </c>
      <c r="B18" s="68" t="inlineStr">
        <is>
          <t>Reservoir engineer salary (in-house)</t>
        </is>
      </c>
      <c r="C18" s="68" t="n">
        <v>152459</v>
      </c>
      <c r="D18" s="68" t="inlineStr">
        <is>
          <t>A$/yr</t>
        </is>
      </c>
      <c r="E18" s="68" t="inlineStr">
        <is>
          <t>PUBLIC PROXY</t>
        </is>
      </c>
      <c r="F18" s="68" t="inlineStr">
        <is>
          <t>PayScale: reservoir engineer, Australia</t>
        </is>
      </c>
      <c r="G18" s="68" t="inlineStr">
        <is>
          <t>https://www.payscale.com/research/AU/Job=Reservoir_Engineer/Salary</t>
        </is>
      </c>
      <c r="H18" s="68" t="inlineStr">
        <is>
          <t>2026</t>
        </is>
      </c>
      <c r="I18" s="68" t="inlineStr"/>
    </row>
    <row r="19">
      <c r="A19" s="68" t="inlineStr">
        <is>
          <t>sal_jr</t>
        </is>
      </c>
      <c r="B19" s="68" t="inlineStr">
        <is>
          <t>Analyst / junior engineer salary</t>
        </is>
      </c>
      <c r="C19" s="68" t="n">
        <v>115561</v>
      </c>
      <c r="D19" s="68" t="inlineStr">
        <is>
          <t>A$/yr</t>
        </is>
      </c>
      <c r="E19" s="68" t="inlineStr">
        <is>
          <t>PUBLIC PROXY</t>
        </is>
      </c>
      <c r="F19" s="68" t="inlineStr">
        <is>
          <t>SEEK: reservoir engineer jobs, average advertised</t>
        </is>
      </c>
      <c r="G19" s="68" t="inlineStr">
        <is>
          <t>https://au.seek.com/reservoir-engineer-jobs</t>
        </is>
      </c>
      <c r="H19" s="68" t="inlineStr">
        <is>
          <t>2026</t>
        </is>
      </c>
      <c r="I19" s="68" t="inlineStr"/>
    </row>
    <row r="20">
      <c r="A20" s="68" t="inlineStr">
        <is>
          <t>oncost</t>
        </is>
      </c>
      <c r="B20" s="68" t="inlineStr">
        <is>
          <t>Superannuation guarantee</t>
        </is>
      </c>
      <c r="C20" s="68" t="n">
        <v>0.12</v>
      </c>
      <c r="D20" s="68" t="inlineStr">
        <is>
          <t>share</t>
        </is>
      </c>
      <c r="E20" s="68" t="inlineStr">
        <is>
          <t>PUBLIC PROXY</t>
        </is>
      </c>
      <c r="F20" s="68" t="inlineStr">
        <is>
          <t>ATO: super guarantee 12% from 1 July 2025</t>
        </is>
      </c>
      <c r="G20" s="68" t="inlineStr">
        <is>
          <t>https://www.ato.gov.au/tax-rates-and-codes/key-superannuation-rates-and-thresholds/super-guarantee</t>
        </is>
      </c>
      <c r="H20" s="68" t="inlineStr">
        <is>
          <t>2025</t>
        </is>
      </c>
      <c r="I20" s="68" t="inlineStr">
        <is>
          <t>Payroll tax: team below the SA threshold.</t>
        </is>
      </c>
    </row>
    <row r="21">
      <c r="A21" s="68" t="inlineStr">
        <is>
          <t>desk_mo</t>
        </is>
      </c>
      <c r="B21" s="68" t="inlineStr">
        <is>
          <t>Dedicated coworking desk, Adelaide median</t>
        </is>
      </c>
      <c r="C21" s="68" t="n">
        <v>380</v>
      </c>
      <c r="D21" s="68" t="inlineStr">
        <is>
          <t>A$/desk/month</t>
        </is>
      </c>
      <c r="E21" s="68" t="inlineStr">
        <is>
          <t>PUBLIC PROXY</t>
        </is>
      </c>
      <c r="F21" s="68" t="inlineStr">
        <is>
          <t>Cowork Adelaide guide (Q1 2026 median)</t>
        </is>
      </c>
      <c r="G21" s="68" t="inlineStr">
        <is>
          <t>https://coworkadelaide.com.au/blog/coworking-spaces-adelaide-cbd-guide</t>
        </is>
      </c>
      <c r="H21" s="68" t="inlineStr">
        <is>
          <t>2026</t>
        </is>
      </c>
      <c r="I21" s="68" t="inlineStr"/>
    </row>
    <row r="22">
      <c r="A22" s="68" t="inlineStr">
        <is>
          <t>do_ins</t>
        </is>
      </c>
      <c r="B22" s="68" t="inlineStr">
        <is>
          <t>D&amp;O insurance, investor-backed company</t>
        </is>
      </c>
      <c r="C22" s="68" t="n">
        <v>15000</v>
      </c>
      <c r="D22" s="68" t="inlineStr">
        <is>
          <t>A$/yr</t>
        </is>
      </c>
      <c r="E22" s="68" t="inlineStr">
        <is>
          <t>PUBLIC PROXY</t>
        </is>
      </c>
      <c r="F22" s="68" t="inlineStr">
        <is>
          <t>upcover (A$5-15k standalone D&amp;O)</t>
        </is>
      </c>
      <c r="G22" s="68" t="inlineStr">
        <is>
          <t>https://www.upcover.com/blog/directors-and-officers-insurance-cost-australia</t>
        </is>
      </c>
      <c r="H22" s="68" t="inlineStr">
        <is>
          <t>Jul 2026</t>
        </is>
      </c>
      <c r="I22" s="68" t="inlineStr">
        <is>
          <t>Top of range.</t>
        </is>
      </c>
    </row>
    <row r="23">
      <c r="A23" s="68" t="inlineStr">
        <is>
          <t>pl_ins</t>
        </is>
      </c>
      <c r="B23" s="68" t="inlineStr">
        <is>
          <t>Public liability + professional indemnity</t>
        </is>
      </c>
      <c r="C23" s="68" t="n">
        <v>10000</v>
      </c>
      <c r="D23" s="68" t="inlineStr">
        <is>
          <t>A$/yr</t>
        </is>
      </c>
      <c r="E23" s="68" t="inlineStr">
        <is>
          <t>ASSUMPTION</t>
        </is>
      </c>
      <c r="F23" s="68" t="inlineStr">
        <is>
          <t>Archegon assumption</t>
        </is>
      </c>
      <c r="G23" s="68" t="inlineStr"/>
      <c r="H23" s="68" t="inlineStr"/>
      <c r="I23" s="68" t="inlineStr">
        <is>
          <t>Quote needed.</t>
        </is>
      </c>
    </row>
    <row r="24">
      <c r="A24" s="68" t="inlineStr">
        <is>
          <t>charter</t>
        </is>
      </c>
      <c r="B24" s="68" t="inlineStr">
        <is>
          <t>Adelaide-Moomba charter, return</t>
        </is>
      </c>
      <c r="C24" s="68" t="n">
        <v>22000</v>
      </c>
      <c r="D24" s="68" t="inlineStr">
        <is>
          <t>A$/trip</t>
        </is>
      </c>
      <c r="E24" s="68" t="inlineStr">
        <is>
          <t>PUBLIC PROXY</t>
        </is>
      </c>
      <c r="F24" s="68" t="inlineStr">
        <is>
          <t>Best Private Jet Charter estimate (A$12-22k)</t>
        </is>
      </c>
      <c r="G24" s="68" t="inlineStr">
        <is>
          <t>https://bestprivatejetcharter.com.au/fifo-private-jet-charter-australia/</t>
        </is>
      </c>
      <c r="H24" s="68" t="inlineStr">
        <is>
          <t>2026</t>
        </is>
      </c>
      <c r="I24" s="68" t="inlineStr">
        <is>
          <t>Alliance scheduled FIFO fares not public; top of range.</t>
        </is>
      </c>
    </row>
    <row r="25">
      <c r="A25" s="68" t="inlineStr">
        <is>
          <t>trip_intl</t>
        </is>
      </c>
      <c r="B25" s="68" t="inlineStr">
        <is>
          <t>Investor / supplier trip (international)</t>
        </is>
      </c>
      <c r="C25" s="68" t="n">
        <v>8000</v>
      </c>
      <c r="D25" s="68" t="inlineStr">
        <is>
          <t>A$/trip</t>
        </is>
      </c>
      <c r="E25" s="68" t="inlineStr">
        <is>
          <t>ASSUMPTION</t>
        </is>
      </c>
      <c r="F25" s="68" t="inlineStr">
        <is>
          <t>Archegon assumption</t>
        </is>
      </c>
      <c r="G25" s="68" t="inlineStr"/>
      <c r="H25" s="68" t="inlineStr"/>
      <c r="I25" s="68" t="inlineStr"/>
    </row>
    <row r="26">
      <c r="A26" s="68" t="inlineStr">
        <is>
          <t>seis_km</t>
        </is>
      </c>
      <c r="B26" s="68" t="inlineStr">
        <is>
          <t>Seismic reprocessing</t>
        </is>
      </c>
      <c r="C26" s="68" t="n">
        <v>853</v>
      </c>
      <c r="D26" s="68" t="inlineStr">
        <is>
          <t>A$/km</t>
        </is>
      </c>
      <c r="E26" s="68" t="inlineStr">
        <is>
          <t>PUBLIC PROXY</t>
        </is>
      </c>
      <c r="F26" s="68" t="inlineStr">
        <is>
          <t>GovMarket contracts (A$275-1,430/km); midpoint</t>
        </is>
      </c>
      <c r="G26" s="68" t="inlineStr">
        <is>
          <t>https://govmarket.com.au/contract/reprocessing-of-legacy-2d-seismic-data-from-eastern-goldfields-survey-by-velseis-processing-pty-ltd-160308</t>
        </is>
      </c>
      <c r="H26" s="68" t="inlineStr">
        <is>
          <t>2024</t>
        </is>
      </c>
      <c r="I26" s="68" t="inlineStr">
        <is>
          <t>SARIG Cooper Basin 2Dcubed data are free.</t>
        </is>
      </c>
    </row>
    <row r="27"/>
    <row r="28"/>
    <row r="29">
      <c r="A29" s="136" t="inlineStr">
        <is>
          <t>BUDGET BY LINE AND TRANCHE (T1 at close; T2 after G1 + G4; T3 after G2, G3, G5 and with G6 in hand)</t>
        </is>
      </c>
      <c r="B29" s="137" t="n"/>
      <c r="C29" s="137" t="n"/>
      <c r="D29" s="137" t="n"/>
      <c r="E29" s="137" t="n"/>
      <c r="F29" s="137" t="n"/>
    </row>
    <row r="30">
      <c r="A30" s="89" t="inlineStr">
        <is>
          <t>Line</t>
        </is>
      </c>
      <c r="B30" s="89" t="inlineStr">
        <is>
          <t>Item</t>
        </is>
      </c>
      <c r="C30" s="89" t="inlineStr">
        <is>
          <t>Qty</t>
        </is>
      </c>
      <c r="D30" s="89" t="inlineStr">
        <is>
          <t>Rate, A$</t>
        </is>
      </c>
      <c r="E30" s="89" t="inlineStr">
        <is>
          <t>A$</t>
        </is>
      </c>
      <c r="F30" s="89" t="inlineStr">
        <is>
          <t>Status</t>
        </is>
      </c>
      <c r="G30" s="89" t="inlineStr">
        <is>
          <t>Delivers</t>
        </is>
      </c>
      <c r="H30" s="89" t="inlineStr">
        <is>
          <t>Tranche</t>
        </is>
      </c>
    </row>
    <row r="31">
      <c r="A31" s="68" t="inlineStr">
        <is>
          <t>1 Engineers / viability</t>
        </is>
      </c>
      <c r="B31" s="68" t="inlineStr">
        <is>
          <t>Reservoir and geoscience desk study</t>
        </is>
      </c>
      <c r="C31" s="68" t="n">
        <v>1</v>
      </c>
      <c r="D31" s="90">
        <f>$C$12</f>
        <v/>
      </c>
      <c r="E31" s="90">
        <f>C31*D31</f>
        <v/>
      </c>
      <c r="F31" s="68" t="inlineStr">
        <is>
          <t>PUBLIC PROXY</t>
        </is>
      </c>
      <c r="G31" s="68" t="inlineStr">
        <is>
          <t>Resource model; temperature, stress and fracture case</t>
        </is>
      </c>
      <c r="H31" s="68" t="inlineStr">
        <is>
          <t>T1</t>
        </is>
      </c>
    </row>
    <row r="32">
      <c r="A32" s="68" t="inlineStr">
        <is>
          <t>1 Engineers / viability</t>
        </is>
      </c>
      <c r="B32" s="68" t="inlineStr">
        <is>
          <t>Third-party P50/P90 resource and geomechanics case (investor-appointed)</t>
        </is>
      </c>
      <c r="C32" s="68" t="n">
        <v>500</v>
      </c>
      <c r="D32" s="90">
        <f>$C$8</f>
        <v/>
      </c>
      <c r="E32" s="90">
        <f>C32*D32</f>
        <v/>
      </c>
      <c r="F32" s="68" t="inlineStr">
        <is>
          <t>ASSUMPTION hours</t>
        </is>
      </c>
      <c r="G32" s="68" t="inlineStr">
        <is>
          <t>Independent case versus the Flow-Basis requirement</t>
        </is>
      </c>
      <c r="H32" s="68" t="inlineStr">
        <is>
          <t>T1</t>
        </is>
      </c>
    </row>
    <row r="33">
      <c r="A33" s="68" t="inlineStr">
        <is>
          <t>1 Engineers / viability</t>
        </is>
      </c>
      <c r="B33" s="68" t="inlineStr">
        <is>
          <t>Named geothermal principal, 0.5 FTE, first 6 months</t>
        </is>
      </c>
      <c r="C33" s="68" t="n">
        <v>450</v>
      </c>
      <c r="D33" s="90">
        <f>$C$8</f>
        <v/>
      </c>
      <c r="E33" s="90">
        <f>C33*D33</f>
        <v/>
      </c>
      <c r="F33" s="68" t="inlineStr">
        <is>
          <t>ASSUMPTION hours</t>
        </is>
      </c>
      <c r="G33" s="68" t="inlineStr">
        <is>
          <t>Accountable technical lead</t>
        </is>
      </c>
      <c r="H33" s="68" t="inlineStr">
        <is>
          <t>T1</t>
        </is>
      </c>
    </row>
    <row r="34">
      <c r="A34" s="68" t="inlineStr">
        <is>
          <t>1 Engineers / viability</t>
        </is>
      </c>
      <c r="B34" s="68" t="inlineStr">
        <is>
          <t>Named geothermal principal, 0.5 FTE, months 7-18</t>
        </is>
      </c>
      <c r="C34" s="68" t="n">
        <v>900</v>
      </c>
      <c r="D34" s="90">
        <f>$C$8</f>
        <v/>
      </c>
      <c r="E34" s="90">
        <f>C34*D34</f>
        <v/>
      </c>
      <c r="F34" s="68" t="inlineStr">
        <is>
          <t>ASSUMPTION hours</t>
        </is>
      </c>
      <c r="G34" s="68" t="inlineStr"/>
      <c r="H34" s="68" t="inlineStr">
        <is>
          <t>T2</t>
        </is>
      </c>
    </row>
    <row r="35">
      <c r="A35" s="68" t="inlineStr">
        <is>
          <t>1 Engineers / viability</t>
        </is>
      </c>
      <c r="B35" s="68" t="inlineStr">
        <is>
          <t>Well design and AFE drilling estimate</t>
        </is>
      </c>
      <c r="C35" s="68" t="n">
        <v>400</v>
      </c>
      <c r="D35" s="90">
        <f>$C$8</f>
        <v/>
      </c>
      <c r="E35" s="90">
        <f>C35*D35</f>
        <v/>
      </c>
      <c r="F35" s="68" t="inlineStr">
        <is>
          <t>ASSUMPTION hours</t>
        </is>
      </c>
      <c r="G35" s="68" t="inlineStr">
        <is>
          <t>AFE replacing the model well cost</t>
        </is>
      </c>
      <c r="H35" s="68" t="inlineStr">
        <is>
          <t>T2</t>
        </is>
      </c>
    </row>
    <row r="36">
      <c r="A36" s="68" t="inlineStr">
        <is>
          <t>1 Engineers / viability</t>
        </is>
      </c>
      <c r="B36" s="68" t="inlineStr">
        <is>
          <t>Gate 1 test programme: tracer design, decline forecast method, traffic-light plan</t>
        </is>
      </c>
      <c r="C36" s="68" t="n">
        <v>400</v>
      </c>
      <c r="D36" s="90">
        <f>$C$8</f>
        <v/>
      </c>
      <c r="E36" s="90">
        <f>C36*D36</f>
        <v/>
      </c>
      <c r="F36" s="68" t="inlineStr">
        <is>
          <t>ASSUMPTION hours</t>
        </is>
      </c>
      <c r="G36" s="68" t="inlineStr">
        <is>
          <t>Regulator-ready test plan with the Gated-Plan limits</t>
        </is>
      </c>
      <c r="H36" s="68" t="inlineStr">
        <is>
          <t>T2</t>
        </is>
      </c>
    </row>
    <row r="37">
      <c r="A37" s="68" t="inlineStr">
        <is>
          <t>1 Engineers / viability</t>
        </is>
      </c>
      <c r="B37" s="68" t="inlineStr">
        <is>
          <t>Independent engineer for investors (review of all of the above)</t>
        </is>
      </c>
      <c r="C37" s="68" t="n">
        <v>200</v>
      </c>
      <c r="D37" s="90">
        <f>$C$8</f>
        <v/>
      </c>
      <c r="E37" s="90">
        <f>C37*D37</f>
        <v/>
      </c>
      <c r="F37" s="68" t="inlineStr">
        <is>
          <t>ASSUMPTION hours</t>
        </is>
      </c>
      <c r="G37" s="68" t="inlineStr">
        <is>
          <t>Independent sign-off</t>
        </is>
      </c>
      <c r="H37" s="68" t="inlineStr">
        <is>
          <t>T2</t>
        </is>
      </c>
    </row>
    <row r="38">
      <c r="A38" s="68" t="inlineStr">
        <is>
          <t>2 Lawyers / government</t>
        </is>
      </c>
      <c r="B38" s="68" t="inlineStr">
        <is>
          <t>SA tenure, approvals and GAB water licence (partner)</t>
        </is>
      </c>
      <c r="C38" s="68" t="n">
        <v>200</v>
      </c>
      <c r="D38" s="90">
        <f>$C$10</f>
        <v/>
      </c>
      <c r="E38" s="90">
        <f>C38*D38</f>
        <v/>
      </c>
      <c r="F38" s="68" t="inlineStr">
        <is>
          <t>ASSUMPTION hours</t>
        </is>
      </c>
      <c r="G38" s="68" t="inlineStr">
        <is>
          <t>Licence and water pathway</t>
        </is>
      </c>
      <c r="H38" s="68" t="inlineStr">
        <is>
          <t>T1</t>
        </is>
      </c>
    </row>
    <row r="39">
      <c r="A39" s="68" t="inlineStr">
        <is>
          <t>2 Lawyers / government</t>
        </is>
      </c>
      <c r="B39" s="68" t="inlineStr">
        <is>
          <t>Same (senior associate)</t>
        </is>
      </c>
      <c r="C39" s="68" t="n">
        <v>400</v>
      </c>
      <c r="D39" s="90">
        <f>$C$11</f>
        <v/>
      </c>
      <c r="E39" s="90">
        <f>C39*D39</f>
        <v/>
      </c>
      <c r="F39" s="68" t="inlineStr">
        <is>
          <t>ASSUMPTION hours</t>
        </is>
      </c>
      <c r="G39" s="68" t="inlineStr"/>
      <c r="H39" s="68" t="inlineStr">
        <is>
          <t>T2</t>
        </is>
      </c>
    </row>
    <row r="40">
      <c r="A40" s="68" t="inlineStr">
        <is>
          <t>2 Lawyers / government</t>
        </is>
      </c>
      <c r="B40" s="68" t="inlineStr">
        <is>
          <t>Native title ILUA heads of terms (partner)</t>
        </is>
      </c>
      <c r="C40" s="68" t="n">
        <v>200</v>
      </c>
      <c r="D40" s="90">
        <f>$C$10</f>
        <v/>
      </c>
      <c r="E40" s="90">
        <f>C40*D40</f>
        <v/>
      </c>
      <c r="F40" s="68" t="inlineStr">
        <is>
          <t>ASSUMPTION hours</t>
        </is>
      </c>
      <c r="G40" s="68" t="inlineStr">
        <is>
          <t>Heads of terms</t>
        </is>
      </c>
      <c r="H40" s="68" t="inlineStr">
        <is>
          <t>T2</t>
        </is>
      </c>
    </row>
    <row r="41">
      <c r="A41" s="68" t="inlineStr">
        <is>
          <t>2 Lawyers / government</t>
        </is>
      </c>
      <c r="B41" s="68" t="inlineStr">
        <is>
          <t>Native title (senior associate)</t>
        </is>
      </c>
      <c r="C41" s="68" t="n">
        <v>400</v>
      </c>
      <c r="D41" s="90">
        <f>$C$11</f>
        <v/>
      </c>
      <c r="E41" s="90">
        <f>C41*D41</f>
        <v/>
      </c>
      <c r="F41" s="68" t="inlineStr">
        <is>
          <t>ASSUMPTION hours</t>
        </is>
      </c>
      <c r="G41" s="68" t="inlineStr"/>
      <c r="H41" s="68" t="inlineStr">
        <is>
          <t>T2</t>
        </is>
      </c>
    </row>
    <row r="42">
      <c r="A42" s="68" t="inlineStr">
        <is>
          <t>2 Lawyers / government</t>
        </is>
      </c>
      <c r="B42" s="68" t="inlineStr">
        <is>
          <t>Commonwealth: EPBC, FIRB, ARENA application</t>
        </is>
      </c>
      <c r="C42" s="68" t="n">
        <v>120</v>
      </c>
      <c r="D42" s="90">
        <f>$C$10</f>
        <v/>
      </c>
      <c r="E42" s="90">
        <f>C42*D42</f>
        <v/>
      </c>
      <c r="F42" s="68" t="inlineStr">
        <is>
          <t>ASSUMPTION hours</t>
        </is>
      </c>
      <c r="G42" s="68" t="inlineStr">
        <is>
          <t>Federal approvals map; grant application</t>
        </is>
      </c>
      <c r="H42" s="68" t="inlineStr">
        <is>
          <t>T2</t>
        </is>
      </c>
    </row>
    <row r="43">
      <c r="A43" s="68" t="inlineStr">
        <is>
          <t>2 Lawyers / government</t>
        </is>
      </c>
      <c r="B43" s="68" t="inlineStr">
        <is>
          <t>SA Government and ARENA engagement adviser (retainer rate)</t>
        </is>
      </c>
      <c r="C43" s="68" t="n">
        <v>12</v>
      </c>
      <c r="D43" s="90">
        <f>$C$14</f>
        <v/>
      </c>
      <c r="E43" s="90">
        <f>C43*D43</f>
        <v/>
      </c>
      <c r="F43" s="68" t="inlineStr">
        <is>
          <t>ASSUMPTION</t>
        </is>
      </c>
      <c r="G43" s="68" t="inlineStr">
        <is>
          <t>Government buy-in: SA and federal support letters</t>
        </is>
      </c>
      <c r="H43" s="68" t="inlineStr">
        <is>
          <t>T2</t>
        </is>
      </c>
    </row>
    <row r="44">
      <c r="A44" s="68" t="inlineStr">
        <is>
          <t>2 Lawyers / government</t>
        </is>
      </c>
      <c r="B44" s="68" t="inlineStr">
        <is>
          <t>NZ tenure and consent option (partner + lodgement)</t>
        </is>
      </c>
      <c r="C44" s="68" t="n">
        <v>150</v>
      </c>
      <c r="D44" s="90">
        <f>$C$10</f>
        <v/>
      </c>
      <c r="E44" s="90">
        <f>C44*D44</f>
        <v/>
      </c>
      <c r="F44" s="68" t="inlineStr">
        <is>
          <t>ASSUMPTION hours</t>
        </is>
      </c>
      <c r="G44" s="68" t="inlineStr">
        <is>
          <t>NZ consent strategy</t>
        </is>
      </c>
      <c r="H44" s="68" t="inlineStr">
        <is>
          <t>T2</t>
        </is>
      </c>
    </row>
    <row r="45">
      <c r="A45" s="68" t="inlineStr">
        <is>
          <t>3 DC procurement</t>
        </is>
      </c>
      <c r="B45" s="68" t="inlineStr">
        <is>
          <t>ORC and module quotes, hot-day derate curve</t>
        </is>
      </c>
      <c r="C45" s="68" t="n">
        <v>400</v>
      </c>
      <c r="D45" s="90">
        <f>$C$9</f>
        <v/>
      </c>
      <c r="E45" s="90">
        <f>C45*D45</f>
        <v/>
      </c>
      <c r="F45" s="68" t="inlineStr">
        <is>
          <t>ASSUMPTION hours</t>
        </is>
      </c>
      <c r="G45" s="68" t="inlineStr">
        <is>
          <t>Vendor prices and derate curve</t>
        </is>
      </c>
      <c r="H45" s="68" t="inlineStr">
        <is>
          <t>T2</t>
        </is>
      </c>
    </row>
    <row r="46">
      <c r="A46" s="68" t="inlineStr">
        <is>
          <t>3 DC procurement</t>
        </is>
      </c>
      <c r="B46" s="68" t="inlineStr">
        <is>
          <t>GPU sourcing and pricing</t>
        </is>
      </c>
      <c r="C46" s="68" t="n">
        <v>200</v>
      </c>
      <c r="D46" s="90">
        <f>$C$9</f>
        <v/>
      </c>
      <c r="E46" s="90">
        <f>C46*D46</f>
        <v/>
      </c>
      <c r="F46" s="68" t="inlineStr">
        <is>
          <t>ASSUMPTION hours</t>
        </is>
      </c>
      <c r="G46" s="68" t="inlineStr">
        <is>
          <t>Supplier quotes</t>
        </is>
      </c>
      <c r="H46" s="68" t="inlineStr">
        <is>
          <t>T2</t>
        </is>
      </c>
    </row>
    <row r="47">
      <c r="A47" s="68" t="inlineStr">
        <is>
          <t>3 DC procurement</t>
        </is>
      </c>
      <c r="B47" s="68" t="inlineStr">
        <is>
          <t>Fibre route and Moomba access</t>
        </is>
      </c>
      <c r="C47" s="68" t="n">
        <v>200</v>
      </c>
      <c r="D47" s="90">
        <f>$C$9</f>
        <v/>
      </c>
      <c r="E47" s="90">
        <f>C47*D47</f>
        <v/>
      </c>
      <c r="F47" s="68" t="inlineStr">
        <is>
          <t>ASSUMPTION hours</t>
        </is>
      </c>
      <c r="G47" s="68" t="inlineStr">
        <is>
          <t>Priced fibre option</t>
        </is>
      </c>
      <c r="H47" s="68" t="inlineStr">
        <is>
          <t>T2</t>
        </is>
      </c>
    </row>
    <row r="48">
      <c r="A48" s="68" t="inlineStr">
        <is>
          <t>3 DC procurement</t>
        </is>
      </c>
      <c r="B48" s="68" t="inlineStr">
        <is>
          <t>Tenant LOI / GPU offtake at or above the G4 hurdle</t>
        </is>
      </c>
      <c r="C48" s="68" t="n">
        <v>400</v>
      </c>
      <c r="D48" s="90">
        <f>$C$8</f>
        <v/>
      </c>
      <c r="E48" s="90">
        <f>C48*D48</f>
        <v/>
      </c>
      <c r="F48" s="68" t="inlineStr">
        <is>
          <t>ASSUMPTION hours</t>
        </is>
      </c>
      <c r="G48" s="68" t="inlineStr">
        <is>
          <t>Priced LOI or stop</t>
        </is>
      </c>
      <c r="H48" s="68" t="inlineStr">
        <is>
          <t>T1</t>
        </is>
      </c>
    </row>
    <row r="49">
      <c r="A49" s="68" t="inlineStr">
        <is>
          <t>4 Financing</t>
        </is>
      </c>
      <c r="B49" s="68" t="inlineStr">
        <is>
          <t>Capital-raise adviser retainer</t>
        </is>
      </c>
      <c r="C49" s="68">
        <f>$C$16</f>
        <v/>
      </c>
      <c r="D49" s="90">
        <f>$C$14</f>
        <v/>
      </c>
      <c r="E49" s="90">
        <f>C49*D49</f>
        <v/>
      </c>
      <c r="F49" s="68" t="inlineStr">
        <is>
          <t>PUBLIC PROXY</t>
        </is>
      </c>
      <c r="G49" s="68" t="inlineStr">
        <is>
          <t>Mandate for the Gate 1 round</t>
        </is>
      </c>
      <c r="H49" s="68" t="inlineStr">
        <is>
          <t>T2</t>
        </is>
      </c>
    </row>
    <row r="50">
      <c r="A50" s="68" t="inlineStr">
        <is>
          <t>4 Financing</t>
        </is>
      </c>
      <c r="B50" s="68" t="inlineStr">
        <is>
          <t>Project-finance adviser retainer</t>
        </is>
      </c>
      <c r="C50" s="68" t="n">
        <v>12</v>
      </c>
      <c r="D50" s="90">
        <f>$C$14</f>
        <v/>
      </c>
      <c r="E50" s="90">
        <f>C50*D50</f>
        <v/>
      </c>
      <c r="F50" s="68" t="inlineStr">
        <is>
          <t>ASSUMPTION</t>
        </is>
      </c>
      <c r="G50" s="68" t="inlineStr">
        <is>
          <t>Bankability and capital stack</t>
        </is>
      </c>
      <c r="H50" s="68" t="inlineStr">
        <is>
          <t>T2</t>
        </is>
      </c>
    </row>
    <row r="51">
      <c r="A51" s="68" t="inlineStr">
        <is>
          <t>5 Runway</t>
        </is>
      </c>
      <c r="B51" s="68" t="inlineStr">
        <is>
          <t>CEO, 18 months incl. super</t>
        </is>
      </c>
      <c r="C51" s="68">
        <f>$C$16</f>
        <v/>
      </c>
      <c r="D51" s="90">
        <f>$C$17*(1+$C$20)/12</f>
        <v/>
      </c>
      <c r="E51" s="90">
        <f>C51*D51</f>
        <v/>
      </c>
      <c r="F51" s="68" t="inlineStr">
        <is>
          <t>PUBLIC PROXY</t>
        </is>
      </c>
      <c r="G51" s="68" t="inlineStr"/>
      <c r="H51" s="68" t="inlineStr">
        <is>
          <t>T1+T2</t>
        </is>
      </c>
    </row>
    <row r="52">
      <c r="A52" s="68" t="inlineStr">
        <is>
          <t>5 Runway</t>
        </is>
      </c>
      <c r="B52" s="68" t="inlineStr">
        <is>
          <t>Commercial / finance lead, 18 months (CEO proxy)</t>
        </is>
      </c>
      <c r="C52" s="68">
        <f>$C$16</f>
        <v/>
      </c>
      <c r="D52" s="90">
        <f>$C$17*(1+$C$20)/12</f>
        <v/>
      </c>
      <c r="E52" s="90">
        <f>C52*D52</f>
        <v/>
      </c>
      <c r="F52" s="68" t="inlineStr">
        <is>
          <t>PUBLIC PROXY</t>
        </is>
      </c>
      <c r="G52" s="68" t="inlineStr"/>
      <c r="H52" s="68" t="inlineStr">
        <is>
          <t>T1+T2</t>
        </is>
      </c>
    </row>
    <row r="53">
      <c r="A53" s="68" t="inlineStr">
        <is>
          <t>5 Runway</t>
        </is>
      </c>
      <c r="B53" s="68" t="inlineStr">
        <is>
          <t>Reservoir engineer, 18 months</t>
        </is>
      </c>
      <c r="C53" s="68">
        <f>$C$16</f>
        <v/>
      </c>
      <c r="D53" s="90">
        <f>$C$18*(1+$C$20)/12</f>
        <v/>
      </c>
      <c r="E53" s="90">
        <f>C53*D53</f>
        <v/>
      </c>
      <c r="F53" s="68" t="inlineStr">
        <is>
          <t>PUBLIC PROXY</t>
        </is>
      </c>
      <c r="G53" s="68" t="inlineStr"/>
      <c r="H53" s="68" t="inlineStr">
        <is>
          <t>T1+T2</t>
        </is>
      </c>
    </row>
    <row r="54">
      <c r="A54" s="68" t="inlineStr">
        <is>
          <t>5 Runway</t>
        </is>
      </c>
      <c r="B54" s="68" t="inlineStr">
        <is>
          <t>Analyst, 18 months</t>
        </is>
      </c>
      <c r="C54" s="68">
        <f>$C$16</f>
        <v/>
      </c>
      <c r="D54" s="90">
        <f>$C$19*(1+$C$20)/12</f>
        <v/>
      </c>
      <c r="E54" s="90">
        <f>C54*D54</f>
        <v/>
      </c>
      <c r="F54" s="68" t="inlineStr">
        <is>
          <t>PUBLIC PROXY</t>
        </is>
      </c>
      <c r="G54" s="68" t="inlineStr"/>
      <c r="H54" s="68" t="inlineStr">
        <is>
          <t>T1+T2</t>
        </is>
      </c>
    </row>
    <row r="55">
      <c r="A55" s="68" t="inlineStr">
        <is>
          <t>5 Runway</t>
        </is>
      </c>
      <c r="B55" s="68" t="inlineStr">
        <is>
          <t>Office: 4 coworking desks x 18 months</t>
        </is>
      </c>
      <c r="C55" s="68">
        <f>4*$C$16</f>
        <v/>
      </c>
      <c r="D55" s="90">
        <f>$C$21</f>
        <v/>
      </c>
      <c r="E55" s="90">
        <f>C55*D55</f>
        <v/>
      </c>
      <c r="F55" s="68" t="inlineStr">
        <is>
          <t>PUBLIC PROXY</t>
        </is>
      </c>
      <c r="G55" s="68" t="inlineStr"/>
      <c r="H55" s="68" t="inlineStr">
        <is>
          <t>T1+T2</t>
        </is>
      </c>
    </row>
    <row r="56">
      <c r="A56" s="68" t="inlineStr">
        <is>
          <t>5 Runway</t>
        </is>
      </c>
      <c r="B56" s="68" t="inlineStr">
        <is>
          <t>Insurance: D&amp;O + liability, 1.5 years</t>
        </is>
      </c>
      <c r="C56" s="68" t="n">
        <v>1.5</v>
      </c>
      <c r="D56" s="90">
        <f>$C$22+$C$23</f>
        <v/>
      </c>
      <c r="E56" s="90">
        <f>C56*D56</f>
        <v/>
      </c>
      <c r="F56" s="68" t="inlineStr">
        <is>
          <t>PUBLIC PROXY / ASSUMPTION</t>
        </is>
      </c>
      <c r="G56" s="68" t="inlineStr"/>
      <c r="H56" s="68" t="inlineStr">
        <is>
          <t>T1+T2</t>
        </is>
      </c>
    </row>
    <row r="57">
      <c r="A57" s="68" t="inlineStr">
        <is>
          <t>5 Runway</t>
        </is>
      </c>
      <c r="B57" s="68" t="inlineStr">
        <is>
          <t xml:space="preserve">Travel: site charters (6) </t>
        </is>
      </c>
      <c r="C57" s="68" t="n">
        <v>6</v>
      </c>
      <c r="D57" s="90">
        <f>$C$24</f>
        <v/>
      </c>
      <c r="E57" s="90">
        <f>C57*D57</f>
        <v/>
      </c>
      <c r="F57" s="68" t="inlineStr">
        <is>
          <t>PUBLIC PROXY</t>
        </is>
      </c>
      <c r="G57" s="68" t="inlineStr">
        <is>
          <t>Site, regulator and native-title visits</t>
        </is>
      </c>
      <c r="H57" s="68" t="inlineStr">
        <is>
          <t>T1+T2</t>
        </is>
      </c>
    </row>
    <row r="58">
      <c r="A58" s="68" t="inlineStr">
        <is>
          <t>5 Runway</t>
        </is>
      </c>
      <c r="B58" s="68" t="inlineStr">
        <is>
          <t>Travel: investor and supplier trips (10)</t>
        </is>
      </c>
      <c r="C58" s="68" t="n">
        <v>10</v>
      </c>
      <c r="D58" s="90">
        <f>$C$25</f>
        <v/>
      </c>
      <c r="E58" s="90">
        <f>C58*D58</f>
        <v/>
      </c>
      <c r="F58" s="68" t="inlineStr">
        <is>
          <t>ASSUMPTION</t>
        </is>
      </c>
      <c r="G58" s="68" t="inlineStr"/>
      <c r="H58" s="68" t="inlineStr">
        <is>
          <t>T1+T2</t>
        </is>
      </c>
    </row>
    <row r="59">
      <c r="A59" s="68" t="inlineStr">
        <is>
          <t>5 Runway</t>
        </is>
      </c>
      <c r="B59" s="68" t="inlineStr">
        <is>
          <t>Data: seismic reprocessing, 400 km</t>
        </is>
      </c>
      <c r="C59" s="68" t="n">
        <v>400</v>
      </c>
      <c r="D59" s="90">
        <f>$C$26</f>
        <v/>
      </c>
      <c r="E59" s="90">
        <f>C59*D59</f>
        <v/>
      </c>
      <c r="F59" s="68" t="inlineStr">
        <is>
          <t>PUBLIC PROXY</t>
        </is>
      </c>
      <c r="G59" s="68" t="inlineStr">
        <is>
          <t>Fault map before stimulation (Pohang lesson)</t>
        </is>
      </c>
      <c r="H59" s="68" t="inlineStr">
        <is>
          <t>T1</t>
        </is>
      </c>
    </row>
    <row r="60">
      <c r="A60" s="68" t="inlineStr">
        <is>
          <t>6 Gate 1 long-lead (T3)</t>
        </is>
      </c>
      <c r="B60" s="68" t="inlineStr">
        <is>
          <t>Baseline microseismic network, 8 stations installed + 1 yr support</t>
        </is>
      </c>
      <c r="C60" s="68" t="n">
        <v>1</v>
      </c>
      <c r="D60" s="90">
        <f>(Rates!$D$93+Rates!$D$95)*Rates!$D$94/$C$6</f>
        <v/>
      </c>
      <c r="E60" s="90">
        <f>C60*D60</f>
        <v/>
      </c>
      <c r="F60" s="68" t="inlineStr">
        <is>
          <t>PUBLIC PROXY</t>
        </is>
      </c>
      <c r="G60" s="68" t="inlineStr">
        <is>
          <t>6+ months of baseline before stimulation</t>
        </is>
      </c>
      <c r="H60" s="68" t="inlineStr">
        <is>
          <t>T3</t>
        </is>
      </c>
    </row>
    <row r="61">
      <c r="A61" s="68" t="inlineStr">
        <is>
          <t>6 Gate 1 long-lead (T3)</t>
        </is>
      </c>
      <c r="B61" s="68" t="inlineStr">
        <is>
          <t>Water-supply bore for stimulation and loop fill</t>
        </is>
      </c>
      <c r="C61" s="68" t="n">
        <v>1</v>
      </c>
      <c r="D61" s="90">
        <f>Rates!$D$91</f>
        <v/>
      </c>
      <c r="E61" s="90">
        <f>C61*D61</f>
        <v/>
      </c>
      <c r="F61" s="68" t="inlineStr">
        <is>
          <t>PUBLIC PROXY</t>
        </is>
      </c>
      <c r="G61" s="68" t="inlineStr">
        <is>
          <t>~19 ML per stimulation (Utah FORGE 2024)</t>
        </is>
      </c>
      <c r="H61" s="68" t="inlineStr">
        <is>
          <t>T3</t>
        </is>
      </c>
    </row>
    <row r="62">
      <c r="A62" s="68" t="inlineStr">
        <is>
          <t>7 Buffer</t>
        </is>
      </c>
      <c r="B62" s="68" t="inlineStr">
        <is>
          <t>Contingency on lines 1-5 (Control B13), held by the board</t>
        </is>
      </c>
      <c r="E62" s="90">
        <f>(SUMIF(A31:A61,"1 Engineers / viability",E31:E61)+SUMIF(A31:A61,"2 Lawyers / government",E31:E61)+SUMIF(A31:A61,"3 DC procurement",E31:E61)+SUMIF(A31:A61,"4 Financing",E31:E61)+SUMIF(A31:A61,"5 Runway",E31:E61))*Control!$B$13</f>
        <v/>
      </c>
      <c r="H62" s="68" t="inlineStr">
        <is>
          <t>Board</t>
        </is>
      </c>
    </row>
    <row r="63">
      <c r="A63" s="68" t="inlineStr">
        <is>
          <t>6 Gate 1 long-lead (T3)</t>
        </is>
      </c>
      <c r="B63" s="68" t="inlineStr">
        <is>
          <t>Balance: casing, wellheads and rig-slot deposit for the Gate 1 doublet (cuts the Gate 1 round 1:1)</t>
        </is>
      </c>
      <c r="E63" s="90">
        <f>$C$7-SUM(E31:E61)-E62</f>
        <v/>
      </c>
      <c r="F63" s="68" t="inlineStr">
        <is>
          <t>DERIVED balance</t>
        </is>
      </c>
      <c r="H63" s="68" t="inlineStr">
        <is>
          <t>T3</t>
        </is>
      </c>
    </row>
    <row r="64">
      <c r="B64" s="68" t="inlineStr">
        <is>
          <t>check: balance is below the Gate 1 well cost (2 wells, Gated-Plan basis)</t>
        </is>
      </c>
      <c r="E64" s="68">
        <f>IF(E63&lt;=2*'AU-Route'!$B$18,"OK","EXCEEDS")</f>
        <v/>
      </c>
    </row>
    <row r="65"/>
    <row r="66">
      <c r="A66" s="136" t="inlineStr">
        <is>
          <t>WATERFALL: SOURCES AND USES (A$; US$ at the model FX)</t>
        </is>
      </c>
      <c r="B66" s="137" t="n"/>
      <c r="C66" s="137" t="n"/>
      <c r="D66" s="137" t="n"/>
      <c r="E66" s="137" t="n"/>
      <c r="F66" s="137" t="n"/>
    </row>
    <row r="67">
      <c r="A67" s="89" t="inlineStr">
        <is>
          <t>Step</t>
        </is>
      </c>
      <c r="B67" s="89" t="inlineStr">
        <is>
          <t>A$</t>
        </is>
      </c>
      <c r="C67" s="89" t="inlineStr">
        <is>
          <t>US$</t>
        </is>
      </c>
      <c r="D67" s="89" t="inlineStr">
        <is>
          <t>Running balance, A$</t>
        </is>
      </c>
      <c r="E67" s="89" t="inlineStr">
        <is>
          <t>Share of seed</t>
        </is>
      </c>
    </row>
    <row r="68">
      <c r="A68" s="68" t="inlineStr">
        <is>
          <t>SOURCE: seed raise</t>
        </is>
      </c>
      <c r="B68" s="90">
        <f>$C$7</f>
        <v/>
      </c>
      <c r="C68" s="90">
        <f>B68*$C$6</f>
        <v/>
      </c>
      <c r="D68" s="90">
        <f>SUM(B$68:B68)</f>
        <v/>
      </c>
      <c r="E68" s="91">
        <f>ABS(B68)/$C$7</f>
        <v/>
      </c>
    </row>
    <row r="69">
      <c r="A69" s="68" t="inlineStr">
        <is>
          <t>USE: Engineers / viability</t>
        </is>
      </c>
      <c r="B69" s="90">
        <f>-SUMIF(A31:A63,"1 Engineers / viability",E31:E63)</f>
        <v/>
      </c>
      <c r="C69" s="90">
        <f>B69*$C$6</f>
        <v/>
      </c>
      <c r="D69" s="90">
        <f>SUM(B$68:B69)</f>
        <v/>
      </c>
      <c r="E69" s="91">
        <f>ABS(B69)/$C$7</f>
        <v/>
      </c>
    </row>
    <row r="70">
      <c r="A70" s="68" t="inlineStr">
        <is>
          <t>USE: Lawyers / government</t>
        </is>
      </c>
      <c r="B70" s="90">
        <f>-SUMIF(A31:A63,"2 Lawyers / government",E31:E63)</f>
        <v/>
      </c>
      <c r="C70" s="90">
        <f>B70*$C$6</f>
        <v/>
      </c>
      <c r="D70" s="90">
        <f>SUM(B$68:B70)</f>
        <v/>
      </c>
      <c r="E70" s="91">
        <f>ABS(B70)/$C$7</f>
        <v/>
      </c>
    </row>
    <row r="71">
      <c r="A71" s="68" t="inlineStr">
        <is>
          <t>USE: DC procurement</t>
        </is>
      </c>
      <c r="B71" s="90">
        <f>-SUMIF(A31:A63,"3 DC procurement",E31:E63)</f>
        <v/>
      </c>
      <c r="C71" s="90">
        <f>B71*$C$6</f>
        <v/>
      </c>
      <c r="D71" s="90">
        <f>SUM(B$68:B71)</f>
        <v/>
      </c>
      <c r="E71" s="91">
        <f>ABS(B71)/$C$7</f>
        <v/>
      </c>
    </row>
    <row r="72">
      <c r="A72" s="68" t="inlineStr">
        <is>
          <t>USE: Financing</t>
        </is>
      </c>
      <c r="B72" s="90">
        <f>-SUMIF(A31:A63,"4 Financing",E31:E63)</f>
        <v/>
      </c>
      <c r="C72" s="90">
        <f>B72*$C$6</f>
        <v/>
      </c>
      <c r="D72" s="90">
        <f>SUM(B$68:B72)</f>
        <v/>
      </c>
      <c r="E72" s="91">
        <f>ABS(B72)/$C$7</f>
        <v/>
      </c>
    </row>
    <row r="73">
      <c r="A73" s="68" t="inlineStr">
        <is>
          <t>USE: Runway</t>
        </is>
      </c>
      <c r="B73" s="90">
        <f>-SUMIF(A31:A63,"5 Runway",E31:E63)</f>
        <v/>
      </c>
      <c r="C73" s="90">
        <f>B73*$C$6</f>
        <v/>
      </c>
      <c r="D73" s="90">
        <f>SUM(B$68:B73)</f>
        <v/>
      </c>
      <c r="E73" s="91">
        <f>ABS(B73)/$C$7</f>
        <v/>
      </c>
    </row>
    <row r="74">
      <c r="A74" s="68" t="inlineStr">
        <is>
          <t>USE: Buffer</t>
        </is>
      </c>
      <c r="B74" s="90">
        <f>-SUMIF(A31:A63,"7 Buffer",E31:E63)</f>
        <v/>
      </c>
      <c r="C74" s="90">
        <f>B74*$C$6</f>
        <v/>
      </c>
      <c r="D74" s="90">
        <f>SUM(B$68:B74)</f>
        <v/>
      </c>
      <c r="E74" s="91">
        <f>ABS(B74)/$C$7</f>
        <v/>
      </c>
    </row>
    <row r="75">
      <c r="A75" s="68" t="inlineStr">
        <is>
          <t>USE: Gate 1 long-lead (T3)</t>
        </is>
      </c>
      <c r="B75" s="90">
        <f>-SUMIF(A31:A63,"6 Gate 1 long-lead (T3)",E31:E63)</f>
        <v/>
      </c>
      <c r="C75" s="90">
        <f>B75*$C$6</f>
        <v/>
      </c>
      <c r="D75" s="90">
        <f>SUM(B$68:B75)</f>
        <v/>
      </c>
      <c r="E75" s="91">
        <f>ABS(B75)/$C$7</f>
        <v/>
      </c>
    </row>
    <row r="76">
      <c r="A76" s="68" t="inlineStr">
        <is>
          <t>END BALANCE (must be 0)</t>
        </is>
      </c>
      <c r="B76" s="90" t="n"/>
      <c r="C76" s="90" t="n"/>
      <c r="D76" s="90">
        <f>SUM(B68:B75)</f>
        <v/>
      </c>
      <c r="E76" s="91" t="n"/>
    </row>
    <row r="77"/>
    <row r="78">
      <c r="A78" s="136" t="inlineStr">
        <is>
          <t>STAGED RELEASE (T1+T2 runway split by months: 6 of 18 in T1)</t>
        </is>
      </c>
      <c r="B78" s="137" t="n"/>
      <c r="C78" s="137" t="n"/>
      <c r="D78" s="137" t="n"/>
      <c r="E78" s="137" t="n"/>
      <c r="F78" s="137" t="n"/>
    </row>
    <row r="79">
      <c r="A79" s="89" t="inlineStr">
        <is>
          <t>Tranche</t>
        </is>
      </c>
      <c r="B79" s="89" t="inlineStr">
        <is>
          <t>Released when</t>
        </is>
      </c>
      <c r="C79" s="89" t="inlineStr">
        <is>
          <t>A$</t>
        </is>
      </c>
      <c r="D79" s="89" t="inlineStr">
        <is>
          <t>US$</t>
        </is>
      </c>
      <c r="E79" s="89" t="inlineStr">
        <is>
          <t>Cumulative A$</t>
        </is>
      </c>
    </row>
    <row r="80">
      <c r="A80" s="68" t="inlineStr">
        <is>
          <t>T1</t>
        </is>
      </c>
      <c r="B80" s="68" t="inlineStr">
        <is>
          <t>At close</t>
        </is>
      </c>
      <c r="C80" s="90">
        <f>SUMIF(H31:H63,"T1",E31:E63)+SUMIF(H31:H63,"T1+T2",E31:E63)*6/$C$16</f>
        <v/>
      </c>
      <c r="D80" s="90">
        <f>C80*$C$6</f>
        <v/>
      </c>
      <c r="E80" s="90">
        <f>SUM(C$80:C80)</f>
        <v/>
      </c>
    </row>
    <row r="81">
      <c r="A81" s="68" t="inlineStr">
        <is>
          <t>T2</t>
        </is>
      </c>
      <c r="B81" s="68" t="inlineStr">
        <is>
          <t>G1 resource case and G4 priced LOI both pass</t>
        </is>
      </c>
      <c r="C81" s="90">
        <f>SUMIF(H31:H63,"T2",E31:E63)+SUMIF(H31:H63,"T1+T2",E31:E63)*($C$16-6)/$C$16</f>
        <v/>
      </c>
      <c r="D81" s="90">
        <f>C81*$C$6</f>
        <v/>
      </c>
      <c r="E81" s="90">
        <f>SUM(C$80:C81)</f>
        <v/>
      </c>
    </row>
    <row r="82">
      <c r="A82" s="68" t="inlineStr">
        <is>
          <t>T3</t>
        </is>
      </c>
      <c r="B82" s="68" t="inlineStr">
        <is>
          <t>G2 cost, G3 tenure/licence, G5 connectivity pass and G6 Gate 1 lead soft-circled</t>
        </is>
      </c>
      <c r="C82" s="90">
        <f>SUMIF(H31:H63,"T3",E31:E63)</f>
        <v/>
      </c>
      <c r="D82" s="90">
        <f>C82*$C$6</f>
        <v/>
      </c>
      <c r="E82" s="90">
        <f>SUM(C$80:C82)</f>
        <v/>
      </c>
    </row>
    <row r="83">
      <c r="A83" s="68" t="inlineStr">
        <is>
          <t>Board</t>
        </is>
      </c>
      <c r="B83" s="68" t="inlineStr">
        <is>
          <t>Board release against overruns</t>
        </is>
      </c>
      <c r="C83" s="90">
        <f>SUMIF(H31:H63,"Board",E31:E63)</f>
        <v/>
      </c>
      <c r="D83" s="90">
        <f>C83*$C$6</f>
        <v/>
      </c>
      <c r="E83" s="90">
        <f>SUM(C$80:C83)</f>
        <v/>
      </c>
    </row>
    <row r="84">
      <c r="A84" s="68" t="inlineStr">
        <is>
          <t>Total</t>
        </is>
      </c>
      <c r="C84" s="90">
        <f>SUM(C80:C83)</f>
        <v/>
      </c>
      <c r="D84" s="90">
        <f>C84*$C$6</f>
        <v/>
      </c>
    </row>
    <row r="85"/>
    <row r="86">
      <c r="A86" s="136" t="inlineStr">
        <is>
          <t>G4 COMMERCIAL KILL TEST: prices an LOI must reach for the hurdle IRR over 25 years (AU, current capital)</t>
        </is>
      </c>
      <c r="B86" s="137" t="n"/>
      <c r="C86" s="137" t="n"/>
      <c r="D86" s="137" t="n"/>
      <c r="E86" s="137" t="n"/>
      <c r="F86" s="137" t="n"/>
    </row>
    <row r="87">
      <c r="A87" s="68" t="inlineStr">
        <is>
          <t>Annuity factor at the hurdle</t>
        </is>
      </c>
      <c r="C87" s="123">
        <f>(1-(1+Rates!$D$104)^-Rates!$D$71)/Rates!$D$104</f>
        <v/>
      </c>
    </row>
    <row r="88">
      <c r="A88" s="68" t="inlineStr">
        <is>
          <t>Colo rent needed, US$/kW/month</t>
        </is>
      </c>
      <c r="C88" s="123">
        <f>Rates!$D$29*('Sell-Compute'!$I$36/C87+'Sell-Compute'!$I$40-'Sell-Compute'!$I$46)/'Sell-Compute'!$I$40</f>
        <v/>
      </c>
      <c r="D88" s="68" t="inlineStr">
        <is>
          <t>vs model benchmark</t>
        </is>
      </c>
      <c r="E88" s="68">
        <f>Rates!$D$29</f>
        <v/>
      </c>
    </row>
    <row r="89">
      <c r="A89" s="68" t="inlineStr">
        <is>
          <t>GPU price needed (flat), US$/GPU-h</t>
        </is>
      </c>
      <c r="C89" s="123">
        <f>'Sell-Compute'!$C$37*('Sell-Compute'!$C$36+SUM('Sell-Compute'!$C$41:$C$45)*C87+'Sell-Compute'!$C$34*((1+Rates!$D$104)^-5+(1+Rates!$D$104)^-10+(1+Rates!$D$104)^-15+(1+Rates!$D$104)^-20))/('Sell-Compute'!$C$40*C87)</f>
        <v/>
      </c>
      <c r="D89" s="68" t="inlineStr">
        <is>
          <t>vs model base</t>
        </is>
      </c>
      <c r="E89" s="68">
        <f>'Sell-Compute'!$C$37</f>
        <v/>
      </c>
    </row>
    <row r="90"/>
    <row r="91">
      <c r="A91" s="136" t="inlineStr">
        <is>
          <t>GO / NO-GO GATES (all must pass before the Gate 1 round)</t>
        </is>
      </c>
      <c r="B91" s="137" t="n"/>
      <c r="C91" s="137" t="n"/>
      <c r="D91" s="137" t="n"/>
      <c r="E91" s="137" t="n"/>
      <c r="F91" s="137" t="n"/>
    </row>
    <row r="92">
      <c r="A92" s="68" t="inlineStr">
        <is>
          <t>G1 Resource</t>
        </is>
      </c>
      <c r="B92" s="68" t="inlineStr">
        <is>
          <t>Third-party P50 case (investor-appointed engineer) meets the Flow-Basis flow for 5 MWe net per producer, with a decline forecast method agreed; Gate 1 test plan carries the Gated-Plan GO/NO-GO limits</t>
        </is>
      </c>
    </row>
    <row r="93">
      <c r="A93" s="68" t="inlineStr">
        <is>
          <t>G2 Cost</t>
        </is>
      </c>
      <c r="B93" s="68" t="inlineStr">
        <is>
          <t>AFE for the Gate 1 doublet incl. stimulation within the Gated-Plan C6 budget; if over, stop or re-scope (the budget is not re-set to pass)</t>
        </is>
      </c>
    </row>
    <row r="94">
      <c r="A94" s="68" t="inlineStr">
        <is>
          <t>G3 Tenure, licence, government</t>
        </is>
      </c>
      <c r="B94" s="68" t="inlineStr">
        <is>
          <t>Licence pathway confirmed; ILUA heads of terms signed; GAB water licence pathway; SA Government / ARENA support letter</t>
        </is>
      </c>
    </row>
    <row r="95">
      <c r="A95" s="68" t="inlineStr">
        <is>
          <t>G4 Commercial</t>
        </is>
      </c>
      <c r="B95" s="68">
        <f>"Priced LOI for at least one module at &gt;= US$"&amp;TEXT(Seed!$C$88,"0")&amp;"/kW/month colo or &gt;= US$"&amp;TEXT(Seed!$C$89,"0.00")&amp;"/GPU-h, the prices that give a "&amp;TEXT(Rates!$D$104,"0%")&amp;" 25-yr IRR"</f>
        <v/>
      </c>
    </row>
    <row r="96">
      <c r="A96" s="68" t="inlineStr">
        <is>
          <t>G5 Connectivity and power design</t>
        </is>
      </c>
      <c r="B96" s="68" t="inlineStr">
        <is>
          <t>Fibre access agreed or priced; N-1 power design (third doublet, two ORC trains) quoted; ORC derate curve</t>
        </is>
      </c>
    </row>
    <row r="97">
      <c r="A97" s="68" t="inlineStr">
        <is>
          <t>G6 Financing</t>
        </is>
      </c>
      <c r="B97" s="68" t="inlineStr">
        <is>
          <t>Gate 1 lead investor, ARENA or strategic soft-circled for the Gated-Plan C6 round</t>
        </is>
      </c>
    </row>
  </sheetData>
  <mergeCells count="1">
    <mergeCell ref="A2:I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Q64"/>
  <sheetViews>
    <sheetView workbookViewId="0">
      <selection activeCell="A1" sqref="A1"/>
    </sheetView>
  </sheetViews>
  <sheetFormatPr baseColWidth="8" defaultRowHeight="15"/>
  <cols>
    <col width="58" customWidth="1" style="69" min="1" max="1"/>
    <col width="10" customWidth="1" style="69" min="2" max="2"/>
    <col width="14" customWidth="1" style="69" min="3" max="3"/>
    <col width="14" customWidth="1" style="69" min="4" max="4"/>
    <col width="14" customWidth="1" style="69" min="5" max="5"/>
    <col width="13" customWidth="1" style="69" min="6" max="6"/>
    <col width="13" customWidth="1" style="69" min="7" max="7"/>
    <col width="17" customWidth="1" style="69" min="8" max="8"/>
    <col width="17" customWidth="1" style="69" min="9" max="9"/>
  </cols>
  <sheetData>
    <row r="1">
      <c r="A1" s="100" t="inlineStr">
        <is>
          <t>ARCHEGON  ·  THERMAL DECLINE — production temperature falls (degC/yr); net power falls faster (exergy); the 3.06 MW well margin absorbs it first.</t>
        </is>
      </c>
      <c r="B1" s="101" t="n"/>
      <c r="C1" s="101" t="n"/>
      <c r="D1" s="101" t="n"/>
      <c r="E1" s="101" t="n"/>
      <c r="F1" s="101" t="n"/>
      <c r="G1" s="101" t="n"/>
      <c r="H1" s="101" t="n"/>
    </row>
    <row r="2" ht="60" customHeight="1" s="69">
      <c r="A2" s="135" t="inlineStr">
        <is>
          <t>v4 (round-3 fix): decline is stated in degC/yr, converted to net MW with the Flow-Basis exergy method, and applied to the WELL capability (producers x net MWe), not to the plant average. The ORC plant caps output at its nameplate, so the well margin (Firm-Power B9) is the decline buffer. Parasitic MW are held at their starting level, so net power falls faster than temperature. Dark modules stop buying GPUs (no refresh, maintenance or ops staff for dark capacity).</t>
        </is>
      </c>
    </row>
    <row r="3"/>
    <row r="4">
      <c r="A4" s="68" t="inlineStr">
        <is>
          <t>SELECTED production-temperature decline, degC/yr (default: conventional-well rate, sourced; drives the headline)</t>
        </is>
      </c>
      <c r="C4" s="123">
        <f>C8</f>
        <v/>
      </c>
    </row>
    <row r="5"/>
    <row r="6">
      <c r="A6" s="89" t="inlineStr">
        <is>
          <t>id</t>
        </is>
      </c>
      <c r="B6" s="89" t="inlineStr">
        <is>
          <t>Input</t>
        </is>
      </c>
      <c r="C6" s="89" t="inlineStr">
        <is>
          <t>Value</t>
        </is>
      </c>
      <c r="D6" s="89" t="inlineStr">
        <is>
          <t>Unit</t>
        </is>
      </c>
      <c r="E6" s="89" t="inlineStr">
        <is>
          <t>Status</t>
        </is>
      </c>
      <c r="F6" s="89" t="inlineStr">
        <is>
          <t>Source</t>
        </is>
      </c>
      <c r="G6" s="89" t="inlineStr">
        <is>
          <t>URL</t>
        </is>
      </c>
      <c r="H6" s="89" t="inlineStr">
        <is>
          <t>Date</t>
        </is>
      </c>
      <c r="I6" s="89" t="inlineStr">
        <is>
          <t>Caveat</t>
        </is>
      </c>
    </row>
    <row r="7">
      <c r="A7" s="68" t="inlineStr">
        <is>
          <t>d_doe</t>
        </is>
      </c>
      <c r="B7" s="68" t="inlineStr">
        <is>
          <t>EGS target: 0.3%/yr of the 215 degC production temperature</t>
        </is>
      </c>
      <c r="C7" s="123">
        <f>0.003*Rates!$D$55</f>
        <v/>
      </c>
      <c r="D7" s="68" t="inlineStr">
        <is>
          <t>degC/yr</t>
        </is>
      </c>
      <c r="E7" s="68" t="inlineStr">
        <is>
          <t>PUBLIC PROXY</t>
        </is>
      </c>
      <c r="F7" s="68" t="inlineStr">
        <is>
          <t>NREL Updated US Geothermal Supply Curve (target case)</t>
        </is>
      </c>
      <c r="G7" s="68" t="inlineStr">
        <is>
          <t>https://docs.nlr.gov/docs/fy10osti/47458.pdf</t>
        </is>
      </c>
      <c r="H7" s="68" t="inlineStr">
        <is>
          <t>2010</t>
        </is>
      </c>
      <c r="I7" s="68" t="inlineStr">
        <is>
          <t>Reviewers could not confirm the 0.3% figure on the cited record; labelled a target.</t>
        </is>
      </c>
    </row>
    <row r="8">
      <c r="A8" s="68" t="inlineStr">
        <is>
          <t>d_conv</t>
        </is>
      </c>
      <c r="B8" s="68" t="inlineStr">
        <is>
          <t>Conventional Nevada geothermal wells: ~1.5 degF/yr</t>
        </is>
      </c>
      <c r="C8" s="123">
        <f>1.5*5/9</f>
        <v/>
      </c>
      <c r="D8" s="68" t="inlineStr">
        <is>
          <t>degC/yr</t>
        </is>
      </c>
      <c r="E8" s="68" t="inlineStr">
        <is>
          <t>PUBLIC PROXY</t>
        </is>
      </c>
      <c r="F8" s="68" t="inlineStr">
        <is>
          <t>GeoExPro: Has enhanced geothermal been proven at scale?</t>
        </is>
      </c>
      <c r="G8" s="68" t="inlineStr">
        <is>
          <t>https://geoexpro.com/has-enhanced-geothermal-been-proven-at-scale/</t>
        </is>
      </c>
      <c r="H8" s="68" t="inlineStr">
        <is>
          <t>Apr 2026</t>
        </is>
      </c>
      <c r="I8" s="68" t="inlineStr">
        <is>
          <t>Converted from degF. DEFAULT: every reservoir cools; this is the mildest measured field rate.</t>
        </is>
      </c>
    </row>
    <row r="9">
      <c r="A9" s="68" t="inlineStr">
        <is>
          <t>d_red</t>
        </is>
      </c>
      <c r="B9" s="68" t="inlineStr">
        <is>
          <t>Project Red, last 100 days extrapolated: ~9 degF/yr (critics' reading, disputed)</t>
        </is>
      </c>
      <c r="C9" s="123">
        <f>9*5/9</f>
        <v/>
      </c>
      <c r="D9" s="68" t="inlineStr">
        <is>
          <t>degC/yr</t>
        </is>
      </c>
      <c r="E9" s="68" t="inlineStr">
        <is>
          <t>PUBLIC PROXY</t>
        </is>
      </c>
      <c r="F9" s="68" t="inlineStr">
        <is>
          <t>GeoExPro (Apr 2026); cited by Morpheus Research (6 Oct 2026)</t>
        </is>
      </c>
      <c r="G9" s="68" t="inlineStr">
        <is>
          <t>https://geoexpro.com/has-enhanced-geothermal-been-proven-at-scale/</t>
        </is>
      </c>
      <c r="H9" s="68" t="inlineStr">
        <is>
          <t>Apr 2026</t>
        </is>
      </c>
      <c r="I9" s="68" t="inlineStr">
        <is>
          <t>Fervo says the pilot decline was expected for tight spacing and short laterals.</t>
        </is>
      </c>
    </row>
    <row r="10">
      <c r="A10" s="68" t="inlineStr">
        <is>
          <t>d_nrel</t>
        </is>
      </c>
      <c r="B10" s="68" t="inlineStr">
        <is>
          <t>EGS base case: 3%/yr of 215 degC</t>
        </is>
      </c>
      <c r="C10" s="123">
        <f>0.03*Rates!$D$55</f>
        <v/>
      </c>
      <c r="D10" s="68" t="inlineStr">
        <is>
          <t>degC/yr</t>
        </is>
      </c>
      <c r="E10" s="68" t="inlineStr">
        <is>
          <t>PUBLIC PROXY</t>
        </is>
      </c>
      <c r="F10" s="68" t="inlineStr">
        <is>
          <t>NREL Updated US Geothermal Supply Curve (base case)</t>
        </is>
      </c>
      <c r="G10" s="68" t="inlineStr">
        <is>
          <t>https://docs.nlr.gov/docs/fy10osti/47458.pdf</t>
        </is>
      </c>
      <c r="H10" s="68" t="inlineStr">
        <is>
          <t>2010</t>
        </is>
      </c>
      <c r="I10" s="68" t="inlineStr">
        <is>
          <t>Not confirmed on the cited record.</t>
        </is>
      </c>
    </row>
    <row r="11">
      <c r="A11" s="68" t="inlineStr">
        <is>
          <t>d_hab</t>
        </is>
      </c>
      <c r="B11" s="68" t="inlineStr">
        <is>
          <t>Habanero 2013: 160 days, too short to measure decline</t>
        </is>
      </c>
      <c r="C11" s="123" t="n">
        <v>0</v>
      </c>
      <c r="D11" s="68" t="inlineStr">
        <is>
          <t>degC/yr</t>
        </is>
      </c>
      <c r="E11" s="68" t="inlineStr">
        <is>
          <t>PUBLIC PROXY</t>
        </is>
      </c>
      <c r="F11" s="68" t="inlineStr">
        <is>
          <t>ARENA: Cooper Basin EGS</t>
        </is>
      </c>
      <c r="G11" s="68" t="inlineStr">
        <is>
          <t>https://arena.gov.au/projects/cooper-basin-enhanced-geothermal-systems-heat-and-power-development/</t>
        </is>
      </c>
      <c r="H11" s="68" t="inlineStr">
        <is>
          <t>2013</t>
        </is>
      </c>
      <c r="I11" s="68" t="inlineStr">
        <is>
          <t>Reference only.</t>
        </is>
      </c>
    </row>
    <row r="12"/>
    <row r="13">
      <c r="A13" s="136" t="inlineStr">
        <is>
          <t>WELL CAPABILITY PARAMETERS (linked)</t>
        </is>
      </c>
      <c r="B13" s="137" t="n"/>
      <c r="C13" s="137" t="n"/>
      <c r="D13" s="137" t="n"/>
      <c r="E13" s="137" t="n"/>
      <c r="F13" s="137" t="n"/>
    </row>
    <row r="14"/>
    <row r="15">
      <c r="A15" s="68" t="inlineStr">
        <is>
          <t>Production temperature at start, degC</t>
        </is>
      </c>
      <c r="B15" s="68" t="inlineStr">
        <is>
          <t>T0</t>
        </is>
      </c>
      <c r="C15" s="150">
        <f>Rates!$D$55</f>
        <v/>
      </c>
    </row>
    <row r="16">
      <c r="A16" s="68" t="inlineStr">
        <is>
          <t>Dead state, degC</t>
        </is>
      </c>
      <c r="B16" s="68" t="inlineStr">
        <is>
          <t>Td</t>
        </is>
      </c>
      <c r="C16" s="150">
        <f>'Flow-Basis'!$B$7</f>
        <v/>
      </c>
    </row>
    <row r="17">
      <c r="A17" s="68" t="inlineStr">
        <is>
          <t>Parasitic share of gross at start (EGS stress, held as fixed MW)</t>
        </is>
      </c>
      <c r="B17" s="68" t="inlineStr">
        <is>
          <t>par</t>
        </is>
      </c>
      <c r="C17" s="150">
        <f>'Flow-Basis'!$B$11</f>
        <v/>
      </c>
    </row>
    <row r="18">
      <c r="A18" s="68" t="inlineStr">
        <is>
          <t>Net MWe per producer at start</t>
        </is>
      </c>
      <c r="B18" s="68" t="inlineStr">
        <is>
          <t>n0</t>
        </is>
      </c>
      <c r="C18" s="150">
        <f>'AU-Route'!$B$6</f>
        <v/>
      </c>
    </row>
    <row r="19">
      <c r="A19" s="68" t="inlineStr">
        <is>
          <t>Producers</t>
        </is>
      </c>
      <c r="B19" s="68" t="inlineStr">
        <is>
          <t>np</t>
        </is>
      </c>
      <c r="C19" s="150">
        <f>'AU-Route'!$B$8</f>
        <v/>
      </c>
    </row>
    <row r="20">
      <c r="A20" s="68" t="inlineStr">
        <is>
          <t>ORC net nameplate (cap), MW</t>
        </is>
      </c>
      <c r="B20" s="68" t="inlineStr">
        <is>
          <t>plant</t>
        </is>
      </c>
      <c r="C20" s="150">
        <f>'AU-Route'!$B$7</f>
        <v/>
      </c>
    </row>
    <row r="21">
      <c r="A21" s="68" t="inlineStr">
        <is>
          <t>Capacity factor</t>
        </is>
      </c>
      <c r="B21" s="68" t="inlineStr">
        <is>
          <t>cf</t>
        </is>
      </c>
      <c r="C21" s="150">
        <f>Control!$B$16</f>
        <v/>
      </c>
    </row>
    <row r="22">
      <c r="A22" s="68" t="inlineStr">
        <is>
          <t>Facility MW per module (IT x PUE)</t>
        </is>
      </c>
      <c r="B22" s="68" t="inlineStr">
        <is>
          <t>mod</t>
        </is>
      </c>
      <c r="C22" s="150">
        <f>Rates!$D$82*Control!$B$17</f>
        <v/>
      </c>
    </row>
    <row r="23">
      <c r="A23" s="68" t="inlineStr">
        <is>
          <t>Specific exergy at start, kJ/kg</t>
        </is>
      </c>
      <c r="B23" s="68" t="inlineStr">
        <is>
          <t>e0</t>
        </is>
      </c>
      <c r="C23" s="150">
        <f>Rates!$D$66*(C15-C16-(C16+273.15)*LN((C15+273.15)/(C16+273.15)))</f>
        <v/>
      </c>
    </row>
    <row r="24">
      <c r="A24" s="68" t="inlineStr">
        <is>
          <t>Gross MW per producer at start = net / (1 - parasitic)</t>
        </is>
      </c>
      <c r="B24" s="68" t="inlineStr">
        <is>
          <t>g0</t>
        </is>
      </c>
      <c r="C24" s="150">
        <f>C18/(1-C17)</f>
        <v/>
      </c>
    </row>
    <row r="25">
      <c r="A25" s="68" t="inlineStr">
        <is>
          <t>Parasitic MW per producer (fixed)</t>
        </is>
      </c>
      <c r="B25" s="68" t="inlineStr">
        <is>
          <t>pw</t>
        </is>
      </c>
      <c r="C25" s="150">
        <f>C24*C17</f>
        <v/>
      </c>
    </row>
    <row r="26">
      <c r="A26" s="68" t="inlineStr">
        <is>
          <t>Net power lost per 1% fall in temperature (check), %</t>
        </is>
      </c>
      <c r="B26" s="68" t="inlineStr">
        <is>
          <t>sens</t>
        </is>
      </c>
      <c r="C26" s="150">
        <f>(1-(Rates!$D$66*((C15*0.99)-C16-(C16+273.15)*LN(((C15*0.99)+273.15)/(C16+273.15)))/C23*C24-C25)/C18)/0.01</f>
        <v/>
      </c>
    </row>
    <row r="27"/>
    <row r="28">
      <c r="A28" s="68" t="inlineStr">
        <is>
          <t>Largest decline (degC/yr) that keeps all 4 modules lit for 25 years on the existing 2 producers</t>
        </is>
      </c>
      <c r="C28" s="143">
        <f>SUMPRODUCT(MAX(C29:AQ29*C30:AQ30))</f>
        <v/>
      </c>
    </row>
    <row r="29">
      <c r="A29" s="68" t="inlineStr">
        <is>
          <t>Grid (degC/yr)</t>
        </is>
      </c>
      <c r="C29" s="68" t="n">
        <v>0</v>
      </c>
      <c r="D29" s="68" t="n">
        <v>0.1</v>
      </c>
      <c r="E29" s="68" t="n">
        <v>0.2</v>
      </c>
      <c r="F29" s="68" t="n">
        <v>0.3</v>
      </c>
      <c r="G29" s="68" t="n">
        <v>0.4</v>
      </c>
      <c r="H29" s="68" t="n">
        <v>0.5</v>
      </c>
      <c r="I29" s="68" t="n">
        <v>0.6000000000000001</v>
      </c>
      <c r="J29" s="68" t="n">
        <v>0.7000000000000001</v>
      </c>
      <c r="K29" s="68" t="n">
        <v>0.8</v>
      </c>
      <c r="L29" s="68" t="n">
        <v>0.9</v>
      </c>
      <c r="M29" s="68" t="n">
        <v>1</v>
      </c>
      <c r="N29" s="68" t="n">
        <v>1.1</v>
      </c>
      <c r="O29" s="68" t="n">
        <v>1.2</v>
      </c>
      <c r="P29" s="68" t="n">
        <v>1.3</v>
      </c>
      <c r="Q29" s="68" t="n">
        <v>1.4</v>
      </c>
      <c r="R29" s="68" t="n">
        <v>1.5</v>
      </c>
      <c r="S29" s="68" t="n">
        <v>1.6</v>
      </c>
      <c r="T29" s="68" t="n">
        <v>1.7</v>
      </c>
      <c r="U29" s="68" t="n">
        <v>1.8</v>
      </c>
      <c r="V29" s="68" t="n">
        <v>1.9</v>
      </c>
      <c r="W29" s="68" t="n">
        <v>2</v>
      </c>
      <c r="X29" s="68" t="n">
        <v>2.1</v>
      </c>
      <c r="Y29" s="68" t="n">
        <v>2.2</v>
      </c>
      <c r="Z29" s="68" t="n">
        <v>2.3</v>
      </c>
      <c r="AA29" s="68" t="n">
        <v>2.4</v>
      </c>
      <c r="AB29" s="68" t="n">
        <v>2.5</v>
      </c>
      <c r="AC29" s="68" t="n">
        <v>2.6</v>
      </c>
      <c r="AD29" s="68" t="n">
        <v>2.7</v>
      </c>
      <c r="AE29" s="68" t="n">
        <v>2.8</v>
      </c>
      <c r="AF29" s="68" t="n">
        <v>2.9</v>
      </c>
      <c r="AG29" s="68" t="n">
        <v>3</v>
      </c>
      <c r="AH29" s="68" t="n">
        <v>3.1</v>
      </c>
      <c r="AI29" s="68" t="n">
        <v>3.2</v>
      </c>
      <c r="AJ29" s="68" t="n">
        <v>3.3</v>
      </c>
      <c r="AK29" s="68" t="n">
        <v>3.4</v>
      </c>
      <c r="AL29" s="68" t="n">
        <v>3.5</v>
      </c>
      <c r="AM29" s="68" t="n">
        <v>3.6</v>
      </c>
      <c r="AN29" s="68" t="n">
        <v>3.7</v>
      </c>
      <c r="AO29" s="68" t="n">
        <v>3.8</v>
      </c>
      <c r="AP29" s="68" t="n">
        <v>3.9</v>
      </c>
      <c r="AQ29" s="68" t="n">
        <v>4</v>
      </c>
    </row>
    <row r="30">
      <c r="A30" s="68" t="inlineStr">
        <is>
          <t>Passes?</t>
        </is>
      </c>
      <c r="C30" s="68">
        <f>IF(MIN($C$20,$C$19*(Rates!$D$66*(($C$15-C29*(Rates!$D$71-1))-$C$16-($C$16+273.15)*LN((($C$15-C29*(Rates!$D$71-1))+273.15)/($C$16+273.15)))/$C$23*$C$24-$C$25))*$C$21&gt;=4*$C$22-1E-9,1,0)</f>
        <v/>
      </c>
      <c r="D30" s="68">
        <f>IF(MIN($C$20,$C$19*(Rates!$D$66*(($C$15-D29*(Rates!$D$71-1))-$C$16-($C$16+273.15)*LN((($C$15-D29*(Rates!$D$71-1))+273.15)/($C$16+273.15)))/$C$23*$C$24-$C$25))*$C$21&gt;=4*$C$22-1E-9,1,0)</f>
        <v/>
      </c>
      <c r="E30" s="68">
        <f>IF(MIN($C$20,$C$19*(Rates!$D$66*(($C$15-E29*(Rates!$D$71-1))-$C$16-($C$16+273.15)*LN((($C$15-E29*(Rates!$D$71-1))+273.15)/($C$16+273.15)))/$C$23*$C$24-$C$25))*$C$21&gt;=4*$C$22-1E-9,1,0)</f>
        <v/>
      </c>
      <c r="F30" s="68">
        <f>IF(MIN($C$20,$C$19*(Rates!$D$66*(($C$15-F29*(Rates!$D$71-1))-$C$16-($C$16+273.15)*LN((($C$15-F29*(Rates!$D$71-1))+273.15)/($C$16+273.15)))/$C$23*$C$24-$C$25))*$C$21&gt;=4*$C$22-1E-9,1,0)</f>
        <v/>
      </c>
      <c r="G30" s="68">
        <f>IF(MIN($C$20,$C$19*(Rates!$D$66*(($C$15-G29*(Rates!$D$71-1))-$C$16-($C$16+273.15)*LN((($C$15-G29*(Rates!$D$71-1))+273.15)/($C$16+273.15)))/$C$23*$C$24-$C$25))*$C$21&gt;=4*$C$22-1E-9,1,0)</f>
        <v/>
      </c>
      <c r="H30" s="68">
        <f>IF(MIN($C$20,$C$19*(Rates!$D$66*(($C$15-H29*(Rates!$D$71-1))-$C$16-($C$16+273.15)*LN((($C$15-H29*(Rates!$D$71-1))+273.15)/($C$16+273.15)))/$C$23*$C$24-$C$25))*$C$21&gt;=4*$C$22-1E-9,1,0)</f>
        <v/>
      </c>
      <c r="I30" s="68">
        <f>IF(MIN($C$20,$C$19*(Rates!$D$66*(($C$15-I29*(Rates!$D$71-1))-$C$16-($C$16+273.15)*LN((($C$15-I29*(Rates!$D$71-1))+273.15)/($C$16+273.15)))/$C$23*$C$24-$C$25))*$C$21&gt;=4*$C$22-1E-9,1,0)</f>
        <v/>
      </c>
      <c r="J30" s="68">
        <f>IF(MIN($C$20,$C$19*(Rates!$D$66*(($C$15-J29*(Rates!$D$71-1))-$C$16-($C$16+273.15)*LN((($C$15-J29*(Rates!$D$71-1))+273.15)/($C$16+273.15)))/$C$23*$C$24-$C$25))*$C$21&gt;=4*$C$22-1E-9,1,0)</f>
        <v/>
      </c>
      <c r="K30" s="68">
        <f>IF(MIN($C$20,$C$19*(Rates!$D$66*(($C$15-K29*(Rates!$D$71-1))-$C$16-($C$16+273.15)*LN((($C$15-K29*(Rates!$D$71-1))+273.15)/($C$16+273.15)))/$C$23*$C$24-$C$25))*$C$21&gt;=4*$C$22-1E-9,1,0)</f>
        <v/>
      </c>
      <c r="L30" s="68">
        <f>IF(MIN($C$20,$C$19*(Rates!$D$66*(($C$15-L29*(Rates!$D$71-1))-$C$16-($C$16+273.15)*LN((($C$15-L29*(Rates!$D$71-1))+273.15)/($C$16+273.15)))/$C$23*$C$24-$C$25))*$C$21&gt;=4*$C$22-1E-9,1,0)</f>
        <v/>
      </c>
      <c r="M30" s="68">
        <f>IF(MIN($C$20,$C$19*(Rates!$D$66*(($C$15-M29*(Rates!$D$71-1))-$C$16-($C$16+273.15)*LN((($C$15-M29*(Rates!$D$71-1))+273.15)/($C$16+273.15)))/$C$23*$C$24-$C$25))*$C$21&gt;=4*$C$22-1E-9,1,0)</f>
        <v/>
      </c>
      <c r="N30" s="68">
        <f>IF(MIN($C$20,$C$19*(Rates!$D$66*(($C$15-N29*(Rates!$D$71-1))-$C$16-($C$16+273.15)*LN((($C$15-N29*(Rates!$D$71-1))+273.15)/($C$16+273.15)))/$C$23*$C$24-$C$25))*$C$21&gt;=4*$C$22-1E-9,1,0)</f>
        <v/>
      </c>
      <c r="O30" s="68">
        <f>IF(MIN($C$20,$C$19*(Rates!$D$66*(($C$15-O29*(Rates!$D$71-1))-$C$16-($C$16+273.15)*LN((($C$15-O29*(Rates!$D$71-1))+273.15)/($C$16+273.15)))/$C$23*$C$24-$C$25))*$C$21&gt;=4*$C$22-1E-9,1,0)</f>
        <v/>
      </c>
      <c r="P30" s="68">
        <f>IF(MIN($C$20,$C$19*(Rates!$D$66*(($C$15-P29*(Rates!$D$71-1))-$C$16-($C$16+273.15)*LN((($C$15-P29*(Rates!$D$71-1))+273.15)/($C$16+273.15)))/$C$23*$C$24-$C$25))*$C$21&gt;=4*$C$22-1E-9,1,0)</f>
        <v/>
      </c>
      <c r="Q30" s="68">
        <f>IF(MIN($C$20,$C$19*(Rates!$D$66*(($C$15-Q29*(Rates!$D$71-1))-$C$16-($C$16+273.15)*LN((($C$15-Q29*(Rates!$D$71-1))+273.15)/($C$16+273.15)))/$C$23*$C$24-$C$25))*$C$21&gt;=4*$C$22-1E-9,1,0)</f>
        <v/>
      </c>
      <c r="R30" s="68">
        <f>IF(MIN($C$20,$C$19*(Rates!$D$66*(($C$15-R29*(Rates!$D$71-1))-$C$16-($C$16+273.15)*LN((($C$15-R29*(Rates!$D$71-1))+273.15)/($C$16+273.15)))/$C$23*$C$24-$C$25))*$C$21&gt;=4*$C$22-1E-9,1,0)</f>
        <v/>
      </c>
      <c r="S30" s="68">
        <f>IF(MIN($C$20,$C$19*(Rates!$D$66*(($C$15-S29*(Rates!$D$71-1))-$C$16-($C$16+273.15)*LN((($C$15-S29*(Rates!$D$71-1))+273.15)/($C$16+273.15)))/$C$23*$C$24-$C$25))*$C$21&gt;=4*$C$22-1E-9,1,0)</f>
        <v/>
      </c>
      <c r="T30" s="68">
        <f>IF(MIN($C$20,$C$19*(Rates!$D$66*(($C$15-T29*(Rates!$D$71-1))-$C$16-($C$16+273.15)*LN((($C$15-T29*(Rates!$D$71-1))+273.15)/($C$16+273.15)))/$C$23*$C$24-$C$25))*$C$21&gt;=4*$C$22-1E-9,1,0)</f>
        <v/>
      </c>
      <c r="U30" s="68">
        <f>IF(MIN($C$20,$C$19*(Rates!$D$66*(($C$15-U29*(Rates!$D$71-1))-$C$16-($C$16+273.15)*LN((($C$15-U29*(Rates!$D$71-1))+273.15)/($C$16+273.15)))/$C$23*$C$24-$C$25))*$C$21&gt;=4*$C$22-1E-9,1,0)</f>
        <v/>
      </c>
      <c r="V30" s="68">
        <f>IF(MIN($C$20,$C$19*(Rates!$D$66*(($C$15-V29*(Rates!$D$71-1))-$C$16-($C$16+273.15)*LN((($C$15-V29*(Rates!$D$71-1))+273.15)/($C$16+273.15)))/$C$23*$C$24-$C$25))*$C$21&gt;=4*$C$22-1E-9,1,0)</f>
        <v/>
      </c>
      <c r="W30" s="68">
        <f>IF(MIN($C$20,$C$19*(Rates!$D$66*(($C$15-W29*(Rates!$D$71-1))-$C$16-($C$16+273.15)*LN((($C$15-W29*(Rates!$D$71-1))+273.15)/($C$16+273.15)))/$C$23*$C$24-$C$25))*$C$21&gt;=4*$C$22-1E-9,1,0)</f>
        <v/>
      </c>
      <c r="X30" s="68">
        <f>IF(MIN($C$20,$C$19*(Rates!$D$66*(($C$15-X29*(Rates!$D$71-1))-$C$16-($C$16+273.15)*LN((($C$15-X29*(Rates!$D$71-1))+273.15)/($C$16+273.15)))/$C$23*$C$24-$C$25))*$C$21&gt;=4*$C$22-1E-9,1,0)</f>
        <v/>
      </c>
      <c r="Y30" s="68">
        <f>IF(MIN($C$20,$C$19*(Rates!$D$66*(($C$15-Y29*(Rates!$D$71-1))-$C$16-($C$16+273.15)*LN((($C$15-Y29*(Rates!$D$71-1))+273.15)/($C$16+273.15)))/$C$23*$C$24-$C$25))*$C$21&gt;=4*$C$22-1E-9,1,0)</f>
        <v/>
      </c>
      <c r="Z30" s="68">
        <f>IF(MIN($C$20,$C$19*(Rates!$D$66*(($C$15-Z29*(Rates!$D$71-1))-$C$16-($C$16+273.15)*LN((($C$15-Z29*(Rates!$D$71-1))+273.15)/($C$16+273.15)))/$C$23*$C$24-$C$25))*$C$21&gt;=4*$C$22-1E-9,1,0)</f>
        <v/>
      </c>
      <c r="AA30" s="68">
        <f>IF(MIN($C$20,$C$19*(Rates!$D$66*(($C$15-AA29*(Rates!$D$71-1))-$C$16-($C$16+273.15)*LN((($C$15-AA29*(Rates!$D$71-1))+273.15)/($C$16+273.15)))/$C$23*$C$24-$C$25))*$C$21&gt;=4*$C$22-1E-9,1,0)</f>
        <v/>
      </c>
      <c r="AB30" s="68">
        <f>IF(MIN($C$20,$C$19*(Rates!$D$66*(($C$15-AB29*(Rates!$D$71-1))-$C$16-($C$16+273.15)*LN((($C$15-AB29*(Rates!$D$71-1))+273.15)/($C$16+273.15)))/$C$23*$C$24-$C$25))*$C$21&gt;=4*$C$22-1E-9,1,0)</f>
        <v/>
      </c>
      <c r="AC30" s="68">
        <f>IF(MIN($C$20,$C$19*(Rates!$D$66*(($C$15-AC29*(Rates!$D$71-1))-$C$16-($C$16+273.15)*LN((($C$15-AC29*(Rates!$D$71-1))+273.15)/($C$16+273.15)))/$C$23*$C$24-$C$25))*$C$21&gt;=4*$C$22-1E-9,1,0)</f>
        <v/>
      </c>
      <c r="AD30" s="68">
        <f>IF(MIN($C$20,$C$19*(Rates!$D$66*(($C$15-AD29*(Rates!$D$71-1))-$C$16-($C$16+273.15)*LN((($C$15-AD29*(Rates!$D$71-1))+273.15)/($C$16+273.15)))/$C$23*$C$24-$C$25))*$C$21&gt;=4*$C$22-1E-9,1,0)</f>
        <v/>
      </c>
      <c r="AE30" s="68">
        <f>IF(MIN($C$20,$C$19*(Rates!$D$66*(($C$15-AE29*(Rates!$D$71-1))-$C$16-($C$16+273.15)*LN((($C$15-AE29*(Rates!$D$71-1))+273.15)/($C$16+273.15)))/$C$23*$C$24-$C$25))*$C$21&gt;=4*$C$22-1E-9,1,0)</f>
        <v/>
      </c>
      <c r="AF30" s="68">
        <f>IF(MIN($C$20,$C$19*(Rates!$D$66*(($C$15-AF29*(Rates!$D$71-1))-$C$16-($C$16+273.15)*LN((($C$15-AF29*(Rates!$D$71-1))+273.15)/($C$16+273.15)))/$C$23*$C$24-$C$25))*$C$21&gt;=4*$C$22-1E-9,1,0)</f>
        <v/>
      </c>
      <c r="AG30" s="68">
        <f>IF(MIN($C$20,$C$19*(Rates!$D$66*(($C$15-AG29*(Rates!$D$71-1))-$C$16-($C$16+273.15)*LN((($C$15-AG29*(Rates!$D$71-1))+273.15)/($C$16+273.15)))/$C$23*$C$24-$C$25))*$C$21&gt;=4*$C$22-1E-9,1,0)</f>
        <v/>
      </c>
      <c r="AH30" s="68">
        <f>IF(MIN($C$20,$C$19*(Rates!$D$66*(($C$15-AH29*(Rates!$D$71-1))-$C$16-($C$16+273.15)*LN((($C$15-AH29*(Rates!$D$71-1))+273.15)/($C$16+273.15)))/$C$23*$C$24-$C$25))*$C$21&gt;=4*$C$22-1E-9,1,0)</f>
        <v/>
      </c>
      <c r="AI30" s="68">
        <f>IF(MIN($C$20,$C$19*(Rates!$D$66*(($C$15-AI29*(Rates!$D$71-1))-$C$16-($C$16+273.15)*LN((($C$15-AI29*(Rates!$D$71-1))+273.15)/($C$16+273.15)))/$C$23*$C$24-$C$25))*$C$21&gt;=4*$C$22-1E-9,1,0)</f>
        <v/>
      </c>
      <c r="AJ30" s="68">
        <f>IF(MIN($C$20,$C$19*(Rates!$D$66*(($C$15-AJ29*(Rates!$D$71-1))-$C$16-($C$16+273.15)*LN((($C$15-AJ29*(Rates!$D$71-1))+273.15)/($C$16+273.15)))/$C$23*$C$24-$C$25))*$C$21&gt;=4*$C$22-1E-9,1,0)</f>
        <v/>
      </c>
      <c r="AK30" s="68">
        <f>IF(MIN($C$20,$C$19*(Rates!$D$66*(($C$15-AK29*(Rates!$D$71-1))-$C$16-($C$16+273.15)*LN((($C$15-AK29*(Rates!$D$71-1))+273.15)/($C$16+273.15)))/$C$23*$C$24-$C$25))*$C$21&gt;=4*$C$22-1E-9,1,0)</f>
        <v/>
      </c>
      <c r="AL30" s="68">
        <f>IF(MIN($C$20,$C$19*(Rates!$D$66*(($C$15-AL29*(Rates!$D$71-1))-$C$16-($C$16+273.15)*LN((($C$15-AL29*(Rates!$D$71-1))+273.15)/($C$16+273.15)))/$C$23*$C$24-$C$25))*$C$21&gt;=4*$C$22-1E-9,1,0)</f>
        <v/>
      </c>
      <c r="AM30" s="68">
        <f>IF(MIN($C$20,$C$19*(Rates!$D$66*(($C$15-AM29*(Rates!$D$71-1))-$C$16-($C$16+273.15)*LN((($C$15-AM29*(Rates!$D$71-1))+273.15)/($C$16+273.15)))/$C$23*$C$24-$C$25))*$C$21&gt;=4*$C$22-1E-9,1,0)</f>
        <v/>
      </c>
      <c r="AN30" s="68">
        <f>IF(MIN($C$20,$C$19*(Rates!$D$66*(($C$15-AN29*(Rates!$D$71-1))-$C$16-($C$16+273.15)*LN((($C$15-AN29*(Rates!$D$71-1))+273.15)/($C$16+273.15)))/$C$23*$C$24-$C$25))*$C$21&gt;=4*$C$22-1E-9,1,0)</f>
        <v/>
      </c>
      <c r="AO30" s="68">
        <f>IF(MIN($C$20,$C$19*(Rates!$D$66*(($C$15-AO29*(Rates!$D$71-1))-$C$16-($C$16+273.15)*LN((($C$15-AO29*(Rates!$D$71-1))+273.15)/($C$16+273.15)))/$C$23*$C$24-$C$25))*$C$21&gt;=4*$C$22-1E-9,1,0)</f>
        <v/>
      </c>
      <c r="AP30" s="68">
        <f>IF(MIN($C$20,$C$19*(Rates!$D$66*(($C$15-AP29*(Rates!$D$71-1))-$C$16-($C$16+273.15)*LN((($C$15-AP29*(Rates!$D$71-1))+273.15)/($C$16+273.15)))/$C$23*$C$24-$C$25))*$C$21&gt;=4*$C$22-1E-9,1,0)</f>
        <v/>
      </c>
      <c r="AQ30" s="68">
        <f>IF(MIN($C$20,$C$19*(Rates!$D$66*(($C$15-AQ29*(Rates!$D$71-1))-$C$16-($C$16+273.15)*LN((($C$15-AQ29*(Rates!$D$71-1))+273.15)/($C$16+273.15)))/$C$23*$C$24-$C$25))*$C$21&gt;=4*$C$22-1E-9,1,0)</f>
        <v/>
      </c>
    </row>
    <row r="31"/>
    <row r="32">
      <c r="A32" s="136" t="inlineStr">
        <is>
          <t>RETURN IMPACT (AU, 25 yr, flat GPU prices; colo for comparison). No make-up drilling: see Headroom.</t>
        </is>
      </c>
      <c r="B32" s="137" t="n"/>
      <c r="C32" s="137" t="n"/>
      <c r="D32" s="137" t="n"/>
      <c r="E32" s="137" t="n"/>
      <c r="F32" s="137" t="n"/>
    </row>
    <row r="33">
      <c r="A33" s="89" t="inlineStr">
        <is>
          <t>Decline case</t>
        </is>
      </c>
      <c r="B33" s="89" t="inlineStr">
        <is>
          <t>degC/yr</t>
        </is>
      </c>
      <c r="C33" s="89" t="inlineStr">
        <is>
          <t>First dark year</t>
        </is>
      </c>
      <c r="D33" s="89" t="inlineStr">
        <is>
          <t>Modules lit yr 10</t>
        </is>
      </c>
      <c r="E33" s="89" t="inlineStr">
        <is>
          <t>Modules lit yr 25</t>
        </is>
      </c>
      <c r="F33" s="89" t="inlineStr">
        <is>
          <t>Compute IRR</t>
        </is>
      </c>
      <c r="G33" s="89" t="inlineStr">
        <is>
          <t>Colo IRR</t>
        </is>
      </c>
      <c r="H33" s="89" t="inlineStr">
        <is>
          <t>Compute net cash, A$</t>
        </is>
      </c>
      <c r="I33" s="89" t="inlineStr">
        <is>
          <t>Colo net cash, A$</t>
        </is>
      </c>
    </row>
    <row r="34">
      <c r="A34" s="68" t="inlineStr">
        <is>
          <t>SELECTED (headline)</t>
        </is>
      </c>
      <c r="B34" s="123">
        <f>$C$4</f>
        <v/>
      </c>
      <c r="C34" s="68">
        <f>IFERROR(INDEX($D$43:$AB$43,MATCH(TRUE,INDEX(D44:AB44&lt;4,0),0)),"none in 25 yrs")</f>
        <v/>
      </c>
      <c r="D34" s="68">
        <f>M44</f>
        <v/>
      </c>
      <c r="E34" s="68">
        <f>AB44</f>
        <v/>
      </c>
      <c r="F34" s="91">
        <f>IF(SUM(C45:AB45)&lt;0,"never repays",IFERROR(IRR(C45:AB45),"no IRR"))</f>
        <v/>
      </c>
      <c r="G34" s="91">
        <f>IF(SUM(C46:AB46)&lt;0,"never repays",IFERROR(IRR(C46:AB46),"no IRR"))</f>
        <v/>
      </c>
      <c r="H34" s="90">
        <f>SUM(C45:AB45)</f>
        <v/>
      </c>
      <c r="I34" s="90">
        <f>SUM(C46:AB46)</f>
        <v/>
      </c>
    </row>
    <row r="35">
      <c r="A35" s="68" t="inlineStr">
        <is>
          <t>EGS target 0.65 degC/yr</t>
        </is>
      </c>
      <c r="B35" s="123">
        <f>$C$7</f>
        <v/>
      </c>
      <c r="C35" s="68">
        <f>IFERROR(INDEX($D$43:$AB$43,MATCH(TRUE,INDEX(D47:AB47&lt;4,0),0)),"none in 25 yrs")</f>
        <v/>
      </c>
      <c r="D35" s="68">
        <f>M47</f>
        <v/>
      </c>
      <c r="E35" s="68">
        <f>AB47</f>
        <v/>
      </c>
      <c r="F35" s="91">
        <f>IF(SUM(C48:AB48)&lt;0,"never repays",IFERROR(IRR(C48:AB48),"no IRR"))</f>
        <v/>
      </c>
      <c r="G35" s="91">
        <f>IF(SUM(C49:AB49)&lt;0,"never repays",IFERROR(IRR(C49:AB49),"no IRR"))</f>
        <v/>
      </c>
      <c r="H35" s="90">
        <f>SUM(C48:AB48)</f>
        <v/>
      </c>
      <c r="I35" s="90">
        <f>SUM(C49:AB49)</f>
        <v/>
      </c>
    </row>
    <row r="36">
      <c r="A36" s="68" t="inlineStr">
        <is>
          <t>Conventional wells 0.83 degC/yr</t>
        </is>
      </c>
      <c r="B36" s="123">
        <f>$C$8</f>
        <v/>
      </c>
      <c r="C36" s="68">
        <f>IFERROR(INDEX($D$43:$AB$43,MATCH(TRUE,INDEX(D50:AB50&lt;4,0),0)),"none in 25 yrs")</f>
        <v/>
      </c>
      <c r="D36" s="68">
        <f>M50</f>
        <v/>
      </c>
      <c r="E36" s="68">
        <f>AB50</f>
        <v/>
      </c>
      <c r="F36" s="91">
        <f>IF(SUM(C51:AB51)&lt;0,"never repays",IFERROR(IRR(C51:AB51),"no IRR"))</f>
        <v/>
      </c>
      <c r="G36" s="91">
        <f>IF(SUM(C52:AB52)&lt;0,"never repays",IFERROR(IRR(C52:AB52),"no IRR"))</f>
        <v/>
      </c>
      <c r="H36" s="90">
        <f>SUM(C51:AB51)</f>
        <v/>
      </c>
      <c r="I36" s="90">
        <f>SUM(C52:AB52)</f>
        <v/>
      </c>
    </row>
    <row r="37">
      <c r="A37" s="68" t="inlineStr">
        <is>
          <t>Intermediate 2.0 degC/yr (ASSUMPTION)</t>
        </is>
      </c>
      <c r="B37" s="123">
        <f>2</f>
        <v/>
      </c>
      <c r="C37" s="68">
        <f>IFERROR(INDEX($D$43:$AB$43,MATCH(TRUE,INDEX(D53:AB53&lt;4,0),0)),"none in 25 yrs")</f>
        <v/>
      </c>
      <c r="D37" s="68">
        <f>M53</f>
        <v/>
      </c>
      <c r="E37" s="68">
        <f>AB53</f>
        <v/>
      </c>
      <c r="F37" s="91">
        <f>IF(SUM(C54:AB54)&lt;0,"never repays",IFERROR(IRR(C54:AB54),"no IRR"))</f>
        <v/>
      </c>
      <c r="G37" s="91">
        <f>IF(SUM(C55:AB55)&lt;0,"never repays",IFERROR(IRR(C55:AB55),"no IRR"))</f>
        <v/>
      </c>
      <c r="H37" s="90">
        <f>SUM(C54:AB54)</f>
        <v/>
      </c>
      <c r="I37" s="90">
        <f>SUM(C55:AB55)</f>
        <v/>
      </c>
    </row>
    <row r="38">
      <c r="A38" s="68" t="inlineStr">
        <is>
          <t>Project Red reading 5.0 degC/yr (disputed)</t>
        </is>
      </c>
      <c r="B38" s="123">
        <f>$C$9</f>
        <v/>
      </c>
      <c r="C38" s="68">
        <f>IFERROR(INDEX($D$43:$AB$43,MATCH(TRUE,INDEX(D56:AB56&lt;4,0),0)),"none in 25 yrs")</f>
        <v/>
      </c>
      <c r="D38" s="68">
        <f>M56</f>
        <v/>
      </c>
      <c r="E38" s="68">
        <f>AB56</f>
        <v/>
      </c>
      <c r="F38" s="91">
        <f>IF(SUM(C57:AB57)&lt;0,"never repays",IFERROR(IRR(C57:AB57),"no IRR"))</f>
        <v/>
      </c>
      <c r="G38" s="91">
        <f>IF(SUM(C58:AB58)&lt;0,"never repays",IFERROR(IRR(C58:AB58),"no IRR"))</f>
        <v/>
      </c>
      <c r="H38" s="90">
        <f>SUM(C57:AB57)</f>
        <v/>
      </c>
      <c r="I38" s="90">
        <f>SUM(C58:AB58)</f>
        <v/>
      </c>
    </row>
    <row r="39">
      <c r="A39" s="68" t="inlineStr">
        <is>
          <t>EGS base case 6.45 degC/yr</t>
        </is>
      </c>
      <c r="B39" s="123">
        <f>$C$10</f>
        <v/>
      </c>
      <c r="C39" s="68">
        <f>IFERROR(INDEX($D$43:$AB$43,MATCH(TRUE,INDEX(D59:AB59&lt;4,0),0)),"none in 25 yrs")</f>
        <v/>
      </c>
      <c r="D39" s="68">
        <f>M59</f>
        <v/>
      </c>
      <c r="E39" s="68">
        <f>AB59</f>
        <v/>
      </c>
      <c r="F39" s="91">
        <f>IF(SUM(C60:AB60)&lt;0,"never repays",IFERROR(IRR(C60:AB60),"no IRR"))</f>
        <v/>
      </c>
      <c r="G39" s="91">
        <f>IF(SUM(C61:AB61)&lt;0,"never repays",IFERROR(IRR(C61:AB61),"no IRR"))</f>
        <v/>
      </c>
      <c r="H39" s="90">
        <f>SUM(C60:AB60)</f>
        <v/>
      </c>
      <c r="I39" s="90">
        <f>SUM(C61:AB61)</f>
        <v/>
      </c>
    </row>
    <row r="40">
      <c r="A40" s="68" t="inlineStr">
        <is>
          <t>Stress 10 degC/yr (ASSUMPTION)</t>
        </is>
      </c>
      <c r="B40" s="123">
        <f>10</f>
        <v/>
      </c>
      <c r="C40" s="68">
        <f>IFERROR(INDEX($D$43:$AB$43,MATCH(TRUE,INDEX(D62:AB62&lt;4,0),0)),"none in 25 yrs")</f>
        <v/>
      </c>
      <c r="D40" s="68">
        <f>M62</f>
        <v/>
      </c>
      <c r="E40" s="68">
        <f>AB62</f>
        <v/>
      </c>
      <c r="F40" s="91">
        <f>IF(SUM(C63:AB63)&lt;0,"never repays",IFERROR(IRR(C63:AB63),"no IRR"))</f>
        <v/>
      </c>
      <c r="G40" s="91">
        <f>IF(SUM(C64:AB64)&lt;0,"never repays",IFERROR(IRR(C64:AB64),"no IRR"))</f>
        <v/>
      </c>
      <c r="H40" s="90">
        <f>SUM(C63:AB63)</f>
        <v/>
      </c>
      <c r="I40" s="90">
        <f>SUM(C64:AB64)</f>
        <v/>
      </c>
    </row>
    <row r="41">
      <c r="A41" s="68" t="inlineStr">
        <is>
          <t>Monitoring: a 90-180 day test sits before thermal breakthrough, so it cannot measure decline. Gate 2 needs a tracer-calibrated reservoir forecast below the threshold above, and a 12-month circulation record; after that, annual tracer and temperature logging triggers make-up drilling (Headroom).</t>
        </is>
      </c>
    </row>
    <row r="42">
      <c r="A42" s="68" t="inlineStr">
        <is>
          <t>Helper rows: year below; per case: modules lit, compute CF, colo CF</t>
        </is>
      </c>
    </row>
    <row r="43">
      <c r="C43" s="68" t="n">
        <v>0</v>
      </c>
      <c r="D43" s="68" t="n">
        <v>1</v>
      </c>
      <c r="E43" s="68" t="n">
        <v>2</v>
      </c>
      <c r="F43" s="68" t="n">
        <v>3</v>
      </c>
      <c r="G43" s="68" t="n">
        <v>4</v>
      </c>
      <c r="H43" s="68" t="n">
        <v>5</v>
      </c>
      <c r="I43" s="68" t="n">
        <v>6</v>
      </c>
      <c r="J43" s="68" t="n">
        <v>7</v>
      </c>
      <c r="K43" s="68" t="n">
        <v>8</v>
      </c>
      <c r="L43" s="68" t="n">
        <v>9</v>
      </c>
      <c r="M43" s="68" t="n">
        <v>10</v>
      </c>
      <c r="N43" s="68" t="n">
        <v>11</v>
      </c>
      <c r="O43" s="68" t="n">
        <v>12</v>
      </c>
      <c r="P43" s="68" t="n">
        <v>13</v>
      </c>
      <c r="Q43" s="68" t="n">
        <v>14</v>
      </c>
      <c r="R43" s="68" t="n">
        <v>15</v>
      </c>
      <c r="S43" s="68" t="n">
        <v>16</v>
      </c>
      <c r="T43" s="68" t="n">
        <v>17</v>
      </c>
      <c r="U43" s="68" t="n">
        <v>18</v>
      </c>
      <c r="V43" s="68" t="n">
        <v>19</v>
      </c>
      <c r="W43" s="68" t="n">
        <v>20</v>
      </c>
      <c r="X43" s="68" t="n">
        <v>21</v>
      </c>
      <c r="Y43" s="68" t="n">
        <v>22</v>
      </c>
      <c r="Z43" s="68" t="n">
        <v>23</v>
      </c>
      <c r="AA43" s="68" t="n">
        <v>24</v>
      </c>
      <c r="AB43" s="68" t="n">
        <v>25</v>
      </c>
    </row>
    <row r="44">
      <c r="A44" s="68" t="inlineStr">
        <is>
          <t>modules: SELECTED (headline)</t>
        </is>
      </c>
      <c r="D44" s="68">
        <f>MAX(0,MIN(4,INT(MIN($C$20,$C$19*(Rates!$D$66*(($C$15-$B$34*(D$43-1))-$C$16-($C$16+273.15)*LN((($C$15-$B$34*(D$43-1))+273.15)/($C$16+273.15)))/$C$23*$C$24-$C$25))*$C$21/$C$22+1E-9)))</f>
        <v/>
      </c>
      <c r="E44" s="68">
        <f>MAX(0,MIN(4,INT(MIN($C$20,$C$19*(Rates!$D$66*(($C$15-$B$34*(E$43-1))-$C$16-($C$16+273.15)*LN((($C$15-$B$34*(E$43-1))+273.15)/($C$16+273.15)))/$C$23*$C$24-$C$25))*$C$21/$C$22+1E-9)))</f>
        <v/>
      </c>
      <c r="F44" s="68">
        <f>MAX(0,MIN(4,INT(MIN($C$20,$C$19*(Rates!$D$66*(($C$15-$B$34*(F$43-1))-$C$16-($C$16+273.15)*LN((($C$15-$B$34*(F$43-1))+273.15)/($C$16+273.15)))/$C$23*$C$24-$C$25))*$C$21/$C$22+1E-9)))</f>
        <v/>
      </c>
      <c r="G44" s="68">
        <f>MAX(0,MIN(4,INT(MIN($C$20,$C$19*(Rates!$D$66*(($C$15-$B$34*(G$43-1))-$C$16-($C$16+273.15)*LN((($C$15-$B$34*(G$43-1))+273.15)/($C$16+273.15)))/$C$23*$C$24-$C$25))*$C$21/$C$22+1E-9)))</f>
        <v/>
      </c>
      <c r="H44" s="68">
        <f>MAX(0,MIN(4,INT(MIN($C$20,$C$19*(Rates!$D$66*(($C$15-$B$34*(H$43-1))-$C$16-($C$16+273.15)*LN((($C$15-$B$34*(H$43-1))+273.15)/($C$16+273.15)))/$C$23*$C$24-$C$25))*$C$21/$C$22+1E-9)))</f>
        <v/>
      </c>
      <c r="I44" s="68">
        <f>MAX(0,MIN(4,INT(MIN($C$20,$C$19*(Rates!$D$66*(($C$15-$B$34*(I$43-1))-$C$16-($C$16+273.15)*LN((($C$15-$B$34*(I$43-1))+273.15)/($C$16+273.15)))/$C$23*$C$24-$C$25))*$C$21/$C$22+1E-9)))</f>
        <v/>
      </c>
      <c r="J44" s="68">
        <f>MAX(0,MIN(4,INT(MIN($C$20,$C$19*(Rates!$D$66*(($C$15-$B$34*(J$43-1))-$C$16-($C$16+273.15)*LN((($C$15-$B$34*(J$43-1))+273.15)/($C$16+273.15)))/$C$23*$C$24-$C$25))*$C$21/$C$22+1E-9)))</f>
        <v/>
      </c>
      <c r="K44" s="68">
        <f>MAX(0,MIN(4,INT(MIN($C$20,$C$19*(Rates!$D$66*(($C$15-$B$34*(K$43-1))-$C$16-($C$16+273.15)*LN((($C$15-$B$34*(K$43-1))+273.15)/($C$16+273.15)))/$C$23*$C$24-$C$25))*$C$21/$C$22+1E-9)))</f>
        <v/>
      </c>
      <c r="L44" s="68">
        <f>MAX(0,MIN(4,INT(MIN($C$20,$C$19*(Rates!$D$66*(($C$15-$B$34*(L$43-1))-$C$16-($C$16+273.15)*LN((($C$15-$B$34*(L$43-1))+273.15)/($C$16+273.15)))/$C$23*$C$24-$C$25))*$C$21/$C$22+1E-9)))</f>
        <v/>
      </c>
      <c r="M44" s="68">
        <f>MAX(0,MIN(4,INT(MIN($C$20,$C$19*(Rates!$D$66*(($C$15-$B$34*(M$43-1))-$C$16-($C$16+273.15)*LN((($C$15-$B$34*(M$43-1))+273.15)/($C$16+273.15)))/$C$23*$C$24-$C$25))*$C$21/$C$22+1E-9)))</f>
        <v/>
      </c>
      <c r="N44" s="68">
        <f>MAX(0,MIN(4,INT(MIN($C$20,$C$19*(Rates!$D$66*(($C$15-$B$34*(N$43-1))-$C$16-($C$16+273.15)*LN((($C$15-$B$34*(N$43-1))+273.15)/($C$16+273.15)))/$C$23*$C$24-$C$25))*$C$21/$C$22+1E-9)))</f>
        <v/>
      </c>
      <c r="O44" s="68">
        <f>MAX(0,MIN(4,INT(MIN($C$20,$C$19*(Rates!$D$66*(($C$15-$B$34*(O$43-1))-$C$16-($C$16+273.15)*LN((($C$15-$B$34*(O$43-1))+273.15)/($C$16+273.15)))/$C$23*$C$24-$C$25))*$C$21/$C$22+1E-9)))</f>
        <v/>
      </c>
      <c r="P44" s="68">
        <f>MAX(0,MIN(4,INT(MIN($C$20,$C$19*(Rates!$D$66*(($C$15-$B$34*(P$43-1))-$C$16-($C$16+273.15)*LN((($C$15-$B$34*(P$43-1))+273.15)/($C$16+273.15)))/$C$23*$C$24-$C$25))*$C$21/$C$22+1E-9)))</f>
        <v/>
      </c>
      <c r="Q44" s="68">
        <f>MAX(0,MIN(4,INT(MIN($C$20,$C$19*(Rates!$D$66*(($C$15-$B$34*(Q$43-1))-$C$16-($C$16+273.15)*LN((($C$15-$B$34*(Q$43-1))+273.15)/($C$16+273.15)))/$C$23*$C$24-$C$25))*$C$21/$C$22+1E-9)))</f>
        <v/>
      </c>
      <c r="R44" s="68">
        <f>MAX(0,MIN(4,INT(MIN($C$20,$C$19*(Rates!$D$66*(($C$15-$B$34*(R$43-1))-$C$16-($C$16+273.15)*LN((($C$15-$B$34*(R$43-1))+273.15)/($C$16+273.15)))/$C$23*$C$24-$C$25))*$C$21/$C$22+1E-9)))</f>
        <v/>
      </c>
      <c r="S44" s="68">
        <f>MAX(0,MIN(4,INT(MIN($C$20,$C$19*(Rates!$D$66*(($C$15-$B$34*(S$43-1))-$C$16-($C$16+273.15)*LN((($C$15-$B$34*(S$43-1))+273.15)/($C$16+273.15)))/$C$23*$C$24-$C$25))*$C$21/$C$22+1E-9)))</f>
        <v/>
      </c>
      <c r="T44" s="68">
        <f>MAX(0,MIN(4,INT(MIN($C$20,$C$19*(Rates!$D$66*(($C$15-$B$34*(T$43-1))-$C$16-($C$16+273.15)*LN((($C$15-$B$34*(T$43-1))+273.15)/($C$16+273.15)))/$C$23*$C$24-$C$25))*$C$21/$C$22+1E-9)))</f>
        <v/>
      </c>
      <c r="U44" s="68">
        <f>MAX(0,MIN(4,INT(MIN($C$20,$C$19*(Rates!$D$66*(($C$15-$B$34*(U$43-1))-$C$16-($C$16+273.15)*LN((($C$15-$B$34*(U$43-1))+273.15)/($C$16+273.15)))/$C$23*$C$24-$C$25))*$C$21/$C$22+1E-9)))</f>
        <v/>
      </c>
      <c r="V44" s="68">
        <f>MAX(0,MIN(4,INT(MIN($C$20,$C$19*(Rates!$D$66*(($C$15-$B$34*(V$43-1))-$C$16-($C$16+273.15)*LN((($C$15-$B$34*(V$43-1))+273.15)/($C$16+273.15)))/$C$23*$C$24-$C$25))*$C$21/$C$22+1E-9)))</f>
        <v/>
      </c>
      <c r="W44" s="68">
        <f>MAX(0,MIN(4,INT(MIN($C$20,$C$19*(Rates!$D$66*(($C$15-$B$34*(W$43-1))-$C$16-($C$16+273.15)*LN((($C$15-$B$34*(W$43-1))+273.15)/($C$16+273.15)))/$C$23*$C$24-$C$25))*$C$21/$C$22+1E-9)))</f>
        <v/>
      </c>
      <c r="X44" s="68">
        <f>MAX(0,MIN(4,INT(MIN($C$20,$C$19*(Rates!$D$66*(($C$15-$B$34*(X$43-1))-$C$16-($C$16+273.15)*LN((($C$15-$B$34*(X$43-1))+273.15)/($C$16+273.15)))/$C$23*$C$24-$C$25))*$C$21/$C$22+1E-9)))</f>
        <v/>
      </c>
      <c r="Y44" s="68">
        <f>MAX(0,MIN(4,INT(MIN($C$20,$C$19*(Rates!$D$66*(($C$15-$B$34*(Y$43-1))-$C$16-($C$16+273.15)*LN((($C$15-$B$34*(Y$43-1))+273.15)/($C$16+273.15)))/$C$23*$C$24-$C$25))*$C$21/$C$22+1E-9)))</f>
        <v/>
      </c>
      <c r="Z44" s="68">
        <f>MAX(0,MIN(4,INT(MIN($C$20,$C$19*(Rates!$D$66*(($C$15-$B$34*(Z$43-1))-$C$16-($C$16+273.15)*LN((($C$15-$B$34*(Z$43-1))+273.15)/($C$16+273.15)))/$C$23*$C$24-$C$25))*$C$21/$C$22+1E-9)))</f>
        <v/>
      </c>
      <c r="AA44" s="68">
        <f>MAX(0,MIN(4,INT(MIN($C$20,$C$19*(Rates!$D$66*(($C$15-$B$34*(AA$43-1))-$C$16-($C$16+273.15)*LN((($C$15-$B$34*(AA$43-1))+273.15)/($C$16+273.15)))/$C$23*$C$24-$C$25))*$C$21/$C$22+1E-9)))</f>
        <v/>
      </c>
      <c r="AB44" s="68">
        <f>MAX(0,MIN(4,INT(MIN($C$20,$C$19*(Rates!$D$66*(($C$15-$B$34*(AB$43-1))-$C$16-($C$16+273.15)*LN((($C$15-$B$34*(AB$43-1))+273.15)/($C$16+273.15)))/$C$23*$C$24-$C$25))*$C$21/$C$22+1E-9)))</f>
        <v/>
      </c>
    </row>
    <row r="45">
      <c r="A45" s="68" t="inlineStr">
        <is>
          <t>compute CF: SELECTED (headline)</t>
        </is>
      </c>
      <c r="C45" s="68">
        <f>-'Sell-Compute'!$C$36</f>
        <v/>
      </c>
      <c r="D45" s="68">
        <f>IF(D$43&lt;=Rates!$D$71,('Sell-Compute'!$C$40-'Sell-Compute'!$C$42-'Sell-Compute'!$C$43)*(D44/4)-'Sell-Compute'!$C$41-'Sell-Compute'!$C$44-'Sell-Compute'!$C$45-IF(AND(MOD(D$43,'Sell-Compute'!$C$21)=0,D$43&lt;Rates!$D$71),'Sell-Compute'!$C$34*(D44/4),0),0)</f>
        <v/>
      </c>
      <c r="E45" s="68">
        <f>IF(E$43&lt;=Rates!$D$71,('Sell-Compute'!$C$40-'Sell-Compute'!$C$42-'Sell-Compute'!$C$43)*(E44/4)-'Sell-Compute'!$C$41-'Sell-Compute'!$C$44-'Sell-Compute'!$C$45-IF(AND(MOD(E$43,'Sell-Compute'!$C$21)=0,E$43&lt;Rates!$D$71),'Sell-Compute'!$C$34*(E44/4),0),0)</f>
        <v/>
      </c>
      <c r="F45" s="68">
        <f>IF(F$43&lt;=Rates!$D$71,('Sell-Compute'!$C$40-'Sell-Compute'!$C$42-'Sell-Compute'!$C$43)*(F44/4)-'Sell-Compute'!$C$41-'Sell-Compute'!$C$44-'Sell-Compute'!$C$45-IF(AND(MOD(F$43,'Sell-Compute'!$C$21)=0,F$43&lt;Rates!$D$71),'Sell-Compute'!$C$34*(F44/4),0),0)</f>
        <v/>
      </c>
      <c r="G45" s="68">
        <f>IF(G$43&lt;=Rates!$D$71,('Sell-Compute'!$C$40-'Sell-Compute'!$C$42-'Sell-Compute'!$C$43)*(G44/4)-'Sell-Compute'!$C$41-'Sell-Compute'!$C$44-'Sell-Compute'!$C$45-IF(AND(MOD(G$43,'Sell-Compute'!$C$21)=0,G$43&lt;Rates!$D$71),'Sell-Compute'!$C$34*(G44/4),0),0)</f>
        <v/>
      </c>
      <c r="H45" s="68">
        <f>IF(H$43&lt;=Rates!$D$71,('Sell-Compute'!$C$40-'Sell-Compute'!$C$42-'Sell-Compute'!$C$43)*(H44/4)-'Sell-Compute'!$C$41-'Sell-Compute'!$C$44-'Sell-Compute'!$C$45-IF(AND(MOD(H$43,'Sell-Compute'!$C$21)=0,H$43&lt;Rates!$D$71),'Sell-Compute'!$C$34*(H44/4),0),0)</f>
        <v/>
      </c>
      <c r="I45" s="68">
        <f>IF(I$43&lt;=Rates!$D$71,('Sell-Compute'!$C$40-'Sell-Compute'!$C$42-'Sell-Compute'!$C$43)*(I44/4)-'Sell-Compute'!$C$41-'Sell-Compute'!$C$44-'Sell-Compute'!$C$45-IF(AND(MOD(I$43,'Sell-Compute'!$C$21)=0,I$43&lt;Rates!$D$71),'Sell-Compute'!$C$34*(I44/4),0),0)</f>
        <v/>
      </c>
      <c r="J45" s="68">
        <f>IF(J$43&lt;=Rates!$D$71,('Sell-Compute'!$C$40-'Sell-Compute'!$C$42-'Sell-Compute'!$C$43)*(J44/4)-'Sell-Compute'!$C$41-'Sell-Compute'!$C$44-'Sell-Compute'!$C$45-IF(AND(MOD(J$43,'Sell-Compute'!$C$21)=0,J$43&lt;Rates!$D$71),'Sell-Compute'!$C$34*(J44/4),0),0)</f>
        <v/>
      </c>
      <c r="K45" s="68">
        <f>IF(K$43&lt;=Rates!$D$71,('Sell-Compute'!$C$40-'Sell-Compute'!$C$42-'Sell-Compute'!$C$43)*(K44/4)-'Sell-Compute'!$C$41-'Sell-Compute'!$C$44-'Sell-Compute'!$C$45-IF(AND(MOD(K$43,'Sell-Compute'!$C$21)=0,K$43&lt;Rates!$D$71),'Sell-Compute'!$C$34*(K44/4),0),0)</f>
        <v/>
      </c>
      <c r="L45" s="68">
        <f>IF(L$43&lt;=Rates!$D$71,('Sell-Compute'!$C$40-'Sell-Compute'!$C$42-'Sell-Compute'!$C$43)*(L44/4)-'Sell-Compute'!$C$41-'Sell-Compute'!$C$44-'Sell-Compute'!$C$45-IF(AND(MOD(L$43,'Sell-Compute'!$C$21)=0,L$43&lt;Rates!$D$71),'Sell-Compute'!$C$34*(L44/4),0),0)</f>
        <v/>
      </c>
      <c r="M45" s="68">
        <f>IF(M$43&lt;=Rates!$D$71,('Sell-Compute'!$C$40-'Sell-Compute'!$C$42-'Sell-Compute'!$C$43)*(M44/4)-'Sell-Compute'!$C$41-'Sell-Compute'!$C$44-'Sell-Compute'!$C$45-IF(AND(MOD(M$43,'Sell-Compute'!$C$21)=0,M$43&lt;Rates!$D$71),'Sell-Compute'!$C$34*(M44/4),0),0)</f>
        <v/>
      </c>
      <c r="N45" s="68">
        <f>IF(N$43&lt;=Rates!$D$71,('Sell-Compute'!$C$40-'Sell-Compute'!$C$42-'Sell-Compute'!$C$43)*(N44/4)-'Sell-Compute'!$C$41-'Sell-Compute'!$C$44-'Sell-Compute'!$C$45-IF(AND(MOD(N$43,'Sell-Compute'!$C$21)=0,N$43&lt;Rates!$D$71),'Sell-Compute'!$C$34*(N44/4),0),0)</f>
        <v/>
      </c>
      <c r="O45" s="68">
        <f>IF(O$43&lt;=Rates!$D$71,('Sell-Compute'!$C$40-'Sell-Compute'!$C$42-'Sell-Compute'!$C$43)*(O44/4)-'Sell-Compute'!$C$41-'Sell-Compute'!$C$44-'Sell-Compute'!$C$45-IF(AND(MOD(O$43,'Sell-Compute'!$C$21)=0,O$43&lt;Rates!$D$71),'Sell-Compute'!$C$34*(O44/4),0),0)</f>
        <v/>
      </c>
      <c r="P45" s="68">
        <f>IF(P$43&lt;=Rates!$D$71,('Sell-Compute'!$C$40-'Sell-Compute'!$C$42-'Sell-Compute'!$C$43)*(P44/4)-'Sell-Compute'!$C$41-'Sell-Compute'!$C$44-'Sell-Compute'!$C$45-IF(AND(MOD(P$43,'Sell-Compute'!$C$21)=0,P$43&lt;Rates!$D$71),'Sell-Compute'!$C$34*(P44/4),0),0)</f>
        <v/>
      </c>
      <c r="Q45" s="68">
        <f>IF(Q$43&lt;=Rates!$D$71,('Sell-Compute'!$C$40-'Sell-Compute'!$C$42-'Sell-Compute'!$C$43)*(Q44/4)-'Sell-Compute'!$C$41-'Sell-Compute'!$C$44-'Sell-Compute'!$C$45-IF(AND(MOD(Q$43,'Sell-Compute'!$C$21)=0,Q$43&lt;Rates!$D$71),'Sell-Compute'!$C$34*(Q44/4),0),0)</f>
        <v/>
      </c>
      <c r="R45" s="68">
        <f>IF(R$43&lt;=Rates!$D$71,('Sell-Compute'!$C$40-'Sell-Compute'!$C$42-'Sell-Compute'!$C$43)*(R44/4)-'Sell-Compute'!$C$41-'Sell-Compute'!$C$44-'Sell-Compute'!$C$45-IF(AND(MOD(R$43,'Sell-Compute'!$C$21)=0,R$43&lt;Rates!$D$71),'Sell-Compute'!$C$34*(R44/4),0),0)</f>
        <v/>
      </c>
      <c r="S45" s="68">
        <f>IF(S$43&lt;=Rates!$D$71,('Sell-Compute'!$C$40-'Sell-Compute'!$C$42-'Sell-Compute'!$C$43)*(S44/4)-'Sell-Compute'!$C$41-'Sell-Compute'!$C$44-'Sell-Compute'!$C$45-IF(AND(MOD(S$43,'Sell-Compute'!$C$21)=0,S$43&lt;Rates!$D$71),'Sell-Compute'!$C$34*(S44/4),0),0)</f>
        <v/>
      </c>
      <c r="T45" s="68">
        <f>IF(T$43&lt;=Rates!$D$71,('Sell-Compute'!$C$40-'Sell-Compute'!$C$42-'Sell-Compute'!$C$43)*(T44/4)-'Sell-Compute'!$C$41-'Sell-Compute'!$C$44-'Sell-Compute'!$C$45-IF(AND(MOD(T$43,'Sell-Compute'!$C$21)=0,T$43&lt;Rates!$D$71),'Sell-Compute'!$C$34*(T44/4),0),0)</f>
        <v/>
      </c>
      <c r="U45" s="68">
        <f>IF(U$43&lt;=Rates!$D$71,('Sell-Compute'!$C$40-'Sell-Compute'!$C$42-'Sell-Compute'!$C$43)*(U44/4)-'Sell-Compute'!$C$41-'Sell-Compute'!$C$44-'Sell-Compute'!$C$45-IF(AND(MOD(U$43,'Sell-Compute'!$C$21)=0,U$43&lt;Rates!$D$71),'Sell-Compute'!$C$34*(U44/4),0),0)</f>
        <v/>
      </c>
      <c r="V45" s="68">
        <f>IF(V$43&lt;=Rates!$D$71,('Sell-Compute'!$C$40-'Sell-Compute'!$C$42-'Sell-Compute'!$C$43)*(V44/4)-'Sell-Compute'!$C$41-'Sell-Compute'!$C$44-'Sell-Compute'!$C$45-IF(AND(MOD(V$43,'Sell-Compute'!$C$21)=0,V$43&lt;Rates!$D$71),'Sell-Compute'!$C$34*(V44/4),0),0)</f>
        <v/>
      </c>
      <c r="W45" s="68">
        <f>IF(W$43&lt;=Rates!$D$71,('Sell-Compute'!$C$40-'Sell-Compute'!$C$42-'Sell-Compute'!$C$43)*(W44/4)-'Sell-Compute'!$C$41-'Sell-Compute'!$C$44-'Sell-Compute'!$C$45-IF(AND(MOD(W$43,'Sell-Compute'!$C$21)=0,W$43&lt;Rates!$D$71),'Sell-Compute'!$C$34*(W44/4),0),0)</f>
        <v/>
      </c>
      <c r="X45" s="68">
        <f>IF(X$43&lt;=Rates!$D$71,('Sell-Compute'!$C$40-'Sell-Compute'!$C$42-'Sell-Compute'!$C$43)*(X44/4)-'Sell-Compute'!$C$41-'Sell-Compute'!$C$44-'Sell-Compute'!$C$45-IF(AND(MOD(X$43,'Sell-Compute'!$C$21)=0,X$43&lt;Rates!$D$71),'Sell-Compute'!$C$34*(X44/4),0),0)</f>
        <v/>
      </c>
      <c r="Y45" s="68">
        <f>IF(Y$43&lt;=Rates!$D$71,('Sell-Compute'!$C$40-'Sell-Compute'!$C$42-'Sell-Compute'!$C$43)*(Y44/4)-'Sell-Compute'!$C$41-'Sell-Compute'!$C$44-'Sell-Compute'!$C$45-IF(AND(MOD(Y$43,'Sell-Compute'!$C$21)=0,Y$43&lt;Rates!$D$71),'Sell-Compute'!$C$34*(Y44/4),0),0)</f>
        <v/>
      </c>
      <c r="Z45" s="68">
        <f>IF(Z$43&lt;=Rates!$D$71,('Sell-Compute'!$C$40-'Sell-Compute'!$C$42-'Sell-Compute'!$C$43)*(Z44/4)-'Sell-Compute'!$C$41-'Sell-Compute'!$C$44-'Sell-Compute'!$C$45-IF(AND(MOD(Z$43,'Sell-Compute'!$C$21)=0,Z$43&lt;Rates!$D$71),'Sell-Compute'!$C$34*(Z44/4),0),0)</f>
        <v/>
      </c>
      <c r="AA45" s="68">
        <f>IF(AA$43&lt;=Rates!$D$71,('Sell-Compute'!$C$40-'Sell-Compute'!$C$42-'Sell-Compute'!$C$43)*(AA44/4)-'Sell-Compute'!$C$41-'Sell-Compute'!$C$44-'Sell-Compute'!$C$45-IF(AND(MOD(AA$43,'Sell-Compute'!$C$21)=0,AA$43&lt;Rates!$D$71),'Sell-Compute'!$C$34*(AA44/4),0),0)</f>
        <v/>
      </c>
      <c r="AB45" s="68">
        <f>IF(AB$43&lt;=Rates!$D$71,('Sell-Compute'!$C$40-'Sell-Compute'!$C$42-'Sell-Compute'!$C$43)*(AB44/4)-'Sell-Compute'!$C$41-'Sell-Compute'!$C$44-'Sell-Compute'!$C$45-IF(AND(MOD(AB$43,'Sell-Compute'!$C$21)=0,AB$43&lt;Rates!$D$71),'Sell-Compute'!$C$34*(AB44/4),0),0)</f>
        <v/>
      </c>
    </row>
    <row r="46">
      <c r="A46" s="68" t="inlineStr">
        <is>
          <t>colo CF: SELECTED (headline)</t>
        </is>
      </c>
      <c r="C46" s="68">
        <f>-'Sell-Compute'!$I$36</f>
        <v/>
      </c>
      <c r="D46" s="68">
        <f>IF(D$43&lt;=Rates!$D$71,'Sell-Compute'!$I$46-'Sell-Compute'!$I$40*(1-(D44/4)),0)</f>
        <v/>
      </c>
      <c r="E46" s="68">
        <f>IF(E$43&lt;=Rates!$D$71,'Sell-Compute'!$I$46-'Sell-Compute'!$I$40*(1-(E44/4)),0)</f>
        <v/>
      </c>
      <c r="F46" s="68">
        <f>IF(F$43&lt;=Rates!$D$71,'Sell-Compute'!$I$46-'Sell-Compute'!$I$40*(1-(F44/4)),0)</f>
        <v/>
      </c>
      <c r="G46" s="68">
        <f>IF(G$43&lt;=Rates!$D$71,'Sell-Compute'!$I$46-'Sell-Compute'!$I$40*(1-(G44/4)),0)</f>
        <v/>
      </c>
      <c r="H46" s="68">
        <f>IF(H$43&lt;=Rates!$D$71,'Sell-Compute'!$I$46-'Sell-Compute'!$I$40*(1-(H44/4)),0)</f>
        <v/>
      </c>
      <c r="I46" s="68">
        <f>IF(I$43&lt;=Rates!$D$71,'Sell-Compute'!$I$46-'Sell-Compute'!$I$40*(1-(I44/4)),0)</f>
        <v/>
      </c>
      <c r="J46" s="68">
        <f>IF(J$43&lt;=Rates!$D$71,'Sell-Compute'!$I$46-'Sell-Compute'!$I$40*(1-(J44/4)),0)</f>
        <v/>
      </c>
      <c r="K46" s="68">
        <f>IF(K$43&lt;=Rates!$D$71,'Sell-Compute'!$I$46-'Sell-Compute'!$I$40*(1-(K44/4)),0)</f>
        <v/>
      </c>
      <c r="L46" s="68">
        <f>IF(L$43&lt;=Rates!$D$71,'Sell-Compute'!$I$46-'Sell-Compute'!$I$40*(1-(L44/4)),0)</f>
        <v/>
      </c>
      <c r="M46" s="68">
        <f>IF(M$43&lt;=Rates!$D$71,'Sell-Compute'!$I$46-'Sell-Compute'!$I$40*(1-(M44/4)),0)</f>
        <v/>
      </c>
      <c r="N46" s="68">
        <f>IF(N$43&lt;=Rates!$D$71,'Sell-Compute'!$I$46-'Sell-Compute'!$I$40*(1-(N44/4)),0)</f>
        <v/>
      </c>
      <c r="O46" s="68">
        <f>IF(O$43&lt;=Rates!$D$71,'Sell-Compute'!$I$46-'Sell-Compute'!$I$40*(1-(O44/4)),0)</f>
        <v/>
      </c>
      <c r="P46" s="68">
        <f>IF(P$43&lt;=Rates!$D$71,'Sell-Compute'!$I$46-'Sell-Compute'!$I$40*(1-(P44/4)),0)</f>
        <v/>
      </c>
      <c r="Q46" s="68">
        <f>IF(Q$43&lt;=Rates!$D$71,'Sell-Compute'!$I$46-'Sell-Compute'!$I$40*(1-(Q44/4)),0)</f>
        <v/>
      </c>
      <c r="R46" s="68">
        <f>IF(R$43&lt;=Rates!$D$71,'Sell-Compute'!$I$46-'Sell-Compute'!$I$40*(1-(R44/4)),0)</f>
        <v/>
      </c>
      <c r="S46" s="68">
        <f>IF(S$43&lt;=Rates!$D$71,'Sell-Compute'!$I$46-'Sell-Compute'!$I$40*(1-(S44/4)),0)</f>
        <v/>
      </c>
      <c r="T46" s="68">
        <f>IF(T$43&lt;=Rates!$D$71,'Sell-Compute'!$I$46-'Sell-Compute'!$I$40*(1-(T44/4)),0)</f>
        <v/>
      </c>
      <c r="U46" s="68">
        <f>IF(U$43&lt;=Rates!$D$71,'Sell-Compute'!$I$46-'Sell-Compute'!$I$40*(1-(U44/4)),0)</f>
        <v/>
      </c>
      <c r="V46" s="68">
        <f>IF(V$43&lt;=Rates!$D$71,'Sell-Compute'!$I$46-'Sell-Compute'!$I$40*(1-(V44/4)),0)</f>
        <v/>
      </c>
      <c r="W46" s="68">
        <f>IF(W$43&lt;=Rates!$D$71,'Sell-Compute'!$I$46-'Sell-Compute'!$I$40*(1-(W44/4)),0)</f>
        <v/>
      </c>
      <c r="X46" s="68">
        <f>IF(X$43&lt;=Rates!$D$71,'Sell-Compute'!$I$46-'Sell-Compute'!$I$40*(1-(X44/4)),0)</f>
        <v/>
      </c>
      <c r="Y46" s="68">
        <f>IF(Y$43&lt;=Rates!$D$71,'Sell-Compute'!$I$46-'Sell-Compute'!$I$40*(1-(Y44/4)),0)</f>
        <v/>
      </c>
      <c r="Z46" s="68">
        <f>IF(Z$43&lt;=Rates!$D$71,'Sell-Compute'!$I$46-'Sell-Compute'!$I$40*(1-(Z44/4)),0)</f>
        <v/>
      </c>
      <c r="AA46" s="68">
        <f>IF(AA$43&lt;=Rates!$D$71,'Sell-Compute'!$I$46-'Sell-Compute'!$I$40*(1-(AA44/4)),0)</f>
        <v/>
      </c>
      <c r="AB46" s="68">
        <f>IF(AB$43&lt;=Rates!$D$71,'Sell-Compute'!$I$46-'Sell-Compute'!$I$40*(1-(AB44/4)),0)</f>
        <v/>
      </c>
    </row>
    <row r="47">
      <c r="A47" s="68" t="inlineStr">
        <is>
          <t>modules: EGS target 0.65 degC/yr</t>
        </is>
      </c>
      <c r="D47" s="68">
        <f>MAX(0,MIN(4,INT(MIN($C$20,$C$19*(Rates!$D$66*(($C$15-$B$35*(D$43-1))-$C$16-($C$16+273.15)*LN((($C$15-$B$35*(D$43-1))+273.15)/($C$16+273.15)))/$C$23*$C$24-$C$25))*$C$21/$C$22+1E-9)))</f>
        <v/>
      </c>
      <c r="E47" s="68">
        <f>MAX(0,MIN(4,INT(MIN($C$20,$C$19*(Rates!$D$66*(($C$15-$B$35*(E$43-1))-$C$16-($C$16+273.15)*LN((($C$15-$B$35*(E$43-1))+273.15)/($C$16+273.15)))/$C$23*$C$24-$C$25))*$C$21/$C$22+1E-9)))</f>
        <v/>
      </c>
      <c r="F47" s="68">
        <f>MAX(0,MIN(4,INT(MIN($C$20,$C$19*(Rates!$D$66*(($C$15-$B$35*(F$43-1))-$C$16-($C$16+273.15)*LN((($C$15-$B$35*(F$43-1))+273.15)/($C$16+273.15)))/$C$23*$C$24-$C$25))*$C$21/$C$22+1E-9)))</f>
        <v/>
      </c>
      <c r="G47" s="68">
        <f>MAX(0,MIN(4,INT(MIN($C$20,$C$19*(Rates!$D$66*(($C$15-$B$35*(G$43-1))-$C$16-($C$16+273.15)*LN((($C$15-$B$35*(G$43-1))+273.15)/($C$16+273.15)))/$C$23*$C$24-$C$25))*$C$21/$C$22+1E-9)))</f>
        <v/>
      </c>
      <c r="H47" s="68">
        <f>MAX(0,MIN(4,INT(MIN($C$20,$C$19*(Rates!$D$66*(($C$15-$B$35*(H$43-1))-$C$16-($C$16+273.15)*LN((($C$15-$B$35*(H$43-1))+273.15)/($C$16+273.15)))/$C$23*$C$24-$C$25))*$C$21/$C$22+1E-9)))</f>
        <v/>
      </c>
      <c r="I47" s="68">
        <f>MAX(0,MIN(4,INT(MIN($C$20,$C$19*(Rates!$D$66*(($C$15-$B$35*(I$43-1))-$C$16-($C$16+273.15)*LN((($C$15-$B$35*(I$43-1))+273.15)/($C$16+273.15)))/$C$23*$C$24-$C$25))*$C$21/$C$22+1E-9)))</f>
        <v/>
      </c>
      <c r="J47" s="68">
        <f>MAX(0,MIN(4,INT(MIN($C$20,$C$19*(Rates!$D$66*(($C$15-$B$35*(J$43-1))-$C$16-($C$16+273.15)*LN((($C$15-$B$35*(J$43-1))+273.15)/($C$16+273.15)))/$C$23*$C$24-$C$25))*$C$21/$C$22+1E-9)))</f>
        <v/>
      </c>
      <c r="K47" s="68">
        <f>MAX(0,MIN(4,INT(MIN($C$20,$C$19*(Rates!$D$66*(($C$15-$B$35*(K$43-1))-$C$16-($C$16+273.15)*LN((($C$15-$B$35*(K$43-1))+273.15)/($C$16+273.15)))/$C$23*$C$24-$C$25))*$C$21/$C$22+1E-9)))</f>
        <v/>
      </c>
      <c r="L47" s="68">
        <f>MAX(0,MIN(4,INT(MIN($C$20,$C$19*(Rates!$D$66*(($C$15-$B$35*(L$43-1))-$C$16-($C$16+273.15)*LN((($C$15-$B$35*(L$43-1))+273.15)/($C$16+273.15)))/$C$23*$C$24-$C$25))*$C$21/$C$22+1E-9)))</f>
        <v/>
      </c>
      <c r="M47" s="68">
        <f>MAX(0,MIN(4,INT(MIN($C$20,$C$19*(Rates!$D$66*(($C$15-$B$35*(M$43-1))-$C$16-($C$16+273.15)*LN((($C$15-$B$35*(M$43-1))+273.15)/($C$16+273.15)))/$C$23*$C$24-$C$25))*$C$21/$C$22+1E-9)))</f>
        <v/>
      </c>
      <c r="N47" s="68">
        <f>MAX(0,MIN(4,INT(MIN($C$20,$C$19*(Rates!$D$66*(($C$15-$B$35*(N$43-1))-$C$16-($C$16+273.15)*LN((($C$15-$B$35*(N$43-1))+273.15)/($C$16+273.15)))/$C$23*$C$24-$C$25))*$C$21/$C$22+1E-9)))</f>
        <v/>
      </c>
      <c r="O47" s="68">
        <f>MAX(0,MIN(4,INT(MIN($C$20,$C$19*(Rates!$D$66*(($C$15-$B$35*(O$43-1))-$C$16-($C$16+273.15)*LN((($C$15-$B$35*(O$43-1))+273.15)/($C$16+273.15)))/$C$23*$C$24-$C$25))*$C$21/$C$22+1E-9)))</f>
        <v/>
      </c>
      <c r="P47" s="68">
        <f>MAX(0,MIN(4,INT(MIN($C$20,$C$19*(Rates!$D$66*(($C$15-$B$35*(P$43-1))-$C$16-($C$16+273.15)*LN((($C$15-$B$35*(P$43-1))+273.15)/($C$16+273.15)))/$C$23*$C$24-$C$25))*$C$21/$C$22+1E-9)))</f>
        <v/>
      </c>
      <c r="Q47" s="68">
        <f>MAX(0,MIN(4,INT(MIN($C$20,$C$19*(Rates!$D$66*(($C$15-$B$35*(Q$43-1))-$C$16-($C$16+273.15)*LN((($C$15-$B$35*(Q$43-1))+273.15)/($C$16+273.15)))/$C$23*$C$24-$C$25))*$C$21/$C$22+1E-9)))</f>
        <v/>
      </c>
      <c r="R47" s="68">
        <f>MAX(0,MIN(4,INT(MIN($C$20,$C$19*(Rates!$D$66*(($C$15-$B$35*(R$43-1))-$C$16-($C$16+273.15)*LN((($C$15-$B$35*(R$43-1))+273.15)/($C$16+273.15)))/$C$23*$C$24-$C$25))*$C$21/$C$22+1E-9)))</f>
        <v/>
      </c>
      <c r="S47" s="68">
        <f>MAX(0,MIN(4,INT(MIN($C$20,$C$19*(Rates!$D$66*(($C$15-$B$35*(S$43-1))-$C$16-($C$16+273.15)*LN((($C$15-$B$35*(S$43-1))+273.15)/($C$16+273.15)))/$C$23*$C$24-$C$25))*$C$21/$C$22+1E-9)))</f>
        <v/>
      </c>
      <c r="T47" s="68">
        <f>MAX(0,MIN(4,INT(MIN($C$20,$C$19*(Rates!$D$66*(($C$15-$B$35*(T$43-1))-$C$16-($C$16+273.15)*LN((($C$15-$B$35*(T$43-1))+273.15)/($C$16+273.15)))/$C$23*$C$24-$C$25))*$C$21/$C$22+1E-9)))</f>
        <v/>
      </c>
      <c r="U47" s="68">
        <f>MAX(0,MIN(4,INT(MIN($C$20,$C$19*(Rates!$D$66*(($C$15-$B$35*(U$43-1))-$C$16-($C$16+273.15)*LN((($C$15-$B$35*(U$43-1))+273.15)/($C$16+273.15)))/$C$23*$C$24-$C$25))*$C$21/$C$22+1E-9)))</f>
        <v/>
      </c>
      <c r="V47" s="68">
        <f>MAX(0,MIN(4,INT(MIN($C$20,$C$19*(Rates!$D$66*(($C$15-$B$35*(V$43-1))-$C$16-($C$16+273.15)*LN((($C$15-$B$35*(V$43-1))+273.15)/($C$16+273.15)))/$C$23*$C$24-$C$25))*$C$21/$C$22+1E-9)))</f>
        <v/>
      </c>
      <c r="W47" s="68">
        <f>MAX(0,MIN(4,INT(MIN($C$20,$C$19*(Rates!$D$66*(($C$15-$B$35*(W$43-1))-$C$16-($C$16+273.15)*LN((($C$15-$B$35*(W$43-1))+273.15)/($C$16+273.15)))/$C$23*$C$24-$C$25))*$C$21/$C$22+1E-9)))</f>
        <v/>
      </c>
      <c r="X47" s="68">
        <f>MAX(0,MIN(4,INT(MIN($C$20,$C$19*(Rates!$D$66*(($C$15-$B$35*(X$43-1))-$C$16-($C$16+273.15)*LN((($C$15-$B$35*(X$43-1))+273.15)/($C$16+273.15)))/$C$23*$C$24-$C$25))*$C$21/$C$22+1E-9)))</f>
        <v/>
      </c>
      <c r="Y47" s="68">
        <f>MAX(0,MIN(4,INT(MIN($C$20,$C$19*(Rates!$D$66*(($C$15-$B$35*(Y$43-1))-$C$16-($C$16+273.15)*LN((($C$15-$B$35*(Y$43-1))+273.15)/($C$16+273.15)))/$C$23*$C$24-$C$25))*$C$21/$C$22+1E-9)))</f>
        <v/>
      </c>
      <c r="Z47" s="68">
        <f>MAX(0,MIN(4,INT(MIN($C$20,$C$19*(Rates!$D$66*(($C$15-$B$35*(Z$43-1))-$C$16-($C$16+273.15)*LN((($C$15-$B$35*(Z$43-1))+273.15)/($C$16+273.15)))/$C$23*$C$24-$C$25))*$C$21/$C$22+1E-9)))</f>
        <v/>
      </c>
      <c r="AA47" s="68">
        <f>MAX(0,MIN(4,INT(MIN($C$20,$C$19*(Rates!$D$66*(($C$15-$B$35*(AA$43-1))-$C$16-($C$16+273.15)*LN((($C$15-$B$35*(AA$43-1))+273.15)/($C$16+273.15)))/$C$23*$C$24-$C$25))*$C$21/$C$22+1E-9)))</f>
        <v/>
      </c>
      <c r="AB47" s="68">
        <f>MAX(0,MIN(4,INT(MIN($C$20,$C$19*(Rates!$D$66*(($C$15-$B$35*(AB$43-1))-$C$16-($C$16+273.15)*LN((($C$15-$B$35*(AB$43-1))+273.15)/($C$16+273.15)))/$C$23*$C$24-$C$25))*$C$21/$C$22+1E-9)))</f>
        <v/>
      </c>
    </row>
    <row r="48">
      <c r="A48" s="68" t="inlineStr">
        <is>
          <t>compute CF: EGS target 0.65 degC/yr</t>
        </is>
      </c>
      <c r="C48" s="68">
        <f>-'Sell-Compute'!$C$36</f>
        <v/>
      </c>
      <c r="D48" s="68">
        <f>IF(D$43&lt;=Rates!$D$71,('Sell-Compute'!$C$40-'Sell-Compute'!$C$42-'Sell-Compute'!$C$43)*(D47/4)-'Sell-Compute'!$C$41-'Sell-Compute'!$C$44-'Sell-Compute'!$C$45-IF(AND(MOD(D$43,'Sell-Compute'!$C$21)=0,D$43&lt;Rates!$D$71),'Sell-Compute'!$C$34*(D47/4),0),0)</f>
        <v/>
      </c>
      <c r="E48" s="68">
        <f>IF(E$43&lt;=Rates!$D$71,('Sell-Compute'!$C$40-'Sell-Compute'!$C$42-'Sell-Compute'!$C$43)*(E47/4)-'Sell-Compute'!$C$41-'Sell-Compute'!$C$44-'Sell-Compute'!$C$45-IF(AND(MOD(E$43,'Sell-Compute'!$C$21)=0,E$43&lt;Rates!$D$71),'Sell-Compute'!$C$34*(E47/4),0),0)</f>
        <v/>
      </c>
      <c r="F48" s="68">
        <f>IF(F$43&lt;=Rates!$D$71,('Sell-Compute'!$C$40-'Sell-Compute'!$C$42-'Sell-Compute'!$C$43)*(F47/4)-'Sell-Compute'!$C$41-'Sell-Compute'!$C$44-'Sell-Compute'!$C$45-IF(AND(MOD(F$43,'Sell-Compute'!$C$21)=0,F$43&lt;Rates!$D$71),'Sell-Compute'!$C$34*(F47/4),0),0)</f>
        <v/>
      </c>
      <c r="G48" s="68">
        <f>IF(G$43&lt;=Rates!$D$71,('Sell-Compute'!$C$40-'Sell-Compute'!$C$42-'Sell-Compute'!$C$43)*(G47/4)-'Sell-Compute'!$C$41-'Sell-Compute'!$C$44-'Sell-Compute'!$C$45-IF(AND(MOD(G$43,'Sell-Compute'!$C$21)=0,G$43&lt;Rates!$D$71),'Sell-Compute'!$C$34*(G47/4),0),0)</f>
        <v/>
      </c>
      <c r="H48" s="68">
        <f>IF(H$43&lt;=Rates!$D$71,('Sell-Compute'!$C$40-'Sell-Compute'!$C$42-'Sell-Compute'!$C$43)*(H47/4)-'Sell-Compute'!$C$41-'Sell-Compute'!$C$44-'Sell-Compute'!$C$45-IF(AND(MOD(H$43,'Sell-Compute'!$C$21)=0,H$43&lt;Rates!$D$71),'Sell-Compute'!$C$34*(H47/4),0),0)</f>
        <v/>
      </c>
      <c r="I48" s="68">
        <f>IF(I$43&lt;=Rates!$D$71,('Sell-Compute'!$C$40-'Sell-Compute'!$C$42-'Sell-Compute'!$C$43)*(I47/4)-'Sell-Compute'!$C$41-'Sell-Compute'!$C$44-'Sell-Compute'!$C$45-IF(AND(MOD(I$43,'Sell-Compute'!$C$21)=0,I$43&lt;Rates!$D$71),'Sell-Compute'!$C$34*(I47/4),0),0)</f>
        <v/>
      </c>
      <c r="J48" s="68">
        <f>IF(J$43&lt;=Rates!$D$71,('Sell-Compute'!$C$40-'Sell-Compute'!$C$42-'Sell-Compute'!$C$43)*(J47/4)-'Sell-Compute'!$C$41-'Sell-Compute'!$C$44-'Sell-Compute'!$C$45-IF(AND(MOD(J$43,'Sell-Compute'!$C$21)=0,J$43&lt;Rates!$D$71),'Sell-Compute'!$C$34*(J47/4),0),0)</f>
        <v/>
      </c>
      <c r="K48" s="68">
        <f>IF(K$43&lt;=Rates!$D$71,('Sell-Compute'!$C$40-'Sell-Compute'!$C$42-'Sell-Compute'!$C$43)*(K47/4)-'Sell-Compute'!$C$41-'Sell-Compute'!$C$44-'Sell-Compute'!$C$45-IF(AND(MOD(K$43,'Sell-Compute'!$C$21)=0,K$43&lt;Rates!$D$71),'Sell-Compute'!$C$34*(K47/4),0),0)</f>
        <v/>
      </c>
      <c r="L48" s="68">
        <f>IF(L$43&lt;=Rates!$D$71,('Sell-Compute'!$C$40-'Sell-Compute'!$C$42-'Sell-Compute'!$C$43)*(L47/4)-'Sell-Compute'!$C$41-'Sell-Compute'!$C$44-'Sell-Compute'!$C$45-IF(AND(MOD(L$43,'Sell-Compute'!$C$21)=0,L$43&lt;Rates!$D$71),'Sell-Compute'!$C$34*(L47/4),0),0)</f>
        <v/>
      </c>
      <c r="M48" s="68">
        <f>IF(M$43&lt;=Rates!$D$71,('Sell-Compute'!$C$40-'Sell-Compute'!$C$42-'Sell-Compute'!$C$43)*(M47/4)-'Sell-Compute'!$C$41-'Sell-Compute'!$C$44-'Sell-Compute'!$C$45-IF(AND(MOD(M$43,'Sell-Compute'!$C$21)=0,M$43&lt;Rates!$D$71),'Sell-Compute'!$C$34*(M47/4),0),0)</f>
        <v/>
      </c>
      <c r="N48" s="68">
        <f>IF(N$43&lt;=Rates!$D$71,('Sell-Compute'!$C$40-'Sell-Compute'!$C$42-'Sell-Compute'!$C$43)*(N47/4)-'Sell-Compute'!$C$41-'Sell-Compute'!$C$44-'Sell-Compute'!$C$45-IF(AND(MOD(N$43,'Sell-Compute'!$C$21)=0,N$43&lt;Rates!$D$71),'Sell-Compute'!$C$34*(N47/4),0),0)</f>
        <v/>
      </c>
      <c r="O48" s="68">
        <f>IF(O$43&lt;=Rates!$D$71,('Sell-Compute'!$C$40-'Sell-Compute'!$C$42-'Sell-Compute'!$C$43)*(O47/4)-'Sell-Compute'!$C$41-'Sell-Compute'!$C$44-'Sell-Compute'!$C$45-IF(AND(MOD(O$43,'Sell-Compute'!$C$21)=0,O$43&lt;Rates!$D$71),'Sell-Compute'!$C$34*(O47/4),0),0)</f>
        <v/>
      </c>
      <c r="P48" s="68">
        <f>IF(P$43&lt;=Rates!$D$71,('Sell-Compute'!$C$40-'Sell-Compute'!$C$42-'Sell-Compute'!$C$43)*(P47/4)-'Sell-Compute'!$C$41-'Sell-Compute'!$C$44-'Sell-Compute'!$C$45-IF(AND(MOD(P$43,'Sell-Compute'!$C$21)=0,P$43&lt;Rates!$D$71),'Sell-Compute'!$C$34*(P47/4),0),0)</f>
        <v/>
      </c>
      <c r="Q48" s="68">
        <f>IF(Q$43&lt;=Rates!$D$71,('Sell-Compute'!$C$40-'Sell-Compute'!$C$42-'Sell-Compute'!$C$43)*(Q47/4)-'Sell-Compute'!$C$41-'Sell-Compute'!$C$44-'Sell-Compute'!$C$45-IF(AND(MOD(Q$43,'Sell-Compute'!$C$21)=0,Q$43&lt;Rates!$D$71),'Sell-Compute'!$C$34*(Q47/4),0),0)</f>
        <v/>
      </c>
      <c r="R48" s="68">
        <f>IF(R$43&lt;=Rates!$D$71,('Sell-Compute'!$C$40-'Sell-Compute'!$C$42-'Sell-Compute'!$C$43)*(R47/4)-'Sell-Compute'!$C$41-'Sell-Compute'!$C$44-'Sell-Compute'!$C$45-IF(AND(MOD(R$43,'Sell-Compute'!$C$21)=0,R$43&lt;Rates!$D$71),'Sell-Compute'!$C$34*(R47/4),0),0)</f>
        <v/>
      </c>
      <c r="S48" s="68">
        <f>IF(S$43&lt;=Rates!$D$71,('Sell-Compute'!$C$40-'Sell-Compute'!$C$42-'Sell-Compute'!$C$43)*(S47/4)-'Sell-Compute'!$C$41-'Sell-Compute'!$C$44-'Sell-Compute'!$C$45-IF(AND(MOD(S$43,'Sell-Compute'!$C$21)=0,S$43&lt;Rates!$D$71),'Sell-Compute'!$C$34*(S47/4),0),0)</f>
        <v/>
      </c>
      <c r="T48" s="68">
        <f>IF(T$43&lt;=Rates!$D$71,('Sell-Compute'!$C$40-'Sell-Compute'!$C$42-'Sell-Compute'!$C$43)*(T47/4)-'Sell-Compute'!$C$41-'Sell-Compute'!$C$44-'Sell-Compute'!$C$45-IF(AND(MOD(T$43,'Sell-Compute'!$C$21)=0,T$43&lt;Rates!$D$71),'Sell-Compute'!$C$34*(T47/4),0),0)</f>
        <v/>
      </c>
      <c r="U48" s="68">
        <f>IF(U$43&lt;=Rates!$D$71,('Sell-Compute'!$C$40-'Sell-Compute'!$C$42-'Sell-Compute'!$C$43)*(U47/4)-'Sell-Compute'!$C$41-'Sell-Compute'!$C$44-'Sell-Compute'!$C$45-IF(AND(MOD(U$43,'Sell-Compute'!$C$21)=0,U$43&lt;Rates!$D$71),'Sell-Compute'!$C$34*(U47/4),0),0)</f>
        <v/>
      </c>
      <c r="V48" s="68">
        <f>IF(V$43&lt;=Rates!$D$71,('Sell-Compute'!$C$40-'Sell-Compute'!$C$42-'Sell-Compute'!$C$43)*(V47/4)-'Sell-Compute'!$C$41-'Sell-Compute'!$C$44-'Sell-Compute'!$C$45-IF(AND(MOD(V$43,'Sell-Compute'!$C$21)=0,V$43&lt;Rates!$D$71),'Sell-Compute'!$C$34*(V47/4),0),0)</f>
        <v/>
      </c>
      <c r="W48" s="68">
        <f>IF(W$43&lt;=Rates!$D$71,('Sell-Compute'!$C$40-'Sell-Compute'!$C$42-'Sell-Compute'!$C$43)*(W47/4)-'Sell-Compute'!$C$41-'Sell-Compute'!$C$44-'Sell-Compute'!$C$45-IF(AND(MOD(W$43,'Sell-Compute'!$C$21)=0,W$43&lt;Rates!$D$71),'Sell-Compute'!$C$34*(W47/4),0),0)</f>
        <v/>
      </c>
      <c r="X48" s="68">
        <f>IF(X$43&lt;=Rates!$D$71,('Sell-Compute'!$C$40-'Sell-Compute'!$C$42-'Sell-Compute'!$C$43)*(X47/4)-'Sell-Compute'!$C$41-'Sell-Compute'!$C$44-'Sell-Compute'!$C$45-IF(AND(MOD(X$43,'Sell-Compute'!$C$21)=0,X$43&lt;Rates!$D$71),'Sell-Compute'!$C$34*(X47/4),0),0)</f>
        <v/>
      </c>
      <c r="Y48" s="68">
        <f>IF(Y$43&lt;=Rates!$D$71,('Sell-Compute'!$C$40-'Sell-Compute'!$C$42-'Sell-Compute'!$C$43)*(Y47/4)-'Sell-Compute'!$C$41-'Sell-Compute'!$C$44-'Sell-Compute'!$C$45-IF(AND(MOD(Y$43,'Sell-Compute'!$C$21)=0,Y$43&lt;Rates!$D$71),'Sell-Compute'!$C$34*(Y47/4),0),0)</f>
        <v/>
      </c>
      <c r="Z48" s="68">
        <f>IF(Z$43&lt;=Rates!$D$71,('Sell-Compute'!$C$40-'Sell-Compute'!$C$42-'Sell-Compute'!$C$43)*(Z47/4)-'Sell-Compute'!$C$41-'Sell-Compute'!$C$44-'Sell-Compute'!$C$45-IF(AND(MOD(Z$43,'Sell-Compute'!$C$21)=0,Z$43&lt;Rates!$D$71),'Sell-Compute'!$C$34*(Z47/4),0),0)</f>
        <v/>
      </c>
      <c r="AA48" s="68">
        <f>IF(AA$43&lt;=Rates!$D$71,('Sell-Compute'!$C$40-'Sell-Compute'!$C$42-'Sell-Compute'!$C$43)*(AA47/4)-'Sell-Compute'!$C$41-'Sell-Compute'!$C$44-'Sell-Compute'!$C$45-IF(AND(MOD(AA$43,'Sell-Compute'!$C$21)=0,AA$43&lt;Rates!$D$71),'Sell-Compute'!$C$34*(AA47/4),0),0)</f>
        <v/>
      </c>
      <c r="AB48" s="68">
        <f>IF(AB$43&lt;=Rates!$D$71,('Sell-Compute'!$C$40-'Sell-Compute'!$C$42-'Sell-Compute'!$C$43)*(AB47/4)-'Sell-Compute'!$C$41-'Sell-Compute'!$C$44-'Sell-Compute'!$C$45-IF(AND(MOD(AB$43,'Sell-Compute'!$C$21)=0,AB$43&lt;Rates!$D$71),'Sell-Compute'!$C$34*(AB47/4),0),0)</f>
        <v/>
      </c>
    </row>
    <row r="49">
      <c r="A49" s="68" t="inlineStr">
        <is>
          <t>colo CF: EGS target 0.65 degC/yr</t>
        </is>
      </c>
      <c r="C49" s="68">
        <f>-'Sell-Compute'!$I$36</f>
        <v/>
      </c>
      <c r="D49" s="68">
        <f>IF(D$43&lt;=Rates!$D$71,'Sell-Compute'!$I$46-'Sell-Compute'!$I$40*(1-(D47/4)),0)</f>
        <v/>
      </c>
      <c r="E49" s="68">
        <f>IF(E$43&lt;=Rates!$D$71,'Sell-Compute'!$I$46-'Sell-Compute'!$I$40*(1-(E47/4)),0)</f>
        <v/>
      </c>
      <c r="F49" s="68">
        <f>IF(F$43&lt;=Rates!$D$71,'Sell-Compute'!$I$46-'Sell-Compute'!$I$40*(1-(F47/4)),0)</f>
        <v/>
      </c>
      <c r="G49" s="68">
        <f>IF(G$43&lt;=Rates!$D$71,'Sell-Compute'!$I$46-'Sell-Compute'!$I$40*(1-(G47/4)),0)</f>
        <v/>
      </c>
      <c r="H49" s="68">
        <f>IF(H$43&lt;=Rates!$D$71,'Sell-Compute'!$I$46-'Sell-Compute'!$I$40*(1-(H47/4)),0)</f>
        <v/>
      </c>
      <c r="I49" s="68">
        <f>IF(I$43&lt;=Rates!$D$71,'Sell-Compute'!$I$46-'Sell-Compute'!$I$40*(1-(I47/4)),0)</f>
        <v/>
      </c>
      <c r="J49" s="68">
        <f>IF(J$43&lt;=Rates!$D$71,'Sell-Compute'!$I$46-'Sell-Compute'!$I$40*(1-(J47/4)),0)</f>
        <v/>
      </c>
      <c r="K49" s="68">
        <f>IF(K$43&lt;=Rates!$D$71,'Sell-Compute'!$I$46-'Sell-Compute'!$I$40*(1-(K47/4)),0)</f>
        <v/>
      </c>
      <c r="L49" s="68">
        <f>IF(L$43&lt;=Rates!$D$71,'Sell-Compute'!$I$46-'Sell-Compute'!$I$40*(1-(L47/4)),0)</f>
        <v/>
      </c>
      <c r="M49" s="68">
        <f>IF(M$43&lt;=Rates!$D$71,'Sell-Compute'!$I$46-'Sell-Compute'!$I$40*(1-(M47/4)),0)</f>
        <v/>
      </c>
      <c r="N49" s="68">
        <f>IF(N$43&lt;=Rates!$D$71,'Sell-Compute'!$I$46-'Sell-Compute'!$I$40*(1-(N47/4)),0)</f>
        <v/>
      </c>
      <c r="O49" s="68">
        <f>IF(O$43&lt;=Rates!$D$71,'Sell-Compute'!$I$46-'Sell-Compute'!$I$40*(1-(O47/4)),0)</f>
        <v/>
      </c>
      <c r="P49" s="68">
        <f>IF(P$43&lt;=Rates!$D$71,'Sell-Compute'!$I$46-'Sell-Compute'!$I$40*(1-(P47/4)),0)</f>
        <v/>
      </c>
      <c r="Q49" s="68">
        <f>IF(Q$43&lt;=Rates!$D$71,'Sell-Compute'!$I$46-'Sell-Compute'!$I$40*(1-(Q47/4)),0)</f>
        <v/>
      </c>
      <c r="R49" s="68">
        <f>IF(R$43&lt;=Rates!$D$71,'Sell-Compute'!$I$46-'Sell-Compute'!$I$40*(1-(R47/4)),0)</f>
        <v/>
      </c>
      <c r="S49" s="68">
        <f>IF(S$43&lt;=Rates!$D$71,'Sell-Compute'!$I$46-'Sell-Compute'!$I$40*(1-(S47/4)),0)</f>
        <v/>
      </c>
      <c r="T49" s="68">
        <f>IF(T$43&lt;=Rates!$D$71,'Sell-Compute'!$I$46-'Sell-Compute'!$I$40*(1-(T47/4)),0)</f>
        <v/>
      </c>
      <c r="U49" s="68">
        <f>IF(U$43&lt;=Rates!$D$71,'Sell-Compute'!$I$46-'Sell-Compute'!$I$40*(1-(U47/4)),0)</f>
        <v/>
      </c>
      <c r="V49" s="68">
        <f>IF(V$43&lt;=Rates!$D$71,'Sell-Compute'!$I$46-'Sell-Compute'!$I$40*(1-(V47/4)),0)</f>
        <v/>
      </c>
      <c r="W49" s="68">
        <f>IF(W$43&lt;=Rates!$D$71,'Sell-Compute'!$I$46-'Sell-Compute'!$I$40*(1-(W47/4)),0)</f>
        <v/>
      </c>
      <c r="X49" s="68">
        <f>IF(X$43&lt;=Rates!$D$71,'Sell-Compute'!$I$46-'Sell-Compute'!$I$40*(1-(X47/4)),0)</f>
        <v/>
      </c>
      <c r="Y49" s="68">
        <f>IF(Y$43&lt;=Rates!$D$71,'Sell-Compute'!$I$46-'Sell-Compute'!$I$40*(1-(Y47/4)),0)</f>
        <v/>
      </c>
      <c r="Z49" s="68">
        <f>IF(Z$43&lt;=Rates!$D$71,'Sell-Compute'!$I$46-'Sell-Compute'!$I$40*(1-(Z47/4)),0)</f>
        <v/>
      </c>
      <c r="AA49" s="68">
        <f>IF(AA$43&lt;=Rates!$D$71,'Sell-Compute'!$I$46-'Sell-Compute'!$I$40*(1-(AA47/4)),0)</f>
        <v/>
      </c>
      <c r="AB49" s="68">
        <f>IF(AB$43&lt;=Rates!$D$71,'Sell-Compute'!$I$46-'Sell-Compute'!$I$40*(1-(AB47/4)),0)</f>
        <v/>
      </c>
    </row>
    <row r="50">
      <c r="A50" s="68" t="inlineStr">
        <is>
          <t>modules: Conventional wells 0.83 degC/yr</t>
        </is>
      </c>
      <c r="D50" s="68">
        <f>MAX(0,MIN(4,INT(MIN($C$20,$C$19*(Rates!$D$66*(($C$15-$B$36*(D$43-1))-$C$16-($C$16+273.15)*LN((($C$15-$B$36*(D$43-1))+273.15)/($C$16+273.15)))/$C$23*$C$24-$C$25))*$C$21/$C$22+1E-9)))</f>
        <v/>
      </c>
      <c r="E50" s="68">
        <f>MAX(0,MIN(4,INT(MIN($C$20,$C$19*(Rates!$D$66*(($C$15-$B$36*(E$43-1))-$C$16-($C$16+273.15)*LN((($C$15-$B$36*(E$43-1))+273.15)/($C$16+273.15)))/$C$23*$C$24-$C$25))*$C$21/$C$22+1E-9)))</f>
        <v/>
      </c>
      <c r="F50" s="68">
        <f>MAX(0,MIN(4,INT(MIN($C$20,$C$19*(Rates!$D$66*(($C$15-$B$36*(F$43-1))-$C$16-($C$16+273.15)*LN((($C$15-$B$36*(F$43-1))+273.15)/($C$16+273.15)))/$C$23*$C$24-$C$25))*$C$21/$C$22+1E-9)))</f>
        <v/>
      </c>
      <c r="G50" s="68">
        <f>MAX(0,MIN(4,INT(MIN($C$20,$C$19*(Rates!$D$66*(($C$15-$B$36*(G$43-1))-$C$16-($C$16+273.15)*LN((($C$15-$B$36*(G$43-1))+273.15)/($C$16+273.15)))/$C$23*$C$24-$C$25))*$C$21/$C$22+1E-9)))</f>
        <v/>
      </c>
      <c r="H50" s="68">
        <f>MAX(0,MIN(4,INT(MIN($C$20,$C$19*(Rates!$D$66*(($C$15-$B$36*(H$43-1))-$C$16-($C$16+273.15)*LN((($C$15-$B$36*(H$43-1))+273.15)/($C$16+273.15)))/$C$23*$C$24-$C$25))*$C$21/$C$22+1E-9)))</f>
        <v/>
      </c>
      <c r="I50" s="68">
        <f>MAX(0,MIN(4,INT(MIN($C$20,$C$19*(Rates!$D$66*(($C$15-$B$36*(I$43-1))-$C$16-($C$16+273.15)*LN((($C$15-$B$36*(I$43-1))+273.15)/($C$16+273.15)))/$C$23*$C$24-$C$25))*$C$21/$C$22+1E-9)))</f>
        <v/>
      </c>
      <c r="J50" s="68">
        <f>MAX(0,MIN(4,INT(MIN($C$20,$C$19*(Rates!$D$66*(($C$15-$B$36*(J$43-1))-$C$16-($C$16+273.15)*LN((($C$15-$B$36*(J$43-1))+273.15)/($C$16+273.15)))/$C$23*$C$24-$C$25))*$C$21/$C$22+1E-9)))</f>
        <v/>
      </c>
      <c r="K50" s="68">
        <f>MAX(0,MIN(4,INT(MIN($C$20,$C$19*(Rates!$D$66*(($C$15-$B$36*(K$43-1))-$C$16-($C$16+273.15)*LN((($C$15-$B$36*(K$43-1))+273.15)/($C$16+273.15)))/$C$23*$C$24-$C$25))*$C$21/$C$22+1E-9)))</f>
        <v/>
      </c>
      <c r="L50" s="68">
        <f>MAX(0,MIN(4,INT(MIN($C$20,$C$19*(Rates!$D$66*(($C$15-$B$36*(L$43-1))-$C$16-($C$16+273.15)*LN((($C$15-$B$36*(L$43-1))+273.15)/($C$16+273.15)))/$C$23*$C$24-$C$25))*$C$21/$C$22+1E-9)))</f>
        <v/>
      </c>
      <c r="M50" s="68">
        <f>MAX(0,MIN(4,INT(MIN($C$20,$C$19*(Rates!$D$66*(($C$15-$B$36*(M$43-1))-$C$16-($C$16+273.15)*LN((($C$15-$B$36*(M$43-1))+273.15)/($C$16+273.15)))/$C$23*$C$24-$C$25))*$C$21/$C$22+1E-9)))</f>
        <v/>
      </c>
      <c r="N50" s="68">
        <f>MAX(0,MIN(4,INT(MIN($C$20,$C$19*(Rates!$D$66*(($C$15-$B$36*(N$43-1))-$C$16-($C$16+273.15)*LN((($C$15-$B$36*(N$43-1))+273.15)/($C$16+273.15)))/$C$23*$C$24-$C$25))*$C$21/$C$22+1E-9)))</f>
        <v/>
      </c>
      <c r="O50" s="68">
        <f>MAX(0,MIN(4,INT(MIN($C$20,$C$19*(Rates!$D$66*(($C$15-$B$36*(O$43-1))-$C$16-($C$16+273.15)*LN((($C$15-$B$36*(O$43-1))+273.15)/($C$16+273.15)))/$C$23*$C$24-$C$25))*$C$21/$C$22+1E-9)))</f>
        <v/>
      </c>
      <c r="P50" s="68">
        <f>MAX(0,MIN(4,INT(MIN($C$20,$C$19*(Rates!$D$66*(($C$15-$B$36*(P$43-1))-$C$16-($C$16+273.15)*LN((($C$15-$B$36*(P$43-1))+273.15)/($C$16+273.15)))/$C$23*$C$24-$C$25))*$C$21/$C$22+1E-9)))</f>
        <v/>
      </c>
      <c r="Q50" s="68">
        <f>MAX(0,MIN(4,INT(MIN($C$20,$C$19*(Rates!$D$66*(($C$15-$B$36*(Q$43-1))-$C$16-($C$16+273.15)*LN((($C$15-$B$36*(Q$43-1))+273.15)/($C$16+273.15)))/$C$23*$C$24-$C$25))*$C$21/$C$22+1E-9)))</f>
        <v/>
      </c>
      <c r="R50" s="68">
        <f>MAX(0,MIN(4,INT(MIN($C$20,$C$19*(Rates!$D$66*(($C$15-$B$36*(R$43-1))-$C$16-($C$16+273.15)*LN((($C$15-$B$36*(R$43-1))+273.15)/($C$16+273.15)))/$C$23*$C$24-$C$25))*$C$21/$C$22+1E-9)))</f>
        <v/>
      </c>
      <c r="S50" s="68">
        <f>MAX(0,MIN(4,INT(MIN($C$20,$C$19*(Rates!$D$66*(($C$15-$B$36*(S$43-1))-$C$16-($C$16+273.15)*LN((($C$15-$B$36*(S$43-1))+273.15)/($C$16+273.15)))/$C$23*$C$24-$C$25))*$C$21/$C$22+1E-9)))</f>
        <v/>
      </c>
      <c r="T50" s="68">
        <f>MAX(0,MIN(4,INT(MIN($C$20,$C$19*(Rates!$D$66*(($C$15-$B$36*(T$43-1))-$C$16-($C$16+273.15)*LN((($C$15-$B$36*(T$43-1))+273.15)/($C$16+273.15)))/$C$23*$C$24-$C$25))*$C$21/$C$22+1E-9)))</f>
        <v/>
      </c>
      <c r="U50" s="68">
        <f>MAX(0,MIN(4,INT(MIN($C$20,$C$19*(Rates!$D$66*(($C$15-$B$36*(U$43-1))-$C$16-($C$16+273.15)*LN((($C$15-$B$36*(U$43-1))+273.15)/($C$16+273.15)))/$C$23*$C$24-$C$25))*$C$21/$C$22+1E-9)))</f>
        <v/>
      </c>
      <c r="V50" s="68">
        <f>MAX(0,MIN(4,INT(MIN($C$20,$C$19*(Rates!$D$66*(($C$15-$B$36*(V$43-1))-$C$16-($C$16+273.15)*LN((($C$15-$B$36*(V$43-1))+273.15)/($C$16+273.15)))/$C$23*$C$24-$C$25))*$C$21/$C$22+1E-9)))</f>
        <v/>
      </c>
      <c r="W50" s="68">
        <f>MAX(0,MIN(4,INT(MIN($C$20,$C$19*(Rates!$D$66*(($C$15-$B$36*(W$43-1))-$C$16-($C$16+273.15)*LN((($C$15-$B$36*(W$43-1))+273.15)/($C$16+273.15)))/$C$23*$C$24-$C$25))*$C$21/$C$22+1E-9)))</f>
        <v/>
      </c>
      <c r="X50" s="68">
        <f>MAX(0,MIN(4,INT(MIN($C$20,$C$19*(Rates!$D$66*(($C$15-$B$36*(X$43-1))-$C$16-($C$16+273.15)*LN((($C$15-$B$36*(X$43-1))+273.15)/($C$16+273.15)))/$C$23*$C$24-$C$25))*$C$21/$C$22+1E-9)))</f>
        <v/>
      </c>
      <c r="Y50" s="68">
        <f>MAX(0,MIN(4,INT(MIN($C$20,$C$19*(Rates!$D$66*(($C$15-$B$36*(Y$43-1))-$C$16-($C$16+273.15)*LN((($C$15-$B$36*(Y$43-1))+273.15)/($C$16+273.15)))/$C$23*$C$24-$C$25))*$C$21/$C$22+1E-9)))</f>
        <v/>
      </c>
      <c r="Z50" s="68">
        <f>MAX(0,MIN(4,INT(MIN($C$20,$C$19*(Rates!$D$66*(($C$15-$B$36*(Z$43-1))-$C$16-($C$16+273.15)*LN((($C$15-$B$36*(Z$43-1))+273.15)/($C$16+273.15)))/$C$23*$C$24-$C$25))*$C$21/$C$22+1E-9)))</f>
        <v/>
      </c>
      <c r="AA50" s="68">
        <f>MAX(0,MIN(4,INT(MIN($C$20,$C$19*(Rates!$D$66*(($C$15-$B$36*(AA$43-1))-$C$16-($C$16+273.15)*LN((($C$15-$B$36*(AA$43-1))+273.15)/($C$16+273.15)))/$C$23*$C$24-$C$25))*$C$21/$C$22+1E-9)))</f>
        <v/>
      </c>
      <c r="AB50" s="68">
        <f>MAX(0,MIN(4,INT(MIN($C$20,$C$19*(Rates!$D$66*(($C$15-$B$36*(AB$43-1))-$C$16-($C$16+273.15)*LN((($C$15-$B$36*(AB$43-1))+273.15)/($C$16+273.15)))/$C$23*$C$24-$C$25))*$C$21/$C$22+1E-9)))</f>
        <v/>
      </c>
    </row>
    <row r="51">
      <c r="A51" s="68" t="inlineStr">
        <is>
          <t>compute CF: Conventional wells 0.83 degC/yr</t>
        </is>
      </c>
      <c r="C51" s="68">
        <f>-'Sell-Compute'!$C$36</f>
        <v/>
      </c>
      <c r="D51" s="68">
        <f>IF(D$43&lt;=Rates!$D$71,('Sell-Compute'!$C$40-'Sell-Compute'!$C$42-'Sell-Compute'!$C$43)*(D50/4)-'Sell-Compute'!$C$41-'Sell-Compute'!$C$44-'Sell-Compute'!$C$45-IF(AND(MOD(D$43,'Sell-Compute'!$C$21)=0,D$43&lt;Rates!$D$71),'Sell-Compute'!$C$34*(D50/4),0),0)</f>
        <v/>
      </c>
      <c r="E51" s="68">
        <f>IF(E$43&lt;=Rates!$D$71,('Sell-Compute'!$C$40-'Sell-Compute'!$C$42-'Sell-Compute'!$C$43)*(E50/4)-'Sell-Compute'!$C$41-'Sell-Compute'!$C$44-'Sell-Compute'!$C$45-IF(AND(MOD(E$43,'Sell-Compute'!$C$21)=0,E$43&lt;Rates!$D$71),'Sell-Compute'!$C$34*(E50/4),0),0)</f>
        <v/>
      </c>
      <c r="F51" s="68">
        <f>IF(F$43&lt;=Rates!$D$71,('Sell-Compute'!$C$40-'Sell-Compute'!$C$42-'Sell-Compute'!$C$43)*(F50/4)-'Sell-Compute'!$C$41-'Sell-Compute'!$C$44-'Sell-Compute'!$C$45-IF(AND(MOD(F$43,'Sell-Compute'!$C$21)=0,F$43&lt;Rates!$D$71),'Sell-Compute'!$C$34*(F50/4),0),0)</f>
        <v/>
      </c>
      <c r="G51" s="68">
        <f>IF(G$43&lt;=Rates!$D$71,('Sell-Compute'!$C$40-'Sell-Compute'!$C$42-'Sell-Compute'!$C$43)*(G50/4)-'Sell-Compute'!$C$41-'Sell-Compute'!$C$44-'Sell-Compute'!$C$45-IF(AND(MOD(G$43,'Sell-Compute'!$C$21)=0,G$43&lt;Rates!$D$71),'Sell-Compute'!$C$34*(G50/4),0),0)</f>
        <v/>
      </c>
      <c r="H51" s="68">
        <f>IF(H$43&lt;=Rates!$D$71,('Sell-Compute'!$C$40-'Sell-Compute'!$C$42-'Sell-Compute'!$C$43)*(H50/4)-'Sell-Compute'!$C$41-'Sell-Compute'!$C$44-'Sell-Compute'!$C$45-IF(AND(MOD(H$43,'Sell-Compute'!$C$21)=0,H$43&lt;Rates!$D$71),'Sell-Compute'!$C$34*(H50/4),0),0)</f>
        <v/>
      </c>
      <c r="I51" s="68">
        <f>IF(I$43&lt;=Rates!$D$71,('Sell-Compute'!$C$40-'Sell-Compute'!$C$42-'Sell-Compute'!$C$43)*(I50/4)-'Sell-Compute'!$C$41-'Sell-Compute'!$C$44-'Sell-Compute'!$C$45-IF(AND(MOD(I$43,'Sell-Compute'!$C$21)=0,I$43&lt;Rates!$D$71),'Sell-Compute'!$C$34*(I50/4),0),0)</f>
        <v/>
      </c>
      <c r="J51" s="68">
        <f>IF(J$43&lt;=Rates!$D$71,('Sell-Compute'!$C$40-'Sell-Compute'!$C$42-'Sell-Compute'!$C$43)*(J50/4)-'Sell-Compute'!$C$41-'Sell-Compute'!$C$44-'Sell-Compute'!$C$45-IF(AND(MOD(J$43,'Sell-Compute'!$C$21)=0,J$43&lt;Rates!$D$71),'Sell-Compute'!$C$34*(J50/4),0),0)</f>
        <v/>
      </c>
      <c r="K51" s="68">
        <f>IF(K$43&lt;=Rates!$D$71,('Sell-Compute'!$C$40-'Sell-Compute'!$C$42-'Sell-Compute'!$C$43)*(K50/4)-'Sell-Compute'!$C$41-'Sell-Compute'!$C$44-'Sell-Compute'!$C$45-IF(AND(MOD(K$43,'Sell-Compute'!$C$21)=0,K$43&lt;Rates!$D$71),'Sell-Compute'!$C$34*(K50/4),0),0)</f>
        <v/>
      </c>
      <c r="L51" s="68">
        <f>IF(L$43&lt;=Rates!$D$71,('Sell-Compute'!$C$40-'Sell-Compute'!$C$42-'Sell-Compute'!$C$43)*(L50/4)-'Sell-Compute'!$C$41-'Sell-Compute'!$C$44-'Sell-Compute'!$C$45-IF(AND(MOD(L$43,'Sell-Compute'!$C$21)=0,L$43&lt;Rates!$D$71),'Sell-Compute'!$C$34*(L50/4),0),0)</f>
        <v/>
      </c>
      <c r="M51" s="68">
        <f>IF(M$43&lt;=Rates!$D$71,('Sell-Compute'!$C$40-'Sell-Compute'!$C$42-'Sell-Compute'!$C$43)*(M50/4)-'Sell-Compute'!$C$41-'Sell-Compute'!$C$44-'Sell-Compute'!$C$45-IF(AND(MOD(M$43,'Sell-Compute'!$C$21)=0,M$43&lt;Rates!$D$71),'Sell-Compute'!$C$34*(M50/4),0),0)</f>
        <v/>
      </c>
      <c r="N51" s="68">
        <f>IF(N$43&lt;=Rates!$D$71,('Sell-Compute'!$C$40-'Sell-Compute'!$C$42-'Sell-Compute'!$C$43)*(N50/4)-'Sell-Compute'!$C$41-'Sell-Compute'!$C$44-'Sell-Compute'!$C$45-IF(AND(MOD(N$43,'Sell-Compute'!$C$21)=0,N$43&lt;Rates!$D$71),'Sell-Compute'!$C$34*(N50/4),0),0)</f>
        <v/>
      </c>
      <c r="O51" s="68">
        <f>IF(O$43&lt;=Rates!$D$71,('Sell-Compute'!$C$40-'Sell-Compute'!$C$42-'Sell-Compute'!$C$43)*(O50/4)-'Sell-Compute'!$C$41-'Sell-Compute'!$C$44-'Sell-Compute'!$C$45-IF(AND(MOD(O$43,'Sell-Compute'!$C$21)=0,O$43&lt;Rates!$D$71),'Sell-Compute'!$C$34*(O50/4),0),0)</f>
        <v/>
      </c>
      <c r="P51" s="68">
        <f>IF(P$43&lt;=Rates!$D$71,('Sell-Compute'!$C$40-'Sell-Compute'!$C$42-'Sell-Compute'!$C$43)*(P50/4)-'Sell-Compute'!$C$41-'Sell-Compute'!$C$44-'Sell-Compute'!$C$45-IF(AND(MOD(P$43,'Sell-Compute'!$C$21)=0,P$43&lt;Rates!$D$71),'Sell-Compute'!$C$34*(P50/4),0),0)</f>
        <v/>
      </c>
      <c r="Q51" s="68">
        <f>IF(Q$43&lt;=Rates!$D$71,('Sell-Compute'!$C$40-'Sell-Compute'!$C$42-'Sell-Compute'!$C$43)*(Q50/4)-'Sell-Compute'!$C$41-'Sell-Compute'!$C$44-'Sell-Compute'!$C$45-IF(AND(MOD(Q$43,'Sell-Compute'!$C$21)=0,Q$43&lt;Rates!$D$71),'Sell-Compute'!$C$34*(Q50/4),0),0)</f>
        <v/>
      </c>
      <c r="R51" s="68">
        <f>IF(R$43&lt;=Rates!$D$71,('Sell-Compute'!$C$40-'Sell-Compute'!$C$42-'Sell-Compute'!$C$43)*(R50/4)-'Sell-Compute'!$C$41-'Sell-Compute'!$C$44-'Sell-Compute'!$C$45-IF(AND(MOD(R$43,'Sell-Compute'!$C$21)=0,R$43&lt;Rates!$D$71),'Sell-Compute'!$C$34*(R50/4),0),0)</f>
        <v/>
      </c>
      <c r="S51" s="68">
        <f>IF(S$43&lt;=Rates!$D$71,('Sell-Compute'!$C$40-'Sell-Compute'!$C$42-'Sell-Compute'!$C$43)*(S50/4)-'Sell-Compute'!$C$41-'Sell-Compute'!$C$44-'Sell-Compute'!$C$45-IF(AND(MOD(S$43,'Sell-Compute'!$C$21)=0,S$43&lt;Rates!$D$71),'Sell-Compute'!$C$34*(S50/4),0),0)</f>
        <v/>
      </c>
      <c r="T51" s="68">
        <f>IF(T$43&lt;=Rates!$D$71,('Sell-Compute'!$C$40-'Sell-Compute'!$C$42-'Sell-Compute'!$C$43)*(T50/4)-'Sell-Compute'!$C$41-'Sell-Compute'!$C$44-'Sell-Compute'!$C$45-IF(AND(MOD(T$43,'Sell-Compute'!$C$21)=0,T$43&lt;Rates!$D$71),'Sell-Compute'!$C$34*(T50/4),0),0)</f>
        <v/>
      </c>
      <c r="U51" s="68">
        <f>IF(U$43&lt;=Rates!$D$71,('Sell-Compute'!$C$40-'Sell-Compute'!$C$42-'Sell-Compute'!$C$43)*(U50/4)-'Sell-Compute'!$C$41-'Sell-Compute'!$C$44-'Sell-Compute'!$C$45-IF(AND(MOD(U$43,'Sell-Compute'!$C$21)=0,U$43&lt;Rates!$D$71),'Sell-Compute'!$C$34*(U50/4),0),0)</f>
        <v/>
      </c>
      <c r="V51" s="68">
        <f>IF(V$43&lt;=Rates!$D$71,('Sell-Compute'!$C$40-'Sell-Compute'!$C$42-'Sell-Compute'!$C$43)*(V50/4)-'Sell-Compute'!$C$41-'Sell-Compute'!$C$44-'Sell-Compute'!$C$45-IF(AND(MOD(V$43,'Sell-Compute'!$C$21)=0,V$43&lt;Rates!$D$71),'Sell-Compute'!$C$34*(V50/4),0),0)</f>
        <v/>
      </c>
      <c r="W51" s="68">
        <f>IF(W$43&lt;=Rates!$D$71,('Sell-Compute'!$C$40-'Sell-Compute'!$C$42-'Sell-Compute'!$C$43)*(W50/4)-'Sell-Compute'!$C$41-'Sell-Compute'!$C$44-'Sell-Compute'!$C$45-IF(AND(MOD(W$43,'Sell-Compute'!$C$21)=0,W$43&lt;Rates!$D$71),'Sell-Compute'!$C$34*(W50/4),0),0)</f>
        <v/>
      </c>
      <c r="X51" s="68">
        <f>IF(X$43&lt;=Rates!$D$71,('Sell-Compute'!$C$40-'Sell-Compute'!$C$42-'Sell-Compute'!$C$43)*(X50/4)-'Sell-Compute'!$C$41-'Sell-Compute'!$C$44-'Sell-Compute'!$C$45-IF(AND(MOD(X$43,'Sell-Compute'!$C$21)=0,X$43&lt;Rates!$D$71),'Sell-Compute'!$C$34*(X50/4),0),0)</f>
        <v/>
      </c>
      <c r="Y51" s="68">
        <f>IF(Y$43&lt;=Rates!$D$71,('Sell-Compute'!$C$40-'Sell-Compute'!$C$42-'Sell-Compute'!$C$43)*(Y50/4)-'Sell-Compute'!$C$41-'Sell-Compute'!$C$44-'Sell-Compute'!$C$45-IF(AND(MOD(Y$43,'Sell-Compute'!$C$21)=0,Y$43&lt;Rates!$D$71),'Sell-Compute'!$C$34*(Y50/4),0),0)</f>
        <v/>
      </c>
      <c r="Z51" s="68">
        <f>IF(Z$43&lt;=Rates!$D$71,('Sell-Compute'!$C$40-'Sell-Compute'!$C$42-'Sell-Compute'!$C$43)*(Z50/4)-'Sell-Compute'!$C$41-'Sell-Compute'!$C$44-'Sell-Compute'!$C$45-IF(AND(MOD(Z$43,'Sell-Compute'!$C$21)=0,Z$43&lt;Rates!$D$71),'Sell-Compute'!$C$34*(Z50/4),0),0)</f>
        <v/>
      </c>
      <c r="AA51" s="68">
        <f>IF(AA$43&lt;=Rates!$D$71,('Sell-Compute'!$C$40-'Sell-Compute'!$C$42-'Sell-Compute'!$C$43)*(AA50/4)-'Sell-Compute'!$C$41-'Sell-Compute'!$C$44-'Sell-Compute'!$C$45-IF(AND(MOD(AA$43,'Sell-Compute'!$C$21)=0,AA$43&lt;Rates!$D$71),'Sell-Compute'!$C$34*(AA50/4),0),0)</f>
        <v/>
      </c>
      <c r="AB51" s="68">
        <f>IF(AB$43&lt;=Rates!$D$71,('Sell-Compute'!$C$40-'Sell-Compute'!$C$42-'Sell-Compute'!$C$43)*(AB50/4)-'Sell-Compute'!$C$41-'Sell-Compute'!$C$44-'Sell-Compute'!$C$45-IF(AND(MOD(AB$43,'Sell-Compute'!$C$21)=0,AB$43&lt;Rates!$D$71),'Sell-Compute'!$C$34*(AB50/4),0),0)</f>
        <v/>
      </c>
    </row>
    <row r="52">
      <c r="A52" s="68" t="inlineStr">
        <is>
          <t>colo CF: Conventional wells 0.83 degC/yr</t>
        </is>
      </c>
      <c r="C52" s="68">
        <f>-'Sell-Compute'!$I$36</f>
        <v/>
      </c>
      <c r="D52" s="68">
        <f>IF(D$43&lt;=Rates!$D$71,'Sell-Compute'!$I$46-'Sell-Compute'!$I$40*(1-(D50/4)),0)</f>
        <v/>
      </c>
      <c r="E52" s="68">
        <f>IF(E$43&lt;=Rates!$D$71,'Sell-Compute'!$I$46-'Sell-Compute'!$I$40*(1-(E50/4)),0)</f>
        <v/>
      </c>
      <c r="F52" s="68">
        <f>IF(F$43&lt;=Rates!$D$71,'Sell-Compute'!$I$46-'Sell-Compute'!$I$40*(1-(F50/4)),0)</f>
        <v/>
      </c>
      <c r="G52" s="68">
        <f>IF(G$43&lt;=Rates!$D$71,'Sell-Compute'!$I$46-'Sell-Compute'!$I$40*(1-(G50/4)),0)</f>
        <v/>
      </c>
      <c r="H52" s="68">
        <f>IF(H$43&lt;=Rates!$D$71,'Sell-Compute'!$I$46-'Sell-Compute'!$I$40*(1-(H50/4)),0)</f>
        <v/>
      </c>
      <c r="I52" s="68">
        <f>IF(I$43&lt;=Rates!$D$71,'Sell-Compute'!$I$46-'Sell-Compute'!$I$40*(1-(I50/4)),0)</f>
        <v/>
      </c>
      <c r="J52" s="68">
        <f>IF(J$43&lt;=Rates!$D$71,'Sell-Compute'!$I$46-'Sell-Compute'!$I$40*(1-(J50/4)),0)</f>
        <v/>
      </c>
      <c r="K52" s="68">
        <f>IF(K$43&lt;=Rates!$D$71,'Sell-Compute'!$I$46-'Sell-Compute'!$I$40*(1-(K50/4)),0)</f>
        <v/>
      </c>
      <c r="L52" s="68">
        <f>IF(L$43&lt;=Rates!$D$71,'Sell-Compute'!$I$46-'Sell-Compute'!$I$40*(1-(L50/4)),0)</f>
        <v/>
      </c>
      <c r="M52" s="68">
        <f>IF(M$43&lt;=Rates!$D$71,'Sell-Compute'!$I$46-'Sell-Compute'!$I$40*(1-(M50/4)),0)</f>
        <v/>
      </c>
      <c r="N52" s="68">
        <f>IF(N$43&lt;=Rates!$D$71,'Sell-Compute'!$I$46-'Sell-Compute'!$I$40*(1-(N50/4)),0)</f>
        <v/>
      </c>
      <c r="O52" s="68">
        <f>IF(O$43&lt;=Rates!$D$71,'Sell-Compute'!$I$46-'Sell-Compute'!$I$40*(1-(O50/4)),0)</f>
        <v/>
      </c>
      <c r="P52" s="68">
        <f>IF(P$43&lt;=Rates!$D$71,'Sell-Compute'!$I$46-'Sell-Compute'!$I$40*(1-(P50/4)),0)</f>
        <v/>
      </c>
      <c r="Q52" s="68">
        <f>IF(Q$43&lt;=Rates!$D$71,'Sell-Compute'!$I$46-'Sell-Compute'!$I$40*(1-(Q50/4)),0)</f>
        <v/>
      </c>
      <c r="R52" s="68">
        <f>IF(R$43&lt;=Rates!$D$71,'Sell-Compute'!$I$46-'Sell-Compute'!$I$40*(1-(R50/4)),0)</f>
        <v/>
      </c>
      <c r="S52" s="68">
        <f>IF(S$43&lt;=Rates!$D$71,'Sell-Compute'!$I$46-'Sell-Compute'!$I$40*(1-(S50/4)),0)</f>
        <v/>
      </c>
      <c r="T52" s="68">
        <f>IF(T$43&lt;=Rates!$D$71,'Sell-Compute'!$I$46-'Sell-Compute'!$I$40*(1-(T50/4)),0)</f>
        <v/>
      </c>
      <c r="U52" s="68">
        <f>IF(U$43&lt;=Rates!$D$71,'Sell-Compute'!$I$46-'Sell-Compute'!$I$40*(1-(U50/4)),0)</f>
        <v/>
      </c>
      <c r="V52" s="68">
        <f>IF(V$43&lt;=Rates!$D$71,'Sell-Compute'!$I$46-'Sell-Compute'!$I$40*(1-(V50/4)),0)</f>
        <v/>
      </c>
      <c r="W52" s="68">
        <f>IF(W$43&lt;=Rates!$D$71,'Sell-Compute'!$I$46-'Sell-Compute'!$I$40*(1-(W50/4)),0)</f>
        <v/>
      </c>
      <c r="X52" s="68">
        <f>IF(X$43&lt;=Rates!$D$71,'Sell-Compute'!$I$46-'Sell-Compute'!$I$40*(1-(X50/4)),0)</f>
        <v/>
      </c>
      <c r="Y52" s="68">
        <f>IF(Y$43&lt;=Rates!$D$71,'Sell-Compute'!$I$46-'Sell-Compute'!$I$40*(1-(Y50/4)),0)</f>
        <v/>
      </c>
      <c r="Z52" s="68">
        <f>IF(Z$43&lt;=Rates!$D$71,'Sell-Compute'!$I$46-'Sell-Compute'!$I$40*(1-(Z50/4)),0)</f>
        <v/>
      </c>
      <c r="AA52" s="68">
        <f>IF(AA$43&lt;=Rates!$D$71,'Sell-Compute'!$I$46-'Sell-Compute'!$I$40*(1-(AA50/4)),0)</f>
        <v/>
      </c>
      <c r="AB52" s="68">
        <f>IF(AB$43&lt;=Rates!$D$71,'Sell-Compute'!$I$46-'Sell-Compute'!$I$40*(1-(AB50/4)),0)</f>
        <v/>
      </c>
    </row>
    <row r="53">
      <c r="A53" s="68" t="inlineStr">
        <is>
          <t>modules: Intermediate 2.0 degC/yr (ASSUMPTION)</t>
        </is>
      </c>
      <c r="D53" s="68">
        <f>MAX(0,MIN(4,INT(MIN($C$20,$C$19*(Rates!$D$66*(($C$15-$B$37*(D$43-1))-$C$16-($C$16+273.15)*LN((($C$15-$B$37*(D$43-1))+273.15)/($C$16+273.15)))/$C$23*$C$24-$C$25))*$C$21/$C$22+1E-9)))</f>
        <v/>
      </c>
      <c r="E53" s="68">
        <f>MAX(0,MIN(4,INT(MIN($C$20,$C$19*(Rates!$D$66*(($C$15-$B$37*(E$43-1))-$C$16-($C$16+273.15)*LN((($C$15-$B$37*(E$43-1))+273.15)/($C$16+273.15)))/$C$23*$C$24-$C$25))*$C$21/$C$22+1E-9)))</f>
        <v/>
      </c>
      <c r="F53" s="68">
        <f>MAX(0,MIN(4,INT(MIN($C$20,$C$19*(Rates!$D$66*(($C$15-$B$37*(F$43-1))-$C$16-($C$16+273.15)*LN((($C$15-$B$37*(F$43-1))+273.15)/($C$16+273.15)))/$C$23*$C$24-$C$25))*$C$21/$C$22+1E-9)))</f>
        <v/>
      </c>
      <c r="G53" s="68">
        <f>MAX(0,MIN(4,INT(MIN($C$20,$C$19*(Rates!$D$66*(($C$15-$B$37*(G$43-1))-$C$16-($C$16+273.15)*LN((($C$15-$B$37*(G$43-1))+273.15)/($C$16+273.15)))/$C$23*$C$24-$C$25))*$C$21/$C$22+1E-9)))</f>
        <v/>
      </c>
      <c r="H53" s="68">
        <f>MAX(0,MIN(4,INT(MIN($C$20,$C$19*(Rates!$D$66*(($C$15-$B$37*(H$43-1))-$C$16-($C$16+273.15)*LN((($C$15-$B$37*(H$43-1))+273.15)/($C$16+273.15)))/$C$23*$C$24-$C$25))*$C$21/$C$22+1E-9)))</f>
        <v/>
      </c>
      <c r="I53" s="68">
        <f>MAX(0,MIN(4,INT(MIN($C$20,$C$19*(Rates!$D$66*(($C$15-$B$37*(I$43-1))-$C$16-($C$16+273.15)*LN((($C$15-$B$37*(I$43-1))+273.15)/($C$16+273.15)))/$C$23*$C$24-$C$25))*$C$21/$C$22+1E-9)))</f>
        <v/>
      </c>
      <c r="J53" s="68">
        <f>MAX(0,MIN(4,INT(MIN($C$20,$C$19*(Rates!$D$66*(($C$15-$B$37*(J$43-1))-$C$16-($C$16+273.15)*LN((($C$15-$B$37*(J$43-1))+273.15)/($C$16+273.15)))/$C$23*$C$24-$C$25))*$C$21/$C$22+1E-9)))</f>
        <v/>
      </c>
      <c r="K53" s="68">
        <f>MAX(0,MIN(4,INT(MIN($C$20,$C$19*(Rates!$D$66*(($C$15-$B$37*(K$43-1))-$C$16-($C$16+273.15)*LN((($C$15-$B$37*(K$43-1))+273.15)/($C$16+273.15)))/$C$23*$C$24-$C$25))*$C$21/$C$22+1E-9)))</f>
        <v/>
      </c>
      <c r="L53" s="68">
        <f>MAX(0,MIN(4,INT(MIN($C$20,$C$19*(Rates!$D$66*(($C$15-$B$37*(L$43-1))-$C$16-($C$16+273.15)*LN((($C$15-$B$37*(L$43-1))+273.15)/($C$16+273.15)))/$C$23*$C$24-$C$25))*$C$21/$C$22+1E-9)))</f>
        <v/>
      </c>
      <c r="M53" s="68">
        <f>MAX(0,MIN(4,INT(MIN($C$20,$C$19*(Rates!$D$66*(($C$15-$B$37*(M$43-1))-$C$16-($C$16+273.15)*LN((($C$15-$B$37*(M$43-1))+273.15)/($C$16+273.15)))/$C$23*$C$24-$C$25))*$C$21/$C$22+1E-9)))</f>
        <v/>
      </c>
      <c r="N53" s="68">
        <f>MAX(0,MIN(4,INT(MIN($C$20,$C$19*(Rates!$D$66*(($C$15-$B$37*(N$43-1))-$C$16-($C$16+273.15)*LN((($C$15-$B$37*(N$43-1))+273.15)/($C$16+273.15)))/$C$23*$C$24-$C$25))*$C$21/$C$22+1E-9)))</f>
        <v/>
      </c>
      <c r="O53" s="68">
        <f>MAX(0,MIN(4,INT(MIN($C$20,$C$19*(Rates!$D$66*(($C$15-$B$37*(O$43-1))-$C$16-($C$16+273.15)*LN((($C$15-$B$37*(O$43-1))+273.15)/($C$16+273.15)))/$C$23*$C$24-$C$25))*$C$21/$C$22+1E-9)))</f>
        <v/>
      </c>
      <c r="P53" s="68">
        <f>MAX(0,MIN(4,INT(MIN($C$20,$C$19*(Rates!$D$66*(($C$15-$B$37*(P$43-1))-$C$16-($C$16+273.15)*LN((($C$15-$B$37*(P$43-1))+273.15)/($C$16+273.15)))/$C$23*$C$24-$C$25))*$C$21/$C$22+1E-9)))</f>
        <v/>
      </c>
      <c r="Q53" s="68">
        <f>MAX(0,MIN(4,INT(MIN($C$20,$C$19*(Rates!$D$66*(($C$15-$B$37*(Q$43-1))-$C$16-($C$16+273.15)*LN((($C$15-$B$37*(Q$43-1))+273.15)/($C$16+273.15)))/$C$23*$C$24-$C$25))*$C$21/$C$22+1E-9)))</f>
        <v/>
      </c>
      <c r="R53" s="68">
        <f>MAX(0,MIN(4,INT(MIN($C$20,$C$19*(Rates!$D$66*(($C$15-$B$37*(R$43-1))-$C$16-($C$16+273.15)*LN((($C$15-$B$37*(R$43-1))+273.15)/($C$16+273.15)))/$C$23*$C$24-$C$25))*$C$21/$C$22+1E-9)))</f>
        <v/>
      </c>
      <c r="S53" s="68">
        <f>MAX(0,MIN(4,INT(MIN($C$20,$C$19*(Rates!$D$66*(($C$15-$B$37*(S$43-1))-$C$16-($C$16+273.15)*LN((($C$15-$B$37*(S$43-1))+273.15)/($C$16+273.15)))/$C$23*$C$24-$C$25))*$C$21/$C$22+1E-9)))</f>
        <v/>
      </c>
      <c r="T53" s="68">
        <f>MAX(0,MIN(4,INT(MIN($C$20,$C$19*(Rates!$D$66*(($C$15-$B$37*(T$43-1))-$C$16-($C$16+273.15)*LN((($C$15-$B$37*(T$43-1))+273.15)/($C$16+273.15)))/$C$23*$C$24-$C$25))*$C$21/$C$22+1E-9)))</f>
        <v/>
      </c>
      <c r="U53" s="68">
        <f>MAX(0,MIN(4,INT(MIN($C$20,$C$19*(Rates!$D$66*(($C$15-$B$37*(U$43-1))-$C$16-($C$16+273.15)*LN((($C$15-$B$37*(U$43-1))+273.15)/($C$16+273.15)))/$C$23*$C$24-$C$25))*$C$21/$C$22+1E-9)))</f>
        <v/>
      </c>
      <c r="V53" s="68">
        <f>MAX(0,MIN(4,INT(MIN($C$20,$C$19*(Rates!$D$66*(($C$15-$B$37*(V$43-1))-$C$16-($C$16+273.15)*LN((($C$15-$B$37*(V$43-1))+273.15)/($C$16+273.15)))/$C$23*$C$24-$C$25))*$C$21/$C$22+1E-9)))</f>
        <v/>
      </c>
      <c r="W53" s="68">
        <f>MAX(0,MIN(4,INT(MIN($C$20,$C$19*(Rates!$D$66*(($C$15-$B$37*(W$43-1))-$C$16-($C$16+273.15)*LN((($C$15-$B$37*(W$43-1))+273.15)/($C$16+273.15)))/$C$23*$C$24-$C$25))*$C$21/$C$22+1E-9)))</f>
        <v/>
      </c>
      <c r="X53" s="68">
        <f>MAX(0,MIN(4,INT(MIN($C$20,$C$19*(Rates!$D$66*(($C$15-$B$37*(X$43-1))-$C$16-($C$16+273.15)*LN((($C$15-$B$37*(X$43-1))+273.15)/($C$16+273.15)))/$C$23*$C$24-$C$25))*$C$21/$C$22+1E-9)))</f>
        <v/>
      </c>
      <c r="Y53" s="68">
        <f>MAX(0,MIN(4,INT(MIN($C$20,$C$19*(Rates!$D$66*(($C$15-$B$37*(Y$43-1))-$C$16-($C$16+273.15)*LN((($C$15-$B$37*(Y$43-1))+273.15)/($C$16+273.15)))/$C$23*$C$24-$C$25))*$C$21/$C$22+1E-9)))</f>
        <v/>
      </c>
      <c r="Z53" s="68">
        <f>MAX(0,MIN(4,INT(MIN($C$20,$C$19*(Rates!$D$66*(($C$15-$B$37*(Z$43-1))-$C$16-($C$16+273.15)*LN((($C$15-$B$37*(Z$43-1))+273.15)/($C$16+273.15)))/$C$23*$C$24-$C$25))*$C$21/$C$22+1E-9)))</f>
        <v/>
      </c>
      <c r="AA53" s="68">
        <f>MAX(0,MIN(4,INT(MIN($C$20,$C$19*(Rates!$D$66*(($C$15-$B$37*(AA$43-1))-$C$16-($C$16+273.15)*LN((($C$15-$B$37*(AA$43-1))+273.15)/($C$16+273.15)))/$C$23*$C$24-$C$25))*$C$21/$C$22+1E-9)))</f>
        <v/>
      </c>
      <c r="AB53" s="68">
        <f>MAX(0,MIN(4,INT(MIN($C$20,$C$19*(Rates!$D$66*(($C$15-$B$37*(AB$43-1))-$C$16-($C$16+273.15)*LN((($C$15-$B$37*(AB$43-1))+273.15)/($C$16+273.15)))/$C$23*$C$24-$C$25))*$C$21/$C$22+1E-9)))</f>
        <v/>
      </c>
    </row>
    <row r="54">
      <c r="A54" s="68" t="inlineStr">
        <is>
          <t>compute CF: Intermediate 2.0 degC/yr (ASSUMPTION)</t>
        </is>
      </c>
      <c r="C54" s="68">
        <f>-'Sell-Compute'!$C$36</f>
        <v/>
      </c>
      <c r="D54" s="68">
        <f>IF(D$43&lt;=Rates!$D$71,('Sell-Compute'!$C$40-'Sell-Compute'!$C$42-'Sell-Compute'!$C$43)*(D53/4)-'Sell-Compute'!$C$41-'Sell-Compute'!$C$44-'Sell-Compute'!$C$45-IF(AND(MOD(D$43,'Sell-Compute'!$C$21)=0,D$43&lt;Rates!$D$71),'Sell-Compute'!$C$34*(D53/4),0),0)</f>
        <v/>
      </c>
      <c r="E54" s="68">
        <f>IF(E$43&lt;=Rates!$D$71,('Sell-Compute'!$C$40-'Sell-Compute'!$C$42-'Sell-Compute'!$C$43)*(E53/4)-'Sell-Compute'!$C$41-'Sell-Compute'!$C$44-'Sell-Compute'!$C$45-IF(AND(MOD(E$43,'Sell-Compute'!$C$21)=0,E$43&lt;Rates!$D$71),'Sell-Compute'!$C$34*(E53/4),0),0)</f>
        <v/>
      </c>
      <c r="F54" s="68">
        <f>IF(F$43&lt;=Rates!$D$71,('Sell-Compute'!$C$40-'Sell-Compute'!$C$42-'Sell-Compute'!$C$43)*(F53/4)-'Sell-Compute'!$C$41-'Sell-Compute'!$C$44-'Sell-Compute'!$C$45-IF(AND(MOD(F$43,'Sell-Compute'!$C$21)=0,F$43&lt;Rates!$D$71),'Sell-Compute'!$C$34*(F53/4),0),0)</f>
        <v/>
      </c>
      <c r="G54" s="68">
        <f>IF(G$43&lt;=Rates!$D$71,('Sell-Compute'!$C$40-'Sell-Compute'!$C$42-'Sell-Compute'!$C$43)*(G53/4)-'Sell-Compute'!$C$41-'Sell-Compute'!$C$44-'Sell-Compute'!$C$45-IF(AND(MOD(G$43,'Sell-Compute'!$C$21)=0,G$43&lt;Rates!$D$71),'Sell-Compute'!$C$34*(G53/4),0),0)</f>
        <v/>
      </c>
      <c r="H54" s="68">
        <f>IF(H$43&lt;=Rates!$D$71,('Sell-Compute'!$C$40-'Sell-Compute'!$C$42-'Sell-Compute'!$C$43)*(H53/4)-'Sell-Compute'!$C$41-'Sell-Compute'!$C$44-'Sell-Compute'!$C$45-IF(AND(MOD(H$43,'Sell-Compute'!$C$21)=0,H$43&lt;Rates!$D$71),'Sell-Compute'!$C$34*(H53/4),0),0)</f>
        <v/>
      </c>
      <c r="I54" s="68">
        <f>IF(I$43&lt;=Rates!$D$71,('Sell-Compute'!$C$40-'Sell-Compute'!$C$42-'Sell-Compute'!$C$43)*(I53/4)-'Sell-Compute'!$C$41-'Sell-Compute'!$C$44-'Sell-Compute'!$C$45-IF(AND(MOD(I$43,'Sell-Compute'!$C$21)=0,I$43&lt;Rates!$D$71),'Sell-Compute'!$C$34*(I53/4),0),0)</f>
        <v/>
      </c>
      <c r="J54" s="68">
        <f>IF(J$43&lt;=Rates!$D$71,('Sell-Compute'!$C$40-'Sell-Compute'!$C$42-'Sell-Compute'!$C$43)*(J53/4)-'Sell-Compute'!$C$41-'Sell-Compute'!$C$44-'Sell-Compute'!$C$45-IF(AND(MOD(J$43,'Sell-Compute'!$C$21)=0,J$43&lt;Rates!$D$71),'Sell-Compute'!$C$34*(J53/4),0),0)</f>
        <v/>
      </c>
      <c r="K54" s="68">
        <f>IF(K$43&lt;=Rates!$D$71,('Sell-Compute'!$C$40-'Sell-Compute'!$C$42-'Sell-Compute'!$C$43)*(K53/4)-'Sell-Compute'!$C$41-'Sell-Compute'!$C$44-'Sell-Compute'!$C$45-IF(AND(MOD(K$43,'Sell-Compute'!$C$21)=0,K$43&lt;Rates!$D$71),'Sell-Compute'!$C$34*(K53/4),0),0)</f>
        <v/>
      </c>
      <c r="L54" s="68">
        <f>IF(L$43&lt;=Rates!$D$71,('Sell-Compute'!$C$40-'Sell-Compute'!$C$42-'Sell-Compute'!$C$43)*(L53/4)-'Sell-Compute'!$C$41-'Sell-Compute'!$C$44-'Sell-Compute'!$C$45-IF(AND(MOD(L$43,'Sell-Compute'!$C$21)=0,L$43&lt;Rates!$D$71),'Sell-Compute'!$C$34*(L53/4),0),0)</f>
        <v/>
      </c>
      <c r="M54" s="68">
        <f>IF(M$43&lt;=Rates!$D$71,('Sell-Compute'!$C$40-'Sell-Compute'!$C$42-'Sell-Compute'!$C$43)*(M53/4)-'Sell-Compute'!$C$41-'Sell-Compute'!$C$44-'Sell-Compute'!$C$45-IF(AND(MOD(M$43,'Sell-Compute'!$C$21)=0,M$43&lt;Rates!$D$71),'Sell-Compute'!$C$34*(M53/4),0),0)</f>
        <v/>
      </c>
      <c r="N54" s="68">
        <f>IF(N$43&lt;=Rates!$D$71,('Sell-Compute'!$C$40-'Sell-Compute'!$C$42-'Sell-Compute'!$C$43)*(N53/4)-'Sell-Compute'!$C$41-'Sell-Compute'!$C$44-'Sell-Compute'!$C$45-IF(AND(MOD(N$43,'Sell-Compute'!$C$21)=0,N$43&lt;Rates!$D$71),'Sell-Compute'!$C$34*(N53/4),0),0)</f>
        <v/>
      </c>
      <c r="O54" s="68">
        <f>IF(O$43&lt;=Rates!$D$71,('Sell-Compute'!$C$40-'Sell-Compute'!$C$42-'Sell-Compute'!$C$43)*(O53/4)-'Sell-Compute'!$C$41-'Sell-Compute'!$C$44-'Sell-Compute'!$C$45-IF(AND(MOD(O$43,'Sell-Compute'!$C$21)=0,O$43&lt;Rates!$D$71),'Sell-Compute'!$C$34*(O53/4),0),0)</f>
        <v/>
      </c>
      <c r="P54" s="68">
        <f>IF(P$43&lt;=Rates!$D$71,('Sell-Compute'!$C$40-'Sell-Compute'!$C$42-'Sell-Compute'!$C$43)*(P53/4)-'Sell-Compute'!$C$41-'Sell-Compute'!$C$44-'Sell-Compute'!$C$45-IF(AND(MOD(P$43,'Sell-Compute'!$C$21)=0,P$43&lt;Rates!$D$71),'Sell-Compute'!$C$34*(P53/4),0),0)</f>
        <v/>
      </c>
      <c r="Q54" s="68">
        <f>IF(Q$43&lt;=Rates!$D$71,('Sell-Compute'!$C$40-'Sell-Compute'!$C$42-'Sell-Compute'!$C$43)*(Q53/4)-'Sell-Compute'!$C$41-'Sell-Compute'!$C$44-'Sell-Compute'!$C$45-IF(AND(MOD(Q$43,'Sell-Compute'!$C$21)=0,Q$43&lt;Rates!$D$71),'Sell-Compute'!$C$34*(Q53/4),0),0)</f>
        <v/>
      </c>
      <c r="R54" s="68">
        <f>IF(R$43&lt;=Rates!$D$71,('Sell-Compute'!$C$40-'Sell-Compute'!$C$42-'Sell-Compute'!$C$43)*(R53/4)-'Sell-Compute'!$C$41-'Sell-Compute'!$C$44-'Sell-Compute'!$C$45-IF(AND(MOD(R$43,'Sell-Compute'!$C$21)=0,R$43&lt;Rates!$D$71),'Sell-Compute'!$C$34*(R53/4),0),0)</f>
        <v/>
      </c>
      <c r="S54" s="68">
        <f>IF(S$43&lt;=Rates!$D$71,('Sell-Compute'!$C$40-'Sell-Compute'!$C$42-'Sell-Compute'!$C$43)*(S53/4)-'Sell-Compute'!$C$41-'Sell-Compute'!$C$44-'Sell-Compute'!$C$45-IF(AND(MOD(S$43,'Sell-Compute'!$C$21)=0,S$43&lt;Rates!$D$71),'Sell-Compute'!$C$34*(S53/4),0),0)</f>
        <v/>
      </c>
      <c r="T54" s="68">
        <f>IF(T$43&lt;=Rates!$D$71,('Sell-Compute'!$C$40-'Sell-Compute'!$C$42-'Sell-Compute'!$C$43)*(T53/4)-'Sell-Compute'!$C$41-'Sell-Compute'!$C$44-'Sell-Compute'!$C$45-IF(AND(MOD(T$43,'Sell-Compute'!$C$21)=0,T$43&lt;Rates!$D$71),'Sell-Compute'!$C$34*(T53/4),0),0)</f>
        <v/>
      </c>
      <c r="U54" s="68">
        <f>IF(U$43&lt;=Rates!$D$71,('Sell-Compute'!$C$40-'Sell-Compute'!$C$42-'Sell-Compute'!$C$43)*(U53/4)-'Sell-Compute'!$C$41-'Sell-Compute'!$C$44-'Sell-Compute'!$C$45-IF(AND(MOD(U$43,'Sell-Compute'!$C$21)=0,U$43&lt;Rates!$D$71),'Sell-Compute'!$C$34*(U53/4),0),0)</f>
        <v/>
      </c>
      <c r="V54" s="68">
        <f>IF(V$43&lt;=Rates!$D$71,('Sell-Compute'!$C$40-'Sell-Compute'!$C$42-'Sell-Compute'!$C$43)*(V53/4)-'Sell-Compute'!$C$41-'Sell-Compute'!$C$44-'Sell-Compute'!$C$45-IF(AND(MOD(V$43,'Sell-Compute'!$C$21)=0,V$43&lt;Rates!$D$71),'Sell-Compute'!$C$34*(V53/4),0),0)</f>
        <v/>
      </c>
      <c r="W54" s="68">
        <f>IF(W$43&lt;=Rates!$D$71,('Sell-Compute'!$C$40-'Sell-Compute'!$C$42-'Sell-Compute'!$C$43)*(W53/4)-'Sell-Compute'!$C$41-'Sell-Compute'!$C$44-'Sell-Compute'!$C$45-IF(AND(MOD(W$43,'Sell-Compute'!$C$21)=0,W$43&lt;Rates!$D$71),'Sell-Compute'!$C$34*(W53/4),0),0)</f>
        <v/>
      </c>
      <c r="X54" s="68">
        <f>IF(X$43&lt;=Rates!$D$71,('Sell-Compute'!$C$40-'Sell-Compute'!$C$42-'Sell-Compute'!$C$43)*(X53/4)-'Sell-Compute'!$C$41-'Sell-Compute'!$C$44-'Sell-Compute'!$C$45-IF(AND(MOD(X$43,'Sell-Compute'!$C$21)=0,X$43&lt;Rates!$D$71),'Sell-Compute'!$C$34*(X53/4),0),0)</f>
        <v/>
      </c>
      <c r="Y54" s="68">
        <f>IF(Y$43&lt;=Rates!$D$71,('Sell-Compute'!$C$40-'Sell-Compute'!$C$42-'Sell-Compute'!$C$43)*(Y53/4)-'Sell-Compute'!$C$41-'Sell-Compute'!$C$44-'Sell-Compute'!$C$45-IF(AND(MOD(Y$43,'Sell-Compute'!$C$21)=0,Y$43&lt;Rates!$D$71),'Sell-Compute'!$C$34*(Y53/4),0),0)</f>
        <v/>
      </c>
      <c r="Z54" s="68">
        <f>IF(Z$43&lt;=Rates!$D$71,('Sell-Compute'!$C$40-'Sell-Compute'!$C$42-'Sell-Compute'!$C$43)*(Z53/4)-'Sell-Compute'!$C$41-'Sell-Compute'!$C$44-'Sell-Compute'!$C$45-IF(AND(MOD(Z$43,'Sell-Compute'!$C$21)=0,Z$43&lt;Rates!$D$71),'Sell-Compute'!$C$34*(Z53/4),0),0)</f>
        <v/>
      </c>
      <c r="AA54" s="68">
        <f>IF(AA$43&lt;=Rates!$D$71,('Sell-Compute'!$C$40-'Sell-Compute'!$C$42-'Sell-Compute'!$C$43)*(AA53/4)-'Sell-Compute'!$C$41-'Sell-Compute'!$C$44-'Sell-Compute'!$C$45-IF(AND(MOD(AA$43,'Sell-Compute'!$C$21)=0,AA$43&lt;Rates!$D$71),'Sell-Compute'!$C$34*(AA53/4),0),0)</f>
        <v/>
      </c>
      <c r="AB54" s="68">
        <f>IF(AB$43&lt;=Rates!$D$71,('Sell-Compute'!$C$40-'Sell-Compute'!$C$42-'Sell-Compute'!$C$43)*(AB53/4)-'Sell-Compute'!$C$41-'Sell-Compute'!$C$44-'Sell-Compute'!$C$45-IF(AND(MOD(AB$43,'Sell-Compute'!$C$21)=0,AB$43&lt;Rates!$D$71),'Sell-Compute'!$C$34*(AB53/4),0),0)</f>
        <v/>
      </c>
    </row>
    <row r="55">
      <c r="A55" s="68" t="inlineStr">
        <is>
          <t>colo CF: Intermediate 2.0 degC/yr (ASSUMPTION)</t>
        </is>
      </c>
      <c r="C55" s="68">
        <f>-'Sell-Compute'!$I$36</f>
        <v/>
      </c>
      <c r="D55" s="68">
        <f>IF(D$43&lt;=Rates!$D$71,'Sell-Compute'!$I$46-'Sell-Compute'!$I$40*(1-(D53/4)),0)</f>
        <v/>
      </c>
      <c r="E55" s="68">
        <f>IF(E$43&lt;=Rates!$D$71,'Sell-Compute'!$I$46-'Sell-Compute'!$I$40*(1-(E53/4)),0)</f>
        <v/>
      </c>
      <c r="F55" s="68">
        <f>IF(F$43&lt;=Rates!$D$71,'Sell-Compute'!$I$46-'Sell-Compute'!$I$40*(1-(F53/4)),0)</f>
        <v/>
      </c>
      <c r="G55" s="68">
        <f>IF(G$43&lt;=Rates!$D$71,'Sell-Compute'!$I$46-'Sell-Compute'!$I$40*(1-(G53/4)),0)</f>
        <v/>
      </c>
      <c r="H55" s="68">
        <f>IF(H$43&lt;=Rates!$D$71,'Sell-Compute'!$I$46-'Sell-Compute'!$I$40*(1-(H53/4)),0)</f>
        <v/>
      </c>
      <c r="I55" s="68">
        <f>IF(I$43&lt;=Rates!$D$71,'Sell-Compute'!$I$46-'Sell-Compute'!$I$40*(1-(I53/4)),0)</f>
        <v/>
      </c>
      <c r="J55" s="68">
        <f>IF(J$43&lt;=Rates!$D$71,'Sell-Compute'!$I$46-'Sell-Compute'!$I$40*(1-(J53/4)),0)</f>
        <v/>
      </c>
      <c r="K55" s="68">
        <f>IF(K$43&lt;=Rates!$D$71,'Sell-Compute'!$I$46-'Sell-Compute'!$I$40*(1-(K53/4)),0)</f>
        <v/>
      </c>
      <c r="L55" s="68">
        <f>IF(L$43&lt;=Rates!$D$71,'Sell-Compute'!$I$46-'Sell-Compute'!$I$40*(1-(L53/4)),0)</f>
        <v/>
      </c>
      <c r="M55" s="68">
        <f>IF(M$43&lt;=Rates!$D$71,'Sell-Compute'!$I$46-'Sell-Compute'!$I$40*(1-(M53/4)),0)</f>
        <v/>
      </c>
      <c r="N55" s="68">
        <f>IF(N$43&lt;=Rates!$D$71,'Sell-Compute'!$I$46-'Sell-Compute'!$I$40*(1-(N53/4)),0)</f>
        <v/>
      </c>
      <c r="O55" s="68">
        <f>IF(O$43&lt;=Rates!$D$71,'Sell-Compute'!$I$46-'Sell-Compute'!$I$40*(1-(O53/4)),0)</f>
        <v/>
      </c>
      <c r="P55" s="68">
        <f>IF(P$43&lt;=Rates!$D$71,'Sell-Compute'!$I$46-'Sell-Compute'!$I$40*(1-(P53/4)),0)</f>
        <v/>
      </c>
      <c r="Q55" s="68">
        <f>IF(Q$43&lt;=Rates!$D$71,'Sell-Compute'!$I$46-'Sell-Compute'!$I$40*(1-(Q53/4)),0)</f>
        <v/>
      </c>
      <c r="R55" s="68">
        <f>IF(R$43&lt;=Rates!$D$71,'Sell-Compute'!$I$46-'Sell-Compute'!$I$40*(1-(R53/4)),0)</f>
        <v/>
      </c>
      <c r="S55" s="68">
        <f>IF(S$43&lt;=Rates!$D$71,'Sell-Compute'!$I$46-'Sell-Compute'!$I$40*(1-(S53/4)),0)</f>
        <v/>
      </c>
      <c r="T55" s="68">
        <f>IF(T$43&lt;=Rates!$D$71,'Sell-Compute'!$I$46-'Sell-Compute'!$I$40*(1-(T53/4)),0)</f>
        <v/>
      </c>
      <c r="U55" s="68">
        <f>IF(U$43&lt;=Rates!$D$71,'Sell-Compute'!$I$46-'Sell-Compute'!$I$40*(1-(U53/4)),0)</f>
        <v/>
      </c>
      <c r="V55" s="68">
        <f>IF(V$43&lt;=Rates!$D$71,'Sell-Compute'!$I$46-'Sell-Compute'!$I$40*(1-(V53/4)),0)</f>
        <v/>
      </c>
      <c r="W55" s="68">
        <f>IF(W$43&lt;=Rates!$D$71,'Sell-Compute'!$I$46-'Sell-Compute'!$I$40*(1-(W53/4)),0)</f>
        <v/>
      </c>
      <c r="X55" s="68">
        <f>IF(X$43&lt;=Rates!$D$71,'Sell-Compute'!$I$46-'Sell-Compute'!$I$40*(1-(X53/4)),0)</f>
        <v/>
      </c>
      <c r="Y55" s="68">
        <f>IF(Y$43&lt;=Rates!$D$71,'Sell-Compute'!$I$46-'Sell-Compute'!$I$40*(1-(Y53/4)),0)</f>
        <v/>
      </c>
      <c r="Z55" s="68">
        <f>IF(Z$43&lt;=Rates!$D$71,'Sell-Compute'!$I$46-'Sell-Compute'!$I$40*(1-(Z53/4)),0)</f>
        <v/>
      </c>
      <c r="AA55" s="68">
        <f>IF(AA$43&lt;=Rates!$D$71,'Sell-Compute'!$I$46-'Sell-Compute'!$I$40*(1-(AA53/4)),0)</f>
        <v/>
      </c>
      <c r="AB55" s="68">
        <f>IF(AB$43&lt;=Rates!$D$71,'Sell-Compute'!$I$46-'Sell-Compute'!$I$40*(1-(AB53/4)),0)</f>
        <v/>
      </c>
    </row>
    <row r="56">
      <c r="A56" s="68" t="inlineStr">
        <is>
          <t>modules: Project Red reading 5.0 degC/yr (disputed)</t>
        </is>
      </c>
      <c r="D56" s="68">
        <f>MAX(0,MIN(4,INT(MIN($C$20,$C$19*(Rates!$D$66*(($C$15-$B$38*(D$43-1))-$C$16-($C$16+273.15)*LN((($C$15-$B$38*(D$43-1))+273.15)/($C$16+273.15)))/$C$23*$C$24-$C$25))*$C$21/$C$22+1E-9)))</f>
        <v/>
      </c>
      <c r="E56" s="68">
        <f>MAX(0,MIN(4,INT(MIN($C$20,$C$19*(Rates!$D$66*(($C$15-$B$38*(E$43-1))-$C$16-($C$16+273.15)*LN((($C$15-$B$38*(E$43-1))+273.15)/($C$16+273.15)))/$C$23*$C$24-$C$25))*$C$21/$C$22+1E-9)))</f>
        <v/>
      </c>
      <c r="F56" s="68">
        <f>MAX(0,MIN(4,INT(MIN($C$20,$C$19*(Rates!$D$66*(($C$15-$B$38*(F$43-1))-$C$16-($C$16+273.15)*LN((($C$15-$B$38*(F$43-1))+273.15)/($C$16+273.15)))/$C$23*$C$24-$C$25))*$C$21/$C$22+1E-9)))</f>
        <v/>
      </c>
      <c r="G56" s="68">
        <f>MAX(0,MIN(4,INT(MIN($C$20,$C$19*(Rates!$D$66*(($C$15-$B$38*(G$43-1))-$C$16-($C$16+273.15)*LN((($C$15-$B$38*(G$43-1))+273.15)/($C$16+273.15)))/$C$23*$C$24-$C$25))*$C$21/$C$22+1E-9)))</f>
        <v/>
      </c>
      <c r="H56" s="68">
        <f>MAX(0,MIN(4,INT(MIN($C$20,$C$19*(Rates!$D$66*(($C$15-$B$38*(H$43-1))-$C$16-($C$16+273.15)*LN((($C$15-$B$38*(H$43-1))+273.15)/($C$16+273.15)))/$C$23*$C$24-$C$25))*$C$21/$C$22+1E-9)))</f>
        <v/>
      </c>
      <c r="I56" s="68">
        <f>MAX(0,MIN(4,INT(MIN($C$20,$C$19*(Rates!$D$66*(($C$15-$B$38*(I$43-1))-$C$16-($C$16+273.15)*LN((($C$15-$B$38*(I$43-1))+273.15)/($C$16+273.15)))/$C$23*$C$24-$C$25))*$C$21/$C$22+1E-9)))</f>
        <v/>
      </c>
      <c r="J56" s="68">
        <f>MAX(0,MIN(4,INT(MIN($C$20,$C$19*(Rates!$D$66*(($C$15-$B$38*(J$43-1))-$C$16-($C$16+273.15)*LN((($C$15-$B$38*(J$43-1))+273.15)/($C$16+273.15)))/$C$23*$C$24-$C$25))*$C$21/$C$22+1E-9)))</f>
        <v/>
      </c>
      <c r="K56" s="68">
        <f>MAX(0,MIN(4,INT(MIN($C$20,$C$19*(Rates!$D$66*(($C$15-$B$38*(K$43-1))-$C$16-($C$16+273.15)*LN((($C$15-$B$38*(K$43-1))+273.15)/($C$16+273.15)))/$C$23*$C$24-$C$25))*$C$21/$C$22+1E-9)))</f>
        <v/>
      </c>
      <c r="L56" s="68">
        <f>MAX(0,MIN(4,INT(MIN($C$20,$C$19*(Rates!$D$66*(($C$15-$B$38*(L$43-1))-$C$16-($C$16+273.15)*LN((($C$15-$B$38*(L$43-1))+273.15)/($C$16+273.15)))/$C$23*$C$24-$C$25))*$C$21/$C$22+1E-9)))</f>
        <v/>
      </c>
      <c r="M56" s="68">
        <f>MAX(0,MIN(4,INT(MIN($C$20,$C$19*(Rates!$D$66*(($C$15-$B$38*(M$43-1))-$C$16-($C$16+273.15)*LN((($C$15-$B$38*(M$43-1))+273.15)/($C$16+273.15)))/$C$23*$C$24-$C$25))*$C$21/$C$22+1E-9)))</f>
        <v/>
      </c>
      <c r="N56" s="68">
        <f>MAX(0,MIN(4,INT(MIN($C$20,$C$19*(Rates!$D$66*(($C$15-$B$38*(N$43-1))-$C$16-($C$16+273.15)*LN((($C$15-$B$38*(N$43-1))+273.15)/($C$16+273.15)))/$C$23*$C$24-$C$25))*$C$21/$C$22+1E-9)))</f>
        <v/>
      </c>
      <c r="O56" s="68">
        <f>MAX(0,MIN(4,INT(MIN($C$20,$C$19*(Rates!$D$66*(($C$15-$B$38*(O$43-1))-$C$16-($C$16+273.15)*LN((($C$15-$B$38*(O$43-1))+273.15)/($C$16+273.15)))/$C$23*$C$24-$C$25))*$C$21/$C$22+1E-9)))</f>
        <v/>
      </c>
      <c r="P56" s="68">
        <f>MAX(0,MIN(4,INT(MIN($C$20,$C$19*(Rates!$D$66*(($C$15-$B$38*(P$43-1))-$C$16-($C$16+273.15)*LN((($C$15-$B$38*(P$43-1))+273.15)/($C$16+273.15)))/$C$23*$C$24-$C$25))*$C$21/$C$22+1E-9)))</f>
        <v/>
      </c>
      <c r="Q56" s="68">
        <f>MAX(0,MIN(4,INT(MIN($C$20,$C$19*(Rates!$D$66*(($C$15-$B$38*(Q$43-1))-$C$16-($C$16+273.15)*LN((($C$15-$B$38*(Q$43-1))+273.15)/($C$16+273.15)))/$C$23*$C$24-$C$25))*$C$21/$C$22+1E-9)))</f>
        <v/>
      </c>
      <c r="R56" s="68">
        <f>MAX(0,MIN(4,INT(MIN($C$20,$C$19*(Rates!$D$66*(($C$15-$B$38*(R$43-1))-$C$16-($C$16+273.15)*LN((($C$15-$B$38*(R$43-1))+273.15)/($C$16+273.15)))/$C$23*$C$24-$C$25))*$C$21/$C$22+1E-9)))</f>
        <v/>
      </c>
      <c r="S56" s="68">
        <f>MAX(0,MIN(4,INT(MIN($C$20,$C$19*(Rates!$D$66*(($C$15-$B$38*(S$43-1))-$C$16-($C$16+273.15)*LN((($C$15-$B$38*(S$43-1))+273.15)/($C$16+273.15)))/$C$23*$C$24-$C$25))*$C$21/$C$22+1E-9)))</f>
        <v/>
      </c>
      <c r="T56" s="68">
        <f>MAX(0,MIN(4,INT(MIN($C$20,$C$19*(Rates!$D$66*(($C$15-$B$38*(T$43-1))-$C$16-($C$16+273.15)*LN((($C$15-$B$38*(T$43-1))+273.15)/($C$16+273.15)))/$C$23*$C$24-$C$25))*$C$21/$C$22+1E-9)))</f>
        <v/>
      </c>
      <c r="U56" s="68">
        <f>MAX(0,MIN(4,INT(MIN($C$20,$C$19*(Rates!$D$66*(($C$15-$B$38*(U$43-1))-$C$16-($C$16+273.15)*LN((($C$15-$B$38*(U$43-1))+273.15)/($C$16+273.15)))/$C$23*$C$24-$C$25))*$C$21/$C$22+1E-9)))</f>
        <v/>
      </c>
      <c r="V56" s="68">
        <f>MAX(0,MIN(4,INT(MIN($C$20,$C$19*(Rates!$D$66*(($C$15-$B$38*(V$43-1))-$C$16-($C$16+273.15)*LN((($C$15-$B$38*(V$43-1))+273.15)/($C$16+273.15)))/$C$23*$C$24-$C$25))*$C$21/$C$22+1E-9)))</f>
        <v/>
      </c>
      <c r="W56" s="68">
        <f>MAX(0,MIN(4,INT(MIN($C$20,$C$19*(Rates!$D$66*(($C$15-$B$38*(W$43-1))-$C$16-($C$16+273.15)*LN((($C$15-$B$38*(W$43-1))+273.15)/($C$16+273.15)))/$C$23*$C$24-$C$25))*$C$21/$C$22+1E-9)))</f>
        <v/>
      </c>
      <c r="X56" s="68">
        <f>MAX(0,MIN(4,INT(MIN($C$20,$C$19*(Rates!$D$66*(($C$15-$B$38*(X$43-1))-$C$16-($C$16+273.15)*LN((($C$15-$B$38*(X$43-1))+273.15)/($C$16+273.15)))/$C$23*$C$24-$C$25))*$C$21/$C$22+1E-9)))</f>
        <v/>
      </c>
      <c r="Y56" s="68">
        <f>MAX(0,MIN(4,INT(MIN($C$20,$C$19*(Rates!$D$66*(($C$15-$B$38*(Y$43-1))-$C$16-($C$16+273.15)*LN((($C$15-$B$38*(Y$43-1))+273.15)/($C$16+273.15)))/$C$23*$C$24-$C$25))*$C$21/$C$22+1E-9)))</f>
        <v/>
      </c>
      <c r="Z56" s="68">
        <f>MAX(0,MIN(4,INT(MIN($C$20,$C$19*(Rates!$D$66*(($C$15-$B$38*(Z$43-1))-$C$16-($C$16+273.15)*LN((($C$15-$B$38*(Z$43-1))+273.15)/($C$16+273.15)))/$C$23*$C$24-$C$25))*$C$21/$C$22+1E-9)))</f>
        <v/>
      </c>
      <c r="AA56" s="68">
        <f>MAX(0,MIN(4,INT(MIN($C$20,$C$19*(Rates!$D$66*(($C$15-$B$38*(AA$43-1))-$C$16-($C$16+273.15)*LN((($C$15-$B$38*(AA$43-1))+273.15)/($C$16+273.15)))/$C$23*$C$24-$C$25))*$C$21/$C$22+1E-9)))</f>
        <v/>
      </c>
      <c r="AB56" s="68">
        <f>MAX(0,MIN(4,INT(MIN($C$20,$C$19*(Rates!$D$66*(($C$15-$B$38*(AB$43-1))-$C$16-($C$16+273.15)*LN((($C$15-$B$38*(AB$43-1))+273.15)/($C$16+273.15)))/$C$23*$C$24-$C$25))*$C$21/$C$22+1E-9)))</f>
        <v/>
      </c>
    </row>
    <row r="57">
      <c r="A57" s="68" t="inlineStr">
        <is>
          <t>compute CF: Project Red reading 5.0 degC/yr (disputed)</t>
        </is>
      </c>
      <c r="C57" s="68">
        <f>-'Sell-Compute'!$C$36</f>
        <v/>
      </c>
      <c r="D57" s="68">
        <f>IF(D$43&lt;=Rates!$D$71,('Sell-Compute'!$C$40-'Sell-Compute'!$C$42-'Sell-Compute'!$C$43)*(D56/4)-'Sell-Compute'!$C$41-'Sell-Compute'!$C$44-'Sell-Compute'!$C$45-IF(AND(MOD(D$43,'Sell-Compute'!$C$21)=0,D$43&lt;Rates!$D$71),'Sell-Compute'!$C$34*(D56/4),0),0)</f>
        <v/>
      </c>
      <c r="E57" s="68">
        <f>IF(E$43&lt;=Rates!$D$71,('Sell-Compute'!$C$40-'Sell-Compute'!$C$42-'Sell-Compute'!$C$43)*(E56/4)-'Sell-Compute'!$C$41-'Sell-Compute'!$C$44-'Sell-Compute'!$C$45-IF(AND(MOD(E$43,'Sell-Compute'!$C$21)=0,E$43&lt;Rates!$D$71),'Sell-Compute'!$C$34*(E56/4),0),0)</f>
        <v/>
      </c>
      <c r="F57" s="68">
        <f>IF(F$43&lt;=Rates!$D$71,('Sell-Compute'!$C$40-'Sell-Compute'!$C$42-'Sell-Compute'!$C$43)*(F56/4)-'Sell-Compute'!$C$41-'Sell-Compute'!$C$44-'Sell-Compute'!$C$45-IF(AND(MOD(F$43,'Sell-Compute'!$C$21)=0,F$43&lt;Rates!$D$71),'Sell-Compute'!$C$34*(F56/4),0),0)</f>
        <v/>
      </c>
      <c r="G57" s="68">
        <f>IF(G$43&lt;=Rates!$D$71,('Sell-Compute'!$C$40-'Sell-Compute'!$C$42-'Sell-Compute'!$C$43)*(G56/4)-'Sell-Compute'!$C$41-'Sell-Compute'!$C$44-'Sell-Compute'!$C$45-IF(AND(MOD(G$43,'Sell-Compute'!$C$21)=0,G$43&lt;Rates!$D$71),'Sell-Compute'!$C$34*(G56/4),0),0)</f>
        <v/>
      </c>
      <c r="H57" s="68">
        <f>IF(H$43&lt;=Rates!$D$71,('Sell-Compute'!$C$40-'Sell-Compute'!$C$42-'Sell-Compute'!$C$43)*(H56/4)-'Sell-Compute'!$C$41-'Sell-Compute'!$C$44-'Sell-Compute'!$C$45-IF(AND(MOD(H$43,'Sell-Compute'!$C$21)=0,H$43&lt;Rates!$D$71),'Sell-Compute'!$C$34*(H56/4),0),0)</f>
        <v/>
      </c>
      <c r="I57" s="68">
        <f>IF(I$43&lt;=Rates!$D$71,('Sell-Compute'!$C$40-'Sell-Compute'!$C$42-'Sell-Compute'!$C$43)*(I56/4)-'Sell-Compute'!$C$41-'Sell-Compute'!$C$44-'Sell-Compute'!$C$45-IF(AND(MOD(I$43,'Sell-Compute'!$C$21)=0,I$43&lt;Rates!$D$71),'Sell-Compute'!$C$34*(I56/4),0),0)</f>
        <v/>
      </c>
      <c r="J57" s="68">
        <f>IF(J$43&lt;=Rates!$D$71,('Sell-Compute'!$C$40-'Sell-Compute'!$C$42-'Sell-Compute'!$C$43)*(J56/4)-'Sell-Compute'!$C$41-'Sell-Compute'!$C$44-'Sell-Compute'!$C$45-IF(AND(MOD(J$43,'Sell-Compute'!$C$21)=0,J$43&lt;Rates!$D$71),'Sell-Compute'!$C$34*(J56/4),0),0)</f>
        <v/>
      </c>
      <c r="K57" s="68">
        <f>IF(K$43&lt;=Rates!$D$71,('Sell-Compute'!$C$40-'Sell-Compute'!$C$42-'Sell-Compute'!$C$43)*(K56/4)-'Sell-Compute'!$C$41-'Sell-Compute'!$C$44-'Sell-Compute'!$C$45-IF(AND(MOD(K$43,'Sell-Compute'!$C$21)=0,K$43&lt;Rates!$D$71),'Sell-Compute'!$C$34*(K56/4),0),0)</f>
        <v/>
      </c>
      <c r="L57" s="68">
        <f>IF(L$43&lt;=Rates!$D$71,('Sell-Compute'!$C$40-'Sell-Compute'!$C$42-'Sell-Compute'!$C$43)*(L56/4)-'Sell-Compute'!$C$41-'Sell-Compute'!$C$44-'Sell-Compute'!$C$45-IF(AND(MOD(L$43,'Sell-Compute'!$C$21)=0,L$43&lt;Rates!$D$71),'Sell-Compute'!$C$34*(L56/4),0),0)</f>
        <v/>
      </c>
      <c r="M57" s="68">
        <f>IF(M$43&lt;=Rates!$D$71,('Sell-Compute'!$C$40-'Sell-Compute'!$C$42-'Sell-Compute'!$C$43)*(M56/4)-'Sell-Compute'!$C$41-'Sell-Compute'!$C$44-'Sell-Compute'!$C$45-IF(AND(MOD(M$43,'Sell-Compute'!$C$21)=0,M$43&lt;Rates!$D$71),'Sell-Compute'!$C$34*(M56/4),0),0)</f>
        <v/>
      </c>
      <c r="N57" s="68">
        <f>IF(N$43&lt;=Rates!$D$71,('Sell-Compute'!$C$40-'Sell-Compute'!$C$42-'Sell-Compute'!$C$43)*(N56/4)-'Sell-Compute'!$C$41-'Sell-Compute'!$C$44-'Sell-Compute'!$C$45-IF(AND(MOD(N$43,'Sell-Compute'!$C$21)=0,N$43&lt;Rates!$D$71),'Sell-Compute'!$C$34*(N56/4),0),0)</f>
        <v/>
      </c>
      <c r="O57" s="68">
        <f>IF(O$43&lt;=Rates!$D$71,('Sell-Compute'!$C$40-'Sell-Compute'!$C$42-'Sell-Compute'!$C$43)*(O56/4)-'Sell-Compute'!$C$41-'Sell-Compute'!$C$44-'Sell-Compute'!$C$45-IF(AND(MOD(O$43,'Sell-Compute'!$C$21)=0,O$43&lt;Rates!$D$71),'Sell-Compute'!$C$34*(O56/4),0),0)</f>
        <v/>
      </c>
      <c r="P57" s="68">
        <f>IF(P$43&lt;=Rates!$D$71,('Sell-Compute'!$C$40-'Sell-Compute'!$C$42-'Sell-Compute'!$C$43)*(P56/4)-'Sell-Compute'!$C$41-'Sell-Compute'!$C$44-'Sell-Compute'!$C$45-IF(AND(MOD(P$43,'Sell-Compute'!$C$21)=0,P$43&lt;Rates!$D$71),'Sell-Compute'!$C$34*(P56/4),0),0)</f>
        <v/>
      </c>
      <c r="Q57" s="68">
        <f>IF(Q$43&lt;=Rates!$D$71,('Sell-Compute'!$C$40-'Sell-Compute'!$C$42-'Sell-Compute'!$C$43)*(Q56/4)-'Sell-Compute'!$C$41-'Sell-Compute'!$C$44-'Sell-Compute'!$C$45-IF(AND(MOD(Q$43,'Sell-Compute'!$C$21)=0,Q$43&lt;Rates!$D$71),'Sell-Compute'!$C$34*(Q56/4),0),0)</f>
        <v/>
      </c>
      <c r="R57" s="68">
        <f>IF(R$43&lt;=Rates!$D$71,('Sell-Compute'!$C$40-'Sell-Compute'!$C$42-'Sell-Compute'!$C$43)*(R56/4)-'Sell-Compute'!$C$41-'Sell-Compute'!$C$44-'Sell-Compute'!$C$45-IF(AND(MOD(R$43,'Sell-Compute'!$C$21)=0,R$43&lt;Rates!$D$71),'Sell-Compute'!$C$34*(R56/4),0),0)</f>
        <v/>
      </c>
      <c r="S57" s="68">
        <f>IF(S$43&lt;=Rates!$D$71,('Sell-Compute'!$C$40-'Sell-Compute'!$C$42-'Sell-Compute'!$C$43)*(S56/4)-'Sell-Compute'!$C$41-'Sell-Compute'!$C$44-'Sell-Compute'!$C$45-IF(AND(MOD(S$43,'Sell-Compute'!$C$21)=0,S$43&lt;Rates!$D$71),'Sell-Compute'!$C$34*(S56/4),0),0)</f>
        <v/>
      </c>
      <c r="T57" s="68">
        <f>IF(T$43&lt;=Rates!$D$71,('Sell-Compute'!$C$40-'Sell-Compute'!$C$42-'Sell-Compute'!$C$43)*(T56/4)-'Sell-Compute'!$C$41-'Sell-Compute'!$C$44-'Sell-Compute'!$C$45-IF(AND(MOD(T$43,'Sell-Compute'!$C$21)=0,T$43&lt;Rates!$D$71),'Sell-Compute'!$C$34*(T56/4),0),0)</f>
        <v/>
      </c>
      <c r="U57" s="68">
        <f>IF(U$43&lt;=Rates!$D$71,('Sell-Compute'!$C$40-'Sell-Compute'!$C$42-'Sell-Compute'!$C$43)*(U56/4)-'Sell-Compute'!$C$41-'Sell-Compute'!$C$44-'Sell-Compute'!$C$45-IF(AND(MOD(U$43,'Sell-Compute'!$C$21)=0,U$43&lt;Rates!$D$71),'Sell-Compute'!$C$34*(U56/4),0),0)</f>
        <v/>
      </c>
      <c r="V57" s="68">
        <f>IF(V$43&lt;=Rates!$D$71,('Sell-Compute'!$C$40-'Sell-Compute'!$C$42-'Sell-Compute'!$C$43)*(V56/4)-'Sell-Compute'!$C$41-'Sell-Compute'!$C$44-'Sell-Compute'!$C$45-IF(AND(MOD(V$43,'Sell-Compute'!$C$21)=0,V$43&lt;Rates!$D$71),'Sell-Compute'!$C$34*(V56/4),0),0)</f>
        <v/>
      </c>
      <c r="W57" s="68">
        <f>IF(W$43&lt;=Rates!$D$71,('Sell-Compute'!$C$40-'Sell-Compute'!$C$42-'Sell-Compute'!$C$43)*(W56/4)-'Sell-Compute'!$C$41-'Sell-Compute'!$C$44-'Sell-Compute'!$C$45-IF(AND(MOD(W$43,'Sell-Compute'!$C$21)=0,W$43&lt;Rates!$D$71),'Sell-Compute'!$C$34*(W56/4),0),0)</f>
        <v/>
      </c>
      <c r="X57" s="68">
        <f>IF(X$43&lt;=Rates!$D$71,('Sell-Compute'!$C$40-'Sell-Compute'!$C$42-'Sell-Compute'!$C$43)*(X56/4)-'Sell-Compute'!$C$41-'Sell-Compute'!$C$44-'Sell-Compute'!$C$45-IF(AND(MOD(X$43,'Sell-Compute'!$C$21)=0,X$43&lt;Rates!$D$71),'Sell-Compute'!$C$34*(X56/4),0),0)</f>
        <v/>
      </c>
      <c r="Y57" s="68">
        <f>IF(Y$43&lt;=Rates!$D$71,('Sell-Compute'!$C$40-'Sell-Compute'!$C$42-'Sell-Compute'!$C$43)*(Y56/4)-'Sell-Compute'!$C$41-'Sell-Compute'!$C$44-'Sell-Compute'!$C$45-IF(AND(MOD(Y$43,'Sell-Compute'!$C$21)=0,Y$43&lt;Rates!$D$71),'Sell-Compute'!$C$34*(Y56/4),0),0)</f>
        <v/>
      </c>
      <c r="Z57" s="68">
        <f>IF(Z$43&lt;=Rates!$D$71,('Sell-Compute'!$C$40-'Sell-Compute'!$C$42-'Sell-Compute'!$C$43)*(Z56/4)-'Sell-Compute'!$C$41-'Sell-Compute'!$C$44-'Sell-Compute'!$C$45-IF(AND(MOD(Z$43,'Sell-Compute'!$C$21)=0,Z$43&lt;Rates!$D$71),'Sell-Compute'!$C$34*(Z56/4),0),0)</f>
        <v/>
      </c>
      <c r="AA57" s="68">
        <f>IF(AA$43&lt;=Rates!$D$71,('Sell-Compute'!$C$40-'Sell-Compute'!$C$42-'Sell-Compute'!$C$43)*(AA56/4)-'Sell-Compute'!$C$41-'Sell-Compute'!$C$44-'Sell-Compute'!$C$45-IF(AND(MOD(AA$43,'Sell-Compute'!$C$21)=0,AA$43&lt;Rates!$D$71),'Sell-Compute'!$C$34*(AA56/4),0),0)</f>
        <v/>
      </c>
      <c r="AB57" s="68">
        <f>IF(AB$43&lt;=Rates!$D$71,('Sell-Compute'!$C$40-'Sell-Compute'!$C$42-'Sell-Compute'!$C$43)*(AB56/4)-'Sell-Compute'!$C$41-'Sell-Compute'!$C$44-'Sell-Compute'!$C$45-IF(AND(MOD(AB$43,'Sell-Compute'!$C$21)=0,AB$43&lt;Rates!$D$71),'Sell-Compute'!$C$34*(AB56/4),0),0)</f>
        <v/>
      </c>
    </row>
    <row r="58">
      <c r="A58" s="68" t="inlineStr">
        <is>
          <t>colo CF: Project Red reading 5.0 degC/yr (disputed)</t>
        </is>
      </c>
      <c r="C58" s="68">
        <f>-'Sell-Compute'!$I$36</f>
        <v/>
      </c>
      <c r="D58" s="68">
        <f>IF(D$43&lt;=Rates!$D$71,'Sell-Compute'!$I$46-'Sell-Compute'!$I$40*(1-(D56/4)),0)</f>
        <v/>
      </c>
      <c r="E58" s="68">
        <f>IF(E$43&lt;=Rates!$D$71,'Sell-Compute'!$I$46-'Sell-Compute'!$I$40*(1-(E56/4)),0)</f>
        <v/>
      </c>
      <c r="F58" s="68">
        <f>IF(F$43&lt;=Rates!$D$71,'Sell-Compute'!$I$46-'Sell-Compute'!$I$40*(1-(F56/4)),0)</f>
        <v/>
      </c>
      <c r="G58" s="68">
        <f>IF(G$43&lt;=Rates!$D$71,'Sell-Compute'!$I$46-'Sell-Compute'!$I$40*(1-(G56/4)),0)</f>
        <v/>
      </c>
      <c r="H58" s="68">
        <f>IF(H$43&lt;=Rates!$D$71,'Sell-Compute'!$I$46-'Sell-Compute'!$I$40*(1-(H56/4)),0)</f>
        <v/>
      </c>
      <c r="I58" s="68">
        <f>IF(I$43&lt;=Rates!$D$71,'Sell-Compute'!$I$46-'Sell-Compute'!$I$40*(1-(I56/4)),0)</f>
        <v/>
      </c>
      <c r="J58" s="68">
        <f>IF(J$43&lt;=Rates!$D$71,'Sell-Compute'!$I$46-'Sell-Compute'!$I$40*(1-(J56/4)),0)</f>
        <v/>
      </c>
      <c r="K58" s="68">
        <f>IF(K$43&lt;=Rates!$D$71,'Sell-Compute'!$I$46-'Sell-Compute'!$I$40*(1-(K56/4)),0)</f>
        <v/>
      </c>
      <c r="L58" s="68">
        <f>IF(L$43&lt;=Rates!$D$71,'Sell-Compute'!$I$46-'Sell-Compute'!$I$40*(1-(L56/4)),0)</f>
        <v/>
      </c>
      <c r="M58" s="68">
        <f>IF(M$43&lt;=Rates!$D$71,'Sell-Compute'!$I$46-'Sell-Compute'!$I$40*(1-(M56/4)),0)</f>
        <v/>
      </c>
      <c r="N58" s="68">
        <f>IF(N$43&lt;=Rates!$D$71,'Sell-Compute'!$I$46-'Sell-Compute'!$I$40*(1-(N56/4)),0)</f>
        <v/>
      </c>
      <c r="O58" s="68">
        <f>IF(O$43&lt;=Rates!$D$71,'Sell-Compute'!$I$46-'Sell-Compute'!$I$40*(1-(O56/4)),0)</f>
        <v/>
      </c>
      <c r="P58" s="68">
        <f>IF(P$43&lt;=Rates!$D$71,'Sell-Compute'!$I$46-'Sell-Compute'!$I$40*(1-(P56/4)),0)</f>
        <v/>
      </c>
      <c r="Q58" s="68">
        <f>IF(Q$43&lt;=Rates!$D$71,'Sell-Compute'!$I$46-'Sell-Compute'!$I$40*(1-(Q56/4)),0)</f>
        <v/>
      </c>
      <c r="R58" s="68">
        <f>IF(R$43&lt;=Rates!$D$71,'Sell-Compute'!$I$46-'Sell-Compute'!$I$40*(1-(R56/4)),0)</f>
        <v/>
      </c>
      <c r="S58" s="68">
        <f>IF(S$43&lt;=Rates!$D$71,'Sell-Compute'!$I$46-'Sell-Compute'!$I$40*(1-(S56/4)),0)</f>
        <v/>
      </c>
      <c r="T58" s="68">
        <f>IF(T$43&lt;=Rates!$D$71,'Sell-Compute'!$I$46-'Sell-Compute'!$I$40*(1-(T56/4)),0)</f>
        <v/>
      </c>
      <c r="U58" s="68">
        <f>IF(U$43&lt;=Rates!$D$71,'Sell-Compute'!$I$46-'Sell-Compute'!$I$40*(1-(U56/4)),0)</f>
        <v/>
      </c>
      <c r="V58" s="68">
        <f>IF(V$43&lt;=Rates!$D$71,'Sell-Compute'!$I$46-'Sell-Compute'!$I$40*(1-(V56/4)),0)</f>
        <v/>
      </c>
      <c r="W58" s="68">
        <f>IF(W$43&lt;=Rates!$D$71,'Sell-Compute'!$I$46-'Sell-Compute'!$I$40*(1-(W56/4)),0)</f>
        <v/>
      </c>
      <c r="X58" s="68">
        <f>IF(X$43&lt;=Rates!$D$71,'Sell-Compute'!$I$46-'Sell-Compute'!$I$40*(1-(X56/4)),0)</f>
        <v/>
      </c>
      <c r="Y58" s="68">
        <f>IF(Y$43&lt;=Rates!$D$71,'Sell-Compute'!$I$46-'Sell-Compute'!$I$40*(1-(Y56/4)),0)</f>
        <v/>
      </c>
      <c r="Z58" s="68">
        <f>IF(Z$43&lt;=Rates!$D$71,'Sell-Compute'!$I$46-'Sell-Compute'!$I$40*(1-(Z56/4)),0)</f>
        <v/>
      </c>
      <c r="AA58" s="68">
        <f>IF(AA$43&lt;=Rates!$D$71,'Sell-Compute'!$I$46-'Sell-Compute'!$I$40*(1-(AA56/4)),0)</f>
        <v/>
      </c>
      <c r="AB58" s="68">
        <f>IF(AB$43&lt;=Rates!$D$71,'Sell-Compute'!$I$46-'Sell-Compute'!$I$40*(1-(AB56/4)),0)</f>
        <v/>
      </c>
    </row>
    <row r="59">
      <c r="A59" s="68" t="inlineStr">
        <is>
          <t>modules: EGS base case 6.45 degC/yr</t>
        </is>
      </c>
      <c r="D59" s="68">
        <f>MAX(0,MIN(4,INT(MIN($C$20,$C$19*(Rates!$D$66*(($C$15-$B$39*(D$43-1))-$C$16-($C$16+273.15)*LN((($C$15-$B$39*(D$43-1))+273.15)/($C$16+273.15)))/$C$23*$C$24-$C$25))*$C$21/$C$22+1E-9)))</f>
        <v/>
      </c>
      <c r="E59" s="68">
        <f>MAX(0,MIN(4,INT(MIN($C$20,$C$19*(Rates!$D$66*(($C$15-$B$39*(E$43-1))-$C$16-($C$16+273.15)*LN((($C$15-$B$39*(E$43-1))+273.15)/($C$16+273.15)))/$C$23*$C$24-$C$25))*$C$21/$C$22+1E-9)))</f>
        <v/>
      </c>
      <c r="F59" s="68">
        <f>MAX(0,MIN(4,INT(MIN($C$20,$C$19*(Rates!$D$66*(($C$15-$B$39*(F$43-1))-$C$16-($C$16+273.15)*LN((($C$15-$B$39*(F$43-1))+273.15)/($C$16+273.15)))/$C$23*$C$24-$C$25))*$C$21/$C$22+1E-9)))</f>
        <v/>
      </c>
      <c r="G59" s="68">
        <f>MAX(0,MIN(4,INT(MIN($C$20,$C$19*(Rates!$D$66*(($C$15-$B$39*(G$43-1))-$C$16-($C$16+273.15)*LN((($C$15-$B$39*(G$43-1))+273.15)/($C$16+273.15)))/$C$23*$C$24-$C$25))*$C$21/$C$22+1E-9)))</f>
        <v/>
      </c>
      <c r="H59" s="68">
        <f>MAX(0,MIN(4,INT(MIN($C$20,$C$19*(Rates!$D$66*(($C$15-$B$39*(H$43-1))-$C$16-($C$16+273.15)*LN((($C$15-$B$39*(H$43-1))+273.15)/($C$16+273.15)))/$C$23*$C$24-$C$25))*$C$21/$C$22+1E-9)))</f>
        <v/>
      </c>
      <c r="I59" s="68">
        <f>MAX(0,MIN(4,INT(MIN($C$20,$C$19*(Rates!$D$66*(($C$15-$B$39*(I$43-1))-$C$16-($C$16+273.15)*LN((($C$15-$B$39*(I$43-1))+273.15)/($C$16+273.15)))/$C$23*$C$24-$C$25))*$C$21/$C$22+1E-9)))</f>
        <v/>
      </c>
      <c r="J59" s="68">
        <f>MAX(0,MIN(4,INT(MIN($C$20,$C$19*(Rates!$D$66*(($C$15-$B$39*(J$43-1))-$C$16-($C$16+273.15)*LN((($C$15-$B$39*(J$43-1))+273.15)/($C$16+273.15)))/$C$23*$C$24-$C$25))*$C$21/$C$22+1E-9)))</f>
        <v/>
      </c>
      <c r="K59" s="68">
        <f>MAX(0,MIN(4,INT(MIN($C$20,$C$19*(Rates!$D$66*(($C$15-$B$39*(K$43-1))-$C$16-($C$16+273.15)*LN((($C$15-$B$39*(K$43-1))+273.15)/($C$16+273.15)))/$C$23*$C$24-$C$25))*$C$21/$C$22+1E-9)))</f>
        <v/>
      </c>
      <c r="L59" s="68">
        <f>MAX(0,MIN(4,INT(MIN($C$20,$C$19*(Rates!$D$66*(($C$15-$B$39*(L$43-1))-$C$16-($C$16+273.15)*LN((($C$15-$B$39*(L$43-1))+273.15)/($C$16+273.15)))/$C$23*$C$24-$C$25))*$C$21/$C$22+1E-9)))</f>
        <v/>
      </c>
      <c r="M59" s="68">
        <f>MAX(0,MIN(4,INT(MIN($C$20,$C$19*(Rates!$D$66*(($C$15-$B$39*(M$43-1))-$C$16-($C$16+273.15)*LN((($C$15-$B$39*(M$43-1))+273.15)/($C$16+273.15)))/$C$23*$C$24-$C$25))*$C$21/$C$22+1E-9)))</f>
        <v/>
      </c>
      <c r="N59" s="68">
        <f>MAX(0,MIN(4,INT(MIN($C$20,$C$19*(Rates!$D$66*(($C$15-$B$39*(N$43-1))-$C$16-($C$16+273.15)*LN((($C$15-$B$39*(N$43-1))+273.15)/($C$16+273.15)))/$C$23*$C$24-$C$25))*$C$21/$C$22+1E-9)))</f>
        <v/>
      </c>
      <c r="O59" s="68">
        <f>MAX(0,MIN(4,INT(MIN($C$20,$C$19*(Rates!$D$66*(($C$15-$B$39*(O$43-1))-$C$16-($C$16+273.15)*LN((($C$15-$B$39*(O$43-1))+273.15)/($C$16+273.15)))/$C$23*$C$24-$C$25))*$C$21/$C$22+1E-9)))</f>
        <v/>
      </c>
      <c r="P59" s="68">
        <f>MAX(0,MIN(4,INT(MIN($C$20,$C$19*(Rates!$D$66*(($C$15-$B$39*(P$43-1))-$C$16-($C$16+273.15)*LN((($C$15-$B$39*(P$43-1))+273.15)/($C$16+273.15)))/$C$23*$C$24-$C$25))*$C$21/$C$22+1E-9)))</f>
        <v/>
      </c>
      <c r="Q59" s="68">
        <f>MAX(0,MIN(4,INT(MIN($C$20,$C$19*(Rates!$D$66*(($C$15-$B$39*(Q$43-1))-$C$16-($C$16+273.15)*LN((($C$15-$B$39*(Q$43-1))+273.15)/($C$16+273.15)))/$C$23*$C$24-$C$25))*$C$21/$C$22+1E-9)))</f>
        <v/>
      </c>
      <c r="R59" s="68">
        <f>MAX(0,MIN(4,INT(MIN($C$20,$C$19*(Rates!$D$66*(($C$15-$B$39*(R$43-1))-$C$16-($C$16+273.15)*LN((($C$15-$B$39*(R$43-1))+273.15)/($C$16+273.15)))/$C$23*$C$24-$C$25))*$C$21/$C$22+1E-9)))</f>
        <v/>
      </c>
      <c r="S59" s="68">
        <f>MAX(0,MIN(4,INT(MIN($C$20,$C$19*(Rates!$D$66*(($C$15-$B$39*(S$43-1))-$C$16-($C$16+273.15)*LN((($C$15-$B$39*(S$43-1))+273.15)/($C$16+273.15)))/$C$23*$C$24-$C$25))*$C$21/$C$22+1E-9)))</f>
        <v/>
      </c>
      <c r="T59" s="68">
        <f>MAX(0,MIN(4,INT(MIN($C$20,$C$19*(Rates!$D$66*(($C$15-$B$39*(T$43-1))-$C$16-($C$16+273.15)*LN((($C$15-$B$39*(T$43-1))+273.15)/($C$16+273.15)))/$C$23*$C$24-$C$25))*$C$21/$C$22+1E-9)))</f>
        <v/>
      </c>
      <c r="U59" s="68">
        <f>MAX(0,MIN(4,INT(MIN($C$20,$C$19*(Rates!$D$66*(($C$15-$B$39*(U$43-1))-$C$16-($C$16+273.15)*LN((($C$15-$B$39*(U$43-1))+273.15)/($C$16+273.15)))/$C$23*$C$24-$C$25))*$C$21/$C$22+1E-9)))</f>
        <v/>
      </c>
      <c r="V59" s="68">
        <f>MAX(0,MIN(4,INT(MIN($C$20,$C$19*(Rates!$D$66*(($C$15-$B$39*(V$43-1))-$C$16-($C$16+273.15)*LN((($C$15-$B$39*(V$43-1))+273.15)/($C$16+273.15)))/$C$23*$C$24-$C$25))*$C$21/$C$22+1E-9)))</f>
        <v/>
      </c>
      <c r="W59" s="68">
        <f>MAX(0,MIN(4,INT(MIN($C$20,$C$19*(Rates!$D$66*(($C$15-$B$39*(W$43-1))-$C$16-($C$16+273.15)*LN((($C$15-$B$39*(W$43-1))+273.15)/($C$16+273.15)))/$C$23*$C$24-$C$25))*$C$21/$C$22+1E-9)))</f>
        <v/>
      </c>
      <c r="X59" s="68">
        <f>MAX(0,MIN(4,INT(MIN($C$20,$C$19*(Rates!$D$66*(($C$15-$B$39*(X$43-1))-$C$16-($C$16+273.15)*LN((($C$15-$B$39*(X$43-1))+273.15)/($C$16+273.15)))/$C$23*$C$24-$C$25))*$C$21/$C$22+1E-9)))</f>
        <v/>
      </c>
      <c r="Y59" s="68">
        <f>MAX(0,MIN(4,INT(MIN($C$20,$C$19*(Rates!$D$66*(($C$15-$B$39*(Y$43-1))-$C$16-($C$16+273.15)*LN((($C$15-$B$39*(Y$43-1))+273.15)/($C$16+273.15)))/$C$23*$C$24-$C$25))*$C$21/$C$22+1E-9)))</f>
        <v/>
      </c>
      <c r="Z59" s="68">
        <f>MAX(0,MIN(4,INT(MIN($C$20,$C$19*(Rates!$D$66*(($C$15-$B$39*(Z$43-1))-$C$16-($C$16+273.15)*LN((($C$15-$B$39*(Z$43-1))+273.15)/($C$16+273.15)))/$C$23*$C$24-$C$25))*$C$21/$C$22+1E-9)))</f>
        <v/>
      </c>
      <c r="AA59" s="68">
        <f>MAX(0,MIN(4,INT(MIN($C$20,$C$19*(Rates!$D$66*(($C$15-$B$39*(AA$43-1))-$C$16-($C$16+273.15)*LN((($C$15-$B$39*(AA$43-1))+273.15)/($C$16+273.15)))/$C$23*$C$24-$C$25))*$C$21/$C$22+1E-9)))</f>
        <v/>
      </c>
      <c r="AB59" s="68">
        <f>MAX(0,MIN(4,INT(MIN($C$20,$C$19*(Rates!$D$66*(($C$15-$B$39*(AB$43-1))-$C$16-($C$16+273.15)*LN((($C$15-$B$39*(AB$43-1))+273.15)/($C$16+273.15)))/$C$23*$C$24-$C$25))*$C$21/$C$22+1E-9)))</f>
        <v/>
      </c>
    </row>
    <row r="60">
      <c r="A60" s="68" t="inlineStr">
        <is>
          <t>compute CF: EGS base case 6.45 degC/yr</t>
        </is>
      </c>
      <c r="C60" s="68">
        <f>-'Sell-Compute'!$C$36</f>
        <v/>
      </c>
      <c r="D60" s="68">
        <f>IF(D$43&lt;=Rates!$D$71,('Sell-Compute'!$C$40-'Sell-Compute'!$C$42-'Sell-Compute'!$C$43)*(D59/4)-'Sell-Compute'!$C$41-'Sell-Compute'!$C$44-'Sell-Compute'!$C$45-IF(AND(MOD(D$43,'Sell-Compute'!$C$21)=0,D$43&lt;Rates!$D$71),'Sell-Compute'!$C$34*(D59/4),0),0)</f>
        <v/>
      </c>
      <c r="E60" s="68">
        <f>IF(E$43&lt;=Rates!$D$71,('Sell-Compute'!$C$40-'Sell-Compute'!$C$42-'Sell-Compute'!$C$43)*(E59/4)-'Sell-Compute'!$C$41-'Sell-Compute'!$C$44-'Sell-Compute'!$C$45-IF(AND(MOD(E$43,'Sell-Compute'!$C$21)=0,E$43&lt;Rates!$D$71),'Sell-Compute'!$C$34*(E59/4),0),0)</f>
        <v/>
      </c>
      <c r="F60" s="68">
        <f>IF(F$43&lt;=Rates!$D$71,('Sell-Compute'!$C$40-'Sell-Compute'!$C$42-'Sell-Compute'!$C$43)*(F59/4)-'Sell-Compute'!$C$41-'Sell-Compute'!$C$44-'Sell-Compute'!$C$45-IF(AND(MOD(F$43,'Sell-Compute'!$C$21)=0,F$43&lt;Rates!$D$71),'Sell-Compute'!$C$34*(F59/4),0),0)</f>
        <v/>
      </c>
      <c r="G60" s="68">
        <f>IF(G$43&lt;=Rates!$D$71,('Sell-Compute'!$C$40-'Sell-Compute'!$C$42-'Sell-Compute'!$C$43)*(G59/4)-'Sell-Compute'!$C$41-'Sell-Compute'!$C$44-'Sell-Compute'!$C$45-IF(AND(MOD(G$43,'Sell-Compute'!$C$21)=0,G$43&lt;Rates!$D$71),'Sell-Compute'!$C$34*(G59/4),0),0)</f>
        <v/>
      </c>
      <c r="H60" s="68">
        <f>IF(H$43&lt;=Rates!$D$71,('Sell-Compute'!$C$40-'Sell-Compute'!$C$42-'Sell-Compute'!$C$43)*(H59/4)-'Sell-Compute'!$C$41-'Sell-Compute'!$C$44-'Sell-Compute'!$C$45-IF(AND(MOD(H$43,'Sell-Compute'!$C$21)=0,H$43&lt;Rates!$D$71),'Sell-Compute'!$C$34*(H59/4),0),0)</f>
        <v/>
      </c>
      <c r="I60" s="68">
        <f>IF(I$43&lt;=Rates!$D$71,('Sell-Compute'!$C$40-'Sell-Compute'!$C$42-'Sell-Compute'!$C$43)*(I59/4)-'Sell-Compute'!$C$41-'Sell-Compute'!$C$44-'Sell-Compute'!$C$45-IF(AND(MOD(I$43,'Sell-Compute'!$C$21)=0,I$43&lt;Rates!$D$71),'Sell-Compute'!$C$34*(I59/4),0),0)</f>
        <v/>
      </c>
      <c r="J60" s="68">
        <f>IF(J$43&lt;=Rates!$D$71,('Sell-Compute'!$C$40-'Sell-Compute'!$C$42-'Sell-Compute'!$C$43)*(J59/4)-'Sell-Compute'!$C$41-'Sell-Compute'!$C$44-'Sell-Compute'!$C$45-IF(AND(MOD(J$43,'Sell-Compute'!$C$21)=0,J$43&lt;Rates!$D$71),'Sell-Compute'!$C$34*(J59/4),0),0)</f>
        <v/>
      </c>
      <c r="K60" s="68">
        <f>IF(K$43&lt;=Rates!$D$71,('Sell-Compute'!$C$40-'Sell-Compute'!$C$42-'Sell-Compute'!$C$43)*(K59/4)-'Sell-Compute'!$C$41-'Sell-Compute'!$C$44-'Sell-Compute'!$C$45-IF(AND(MOD(K$43,'Sell-Compute'!$C$21)=0,K$43&lt;Rates!$D$71),'Sell-Compute'!$C$34*(K59/4),0),0)</f>
        <v/>
      </c>
      <c r="L60" s="68">
        <f>IF(L$43&lt;=Rates!$D$71,('Sell-Compute'!$C$40-'Sell-Compute'!$C$42-'Sell-Compute'!$C$43)*(L59/4)-'Sell-Compute'!$C$41-'Sell-Compute'!$C$44-'Sell-Compute'!$C$45-IF(AND(MOD(L$43,'Sell-Compute'!$C$21)=0,L$43&lt;Rates!$D$71),'Sell-Compute'!$C$34*(L59/4),0),0)</f>
        <v/>
      </c>
      <c r="M60" s="68">
        <f>IF(M$43&lt;=Rates!$D$71,('Sell-Compute'!$C$40-'Sell-Compute'!$C$42-'Sell-Compute'!$C$43)*(M59/4)-'Sell-Compute'!$C$41-'Sell-Compute'!$C$44-'Sell-Compute'!$C$45-IF(AND(MOD(M$43,'Sell-Compute'!$C$21)=0,M$43&lt;Rates!$D$71),'Sell-Compute'!$C$34*(M59/4),0),0)</f>
        <v/>
      </c>
      <c r="N60" s="68">
        <f>IF(N$43&lt;=Rates!$D$71,('Sell-Compute'!$C$40-'Sell-Compute'!$C$42-'Sell-Compute'!$C$43)*(N59/4)-'Sell-Compute'!$C$41-'Sell-Compute'!$C$44-'Sell-Compute'!$C$45-IF(AND(MOD(N$43,'Sell-Compute'!$C$21)=0,N$43&lt;Rates!$D$71),'Sell-Compute'!$C$34*(N59/4),0),0)</f>
        <v/>
      </c>
      <c r="O60" s="68">
        <f>IF(O$43&lt;=Rates!$D$71,('Sell-Compute'!$C$40-'Sell-Compute'!$C$42-'Sell-Compute'!$C$43)*(O59/4)-'Sell-Compute'!$C$41-'Sell-Compute'!$C$44-'Sell-Compute'!$C$45-IF(AND(MOD(O$43,'Sell-Compute'!$C$21)=0,O$43&lt;Rates!$D$71),'Sell-Compute'!$C$34*(O59/4),0),0)</f>
        <v/>
      </c>
      <c r="P60" s="68">
        <f>IF(P$43&lt;=Rates!$D$71,('Sell-Compute'!$C$40-'Sell-Compute'!$C$42-'Sell-Compute'!$C$43)*(P59/4)-'Sell-Compute'!$C$41-'Sell-Compute'!$C$44-'Sell-Compute'!$C$45-IF(AND(MOD(P$43,'Sell-Compute'!$C$21)=0,P$43&lt;Rates!$D$71),'Sell-Compute'!$C$34*(P59/4),0),0)</f>
        <v/>
      </c>
      <c r="Q60" s="68">
        <f>IF(Q$43&lt;=Rates!$D$71,('Sell-Compute'!$C$40-'Sell-Compute'!$C$42-'Sell-Compute'!$C$43)*(Q59/4)-'Sell-Compute'!$C$41-'Sell-Compute'!$C$44-'Sell-Compute'!$C$45-IF(AND(MOD(Q$43,'Sell-Compute'!$C$21)=0,Q$43&lt;Rates!$D$71),'Sell-Compute'!$C$34*(Q59/4),0),0)</f>
        <v/>
      </c>
      <c r="R60" s="68">
        <f>IF(R$43&lt;=Rates!$D$71,('Sell-Compute'!$C$40-'Sell-Compute'!$C$42-'Sell-Compute'!$C$43)*(R59/4)-'Sell-Compute'!$C$41-'Sell-Compute'!$C$44-'Sell-Compute'!$C$45-IF(AND(MOD(R$43,'Sell-Compute'!$C$21)=0,R$43&lt;Rates!$D$71),'Sell-Compute'!$C$34*(R59/4),0),0)</f>
        <v/>
      </c>
      <c r="S60" s="68">
        <f>IF(S$43&lt;=Rates!$D$71,('Sell-Compute'!$C$40-'Sell-Compute'!$C$42-'Sell-Compute'!$C$43)*(S59/4)-'Sell-Compute'!$C$41-'Sell-Compute'!$C$44-'Sell-Compute'!$C$45-IF(AND(MOD(S$43,'Sell-Compute'!$C$21)=0,S$43&lt;Rates!$D$71),'Sell-Compute'!$C$34*(S59/4),0),0)</f>
        <v/>
      </c>
      <c r="T60" s="68">
        <f>IF(T$43&lt;=Rates!$D$71,('Sell-Compute'!$C$40-'Sell-Compute'!$C$42-'Sell-Compute'!$C$43)*(T59/4)-'Sell-Compute'!$C$41-'Sell-Compute'!$C$44-'Sell-Compute'!$C$45-IF(AND(MOD(T$43,'Sell-Compute'!$C$21)=0,T$43&lt;Rates!$D$71),'Sell-Compute'!$C$34*(T59/4),0),0)</f>
        <v/>
      </c>
      <c r="U60" s="68">
        <f>IF(U$43&lt;=Rates!$D$71,('Sell-Compute'!$C$40-'Sell-Compute'!$C$42-'Sell-Compute'!$C$43)*(U59/4)-'Sell-Compute'!$C$41-'Sell-Compute'!$C$44-'Sell-Compute'!$C$45-IF(AND(MOD(U$43,'Sell-Compute'!$C$21)=0,U$43&lt;Rates!$D$71),'Sell-Compute'!$C$34*(U59/4),0),0)</f>
        <v/>
      </c>
      <c r="V60" s="68">
        <f>IF(V$43&lt;=Rates!$D$71,('Sell-Compute'!$C$40-'Sell-Compute'!$C$42-'Sell-Compute'!$C$43)*(V59/4)-'Sell-Compute'!$C$41-'Sell-Compute'!$C$44-'Sell-Compute'!$C$45-IF(AND(MOD(V$43,'Sell-Compute'!$C$21)=0,V$43&lt;Rates!$D$71),'Sell-Compute'!$C$34*(V59/4),0),0)</f>
        <v/>
      </c>
      <c r="W60" s="68">
        <f>IF(W$43&lt;=Rates!$D$71,('Sell-Compute'!$C$40-'Sell-Compute'!$C$42-'Sell-Compute'!$C$43)*(W59/4)-'Sell-Compute'!$C$41-'Sell-Compute'!$C$44-'Sell-Compute'!$C$45-IF(AND(MOD(W$43,'Sell-Compute'!$C$21)=0,W$43&lt;Rates!$D$71),'Sell-Compute'!$C$34*(W59/4),0),0)</f>
        <v/>
      </c>
      <c r="X60" s="68">
        <f>IF(X$43&lt;=Rates!$D$71,('Sell-Compute'!$C$40-'Sell-Compute'!$C$42-'Sell-Compute'!$C$43)*(X59/4)-'Sell-Compute'!$C$41-'Sell-Compute'!$C$44-'Sell-Compute'!$C$45-IF(AND(MOD(X$43,'Sell-Compute'!$C$21)=0,X$43&lt;Rates!$D$71),'Sell-Compute'!$C$34*(X59/4),0),0)</f>
        <v/>
      </c>
      <c r="Y60" s="68">
        <f>IF(Y$43&lt;=Rates!$D$71,('Sell-Compute'!$C$40-'Sell-Compute'!$C$42-'Sell-Compute'!$C$43)*(Y59/4)-'Sell-Compute'!$C$41-'Sell-Compute'!$C$44-'Sell-Compute'!$C$45-IF(AND(MOD(Y$43,'Sell-Compute'!$C$21)=0,Y$43&lt;Rates!$D$71),'Sell-Compute'!$C$34*(Y59/4),0),0)</f>
        <v/>
      </c>
      <c r="Z60" s="68">
        <f>IF(Z$43&lt;=Rates!$D$71,('Sell-Compute'!$C$40-'Sell-Compute'!$C$42-'Sell-Compute'!$C$43)*(Z59/4)-'Sell-Compute'!$C$41-'Sell-Compute'!$C$44-'Sell-Compute'!$C$45-IF(AND(MOD(Z$43,'Sell-Compute'!$C$21)=0,Z$43&lt;Rates!$D$71),'Sell-Compute'!$C$34*(Z59/4),0),0)</f>
        <v/>
      </c>
      <c r="AA60" s="68">
        <f>IF(AA$43&lt;=Rates!$D$71,('Sell-Compute'!$C$40-'Sell-Compute'!$C$42-'Sell-Compute'!$C$43)*(AA59/4)-'Sell-Compute'!$C$41-'Sell-Compute'!$C$44-'Sell-Compute'!$C$45-IF(AND(MOD(AA$43,'Sell-Compute'!$C$21)=0,AA$43&lt;Rates!$D$71),'Sell-Compute'!$C$34*(AA59/4),0),0)</f>
        <v/>
      </c>
      <c r="AB60" s="68">
        <f>IF(AB$43&lt;=Rates!$D$71,('Sell-Compute'!$C$40-'Sell-Compute'!$C$42-'Sell-Compute'!$C$43)*(AB59/4)-'Sell-Compute'!$C$41-'Sell-Compute'!$C$44-'Sell-Compute'!$C$45-IF(AND(MOD(AB$43,'Sell-Compute'!$C$21)=0,AB$43&lt;Rates!$D$71),'Sell-Compute'!$C$34*(AB59/4),0),0)</f>
        <v/>
      </c>
    </row>
    <row r="61">
      <c r="A61" s="68" t="inlineStr">
        <is>
          <t>colo CF: EGS base case 6.45 degC/yr</t>
        </is>
      </c>
      <c r="C61" s="68">
        <f>-'Sell-Compute'!$I$36</f>
        <v/>
      </c>
      <c r="D61" s="68">
        <f>IF(D$43&lt;=Rates!$D$71,'Sell-Compute'!$I$46-'Sell-Compute'!$I$40*(1-(D59/4)),0)</f>
        <v/>
      </c>
      <c r="E61" s="68">
        <f>IF(E$43&lt;=Rates!$D$71,'Sell-Compute'!$I$46-'Sell-Compute'!$I$40*(1-(E59/4)),0)</f>
        <v/>
      </c>
      <c r="F61" s="68">
        <f>IF(F$43&lt;=Rates!$D$71,'Sell-Compute'!$I$46-'Sell-Compute'!$I$40*(1-(F59/4)),0)</f>
        <v/>
      </c>
      <c r="G61" s="68">
        <f>IF(G$43&lt;=Rates!$D$71,'Sell-Compute'!$I$46-'Sell-Compute'!$I$40*(1-(G59/4)),0)</f>
        <v/>
      </c>
      <c r="H61" s="68">
        <f>IF(H$43&lt;=Rates!$D$71,'Sell-Compute'!$I$46-'Sell-Compute'!$I$40*(1-(H59/4)),0)</f>
        <v/>
      </c>
      <c r="I61" s="68">
        <f>IF(I$43&lt;=Rates!$D$71,'Sell-Compute'!$I$46-'Sell-Compute'!$I$40*(1-(I59/4)),0)</f>
        <v/>
      </c>
      <c r="J61" s="68">
        <f>IF(J$43&lt;=Rates!$D$71,'Sell-Compute'!$I$46-'Sell-Compute'!$I$40*(1-(J59/4)),0)</f>
        <v/>
      </c>
      <c r="K61" s="68">
        <f>IF(K$43&lt;=Rates!$D$71,'Sell-Compute'!$I$46-'Sell-Compute'!$I$40*(1-(K59/4)),0)</f>
        <v/>
      </c>
      <c r="L61" s="68">
        <f>IF(L$43&lt;=Rates!$D$71,'Sell-Compute'!$I$46-'Sell-Compute'!$I$40*(1-(L59/4)),0)</f>
        <v/>
      </c>
      <c r="M61" s="68">
        <f>IF(M$43&lt;=Rates!$D$71,'Sell-Compute'!$I$46-'Sell-Compute'!$I$40*(1-(M59/4)),0)</f>
        <v/>
      </c>
      <c r="N61" s="68">
        <f>IF(N$43&lt;=Rates!$D$71,'Sell-Compute'!$I$46-'Sell-Compute'!$I$40*(1-(N59/4)),0)</f>
        <v/>
      </c>
      <c r="O61" s="68">
        <f>IF(O$43&lt;=Rates!$D$71,'Sell-Compute'!$I$46-'Sell-Compute'!$I$40*(1-(O59/4)),0)</f>
        <v/>
      </c>
      <c r="P61" s="68">
        <f>IF(P$43&lt;=Rates!$D$71,'Sell-Compute'!$I$46-'Sell-Compute'!$I$40*(1-(P59/4)),0)</f>
        <v/>
      </c>
      <c r="Q61" s="68">
        <f>IF(Q$43&lt;=Rates!$D$71,'Sell-Compute'!$I$46-'Sell-Compute'!$I$40*(1-(Q59/4)),0)</f>
        <v/>
      </c>
      <c r="R61" s="68">
        <f>IF(R$43&lt;=Rates!$D$71,'Sell-Compute'!$I$46-'Sell-Compute'!$I$40*(1-(R59/4)),0)</f>
        <v/>
      </c>
      <c r="S61" s="68">
        <f>IF(S$43&lt;=Rates!$D$71,'Sell-Compute'!$I$46-'Sell-Compute'!$I$40*(1-(S59/4)),0)</f>
        <v/>
      </c>
      <c r="T61" s="68">
        <f>IF(T$43&lt;=Rates!$D$71,'Sell-Compute'!$I$46-'Sell-Compute'!$I$40*(1-(T59/4)),0)</f>
        <v/>
      </c>
      <c r="U61" s="68">
        <f>IF(U$43&lt;=Rates!$D$71,'Sell-Compute'!$I$46-'Sell-Compute'!$I$40*(1-(U59/4)),0)</f>
        <v/>
      </c>
      <c r="V61" s="68">
        <f>IF(V$43&lt;=Rates!$D$71,'Sell-Compute'!$I$46-'Sell-Compute'!$I$40*(1-(V59/4)),0)</f>
        <v/>
      </c>
      <c r="W61" s="68">
        <f>IF(W$43&lt;=Rates!$D$71,'Sell-Compute'!$I$46-'Sell-Compute'!$I$40*(1-(W59/4)),0)</f>
        <v/>
      </c>
      <c r="X61" s="68">
        <f>IF(X$43&lt;=Rates!$D$71,'Sell-Compute'!$I$46-'Sell-Compute'!$I$40*(1-(X59/4)),0)</f>
        <v/>
      </c>
      <c r="Y61" s="68">
        <f>IF(Y$43&lt;=Rates!$D$71,'Sell-Compute'!$I$46-'Sell-Compute'!$I$40*(1-(Y59/4)),0)</f>
        <v/>
      </c>
      <c r="Z61" s="68">
        <f>IF(Z$43&lt;=Rates!$D$71,'Sell-Compute'!$I$46-'Sell-Compute'!$I$40*(1-(Z59/4)),0)</f>
        <v/>
      </c>
      <c r="AA61" s="68">
        <f>IF(AA$43&lt;=Rates!$D$71,'Sell-Compute'!$I$46-'Sell-Compute'!$I$40*(1-(AA59/4)),0)</f>
        <v/>
      </c>
      <c r="AB61" s="68">
        <f>IF(AB$43&lt;=Rates!$D$71,'Sell-Compute'!$I$46-'Sell-Compute'!$I$40*(1-(AB59/4)),0)</f>
        <v/>
      </c>
    </row>
    <row r="62">
      <c r="A62" s="68" t="inlineStr">
        <is>
          <t>modules: Stress 10 degC/yr (ASSUMPTION)</t>
        </is>
      </c>
      <c r="D62" s="68">
        <f>MAX(0,MIN(4,INT(MIN($C$20,$C$19*(Rates!$D$66*(($C$15-$B$40*(D$43-1))-$C$16-($C$16+273.15)*LN((($C$15-$B$40*(D$43-1))+273.15)/($C$16+273.15)))/$C$23*$C$24-$C$25))*$C$21/$C$22+1E-9)))</f>
        <v/>
      </c>
      <c r="E62" s="68">
        <f>MAX(0,MIN(4,INT(MIN($C$20,$C$19*(Rates!$D$66*(($C$15-$B$40*(E$43-1))-$C$16-($C$16+273.15)*LN((($C$15-$B$40*(E$43-1))+273.15)/($C$16+273.15)))/$C$23*$C$24-$C$25))*$C$21/$C$22+1E-9)))</f>
        <v/>
      </c>
      <c r="F62" s="68">
        <f>MAX(0,MIN(4,INT(MIN($C$20,$C$19*(Rates!$D$66*(($C$15-$B$40*(F$43-1))-$C$16-($C$16+273.15)*LN((($C$15-$B$40*(F$43-1))+273.15)/($C$16+273.15)))/$C$23*$C$24-$C$25))*$C$21/$C$22+1E-9)))</f>
        <v/>
      </c>
      <c r="G62" s="68">
        <f>MAX(0,MIN(4,INT(MIN($C$20,$C$19*(Rates!$D$66*(($C$15-$B$40*(G$43-1))-$C$16-($C$16+273.15)*LN((($C$15-$B$40*(G$43-1))+273.15)/($C$16+273.15)))/$C$23*$C$24-$C$25))*$C$21/$C$22+1E-9)))</f>
        <v/>
      </c>
      <c r="H62" s="68">
        <f>MAX(0,MIN(4,INT(MIN($C$20,$C$19*(Rates!$D$66*(($C$15-$B$40*(H$43-1))-$C$16-($C$16+273.15)*LN((($C$15-$B$40*(H$43-1))+273.15)/($C$16+273.15)))/$C$23*$C$24-$C$25))*$C$21/$C$22+1E-9)))</f>
        <v/>
      </c>
      <c r="I62" s="68">
        <f>MAX(0,MIN(4,INT(MIN($C$20,$C$19*(Rates!$D$66*(($C$15-$B$40*(I$43-1))-$C$16-($C$16+273.15)*LN((($C$15-$B$40*(I$43-1))+273.15)/($C$16+273.15)))/$C$23*$C$24-$C$25))*$C$21/$C$22+1E-9)))</f>
        <v/>
      </c>
      <c r="J62" s="68">
        <f>MAX(0,MIN(4,INT(MIN($C$20,$C$19*(Rates!$D$66*(($C$15-$B$40*(J$43-1))-$C$16-($C$16+273.15)*LN((($C$15-$B$40*(J$43-1))+273.15)/($C$16+273.15)))/$C$23*$C$24-$C$25))*$C$21/$C$22+1E-9)))</f>
        <v/>
      </c>
      <c r="K62" s="68">
        <f>MAX(0,MIN(4,INT(MIN($C$20,$C$19*(Rates!$D$66*(($C$15-$B$40*(K$43-1))-$C$16-($C$16+273.15)*LN((($C$15-$B$40*(K$43-1))+273.15)/($C$16+273.15)))/$C$23*$C$24-$C$25))*$C$21/$C$22+1E-9)))</f>
        <v/>
      </c>
      <c r="L62" s="68">
        <f>MAX(0,MIN(4,INT(MIN($C$20,$C$19*(Rates!$D$66*(($C$15-$B$40*(L$43-1))-$C$16-($C$16+273.15)*LN((($C$15-$B$40*(L$43-1))+273.15)/($C$16+273.15)))/$C$23*$C$24-$C$25))*$C$21/$C$22+1E-9)))</f>
        <v/>
      </c>
      <c r="M62" s="68">
        <f>MAX(0,MIN(4,INT(MIN($C$20,$C$19*(Rates!$D$66*(($C$15-$B$40*(M$43-1))-$C$16-($C$16+273.15)*LN((($C$15-$B$40*(M$43-1))+273.15)/($C$16+273.15)))/$C$23*$C$24-$C$25))*$C$21/$C$22+1E-9)))</f>
        <v/>
      </c>
      <c r="N62" s="68">
        <f>MAX(0,MIN(4,INT(MIN($C$20,$C$19*(Rates!$D$66*(($C$15-$B$40*(N$43-1))-$C$16-($C$16+273.15)*LN((($C$15-$B$40*(N$43-1))+273.15)/($C$16+273.15)))/$C$23*$C$24-$C$25))*$C$21/$C$22+1E-9)))</f>
        <v/>
      </c>
      <c r="O62" s="68">
        <f>MAX(0,MIN(4,INT(MIN($C$20,$C$19*(Rates!$D$66*(($C$15-$B$40*(O$43-1))-$C$16-($C$16+273.15)*LN((($C$15-$B$40*(O$43-1))+273.15)/($C$16+273.15)))/$C$23*$C$24-$C$25))*$C$21/$C$22+1E-9)))</f>
        <v/>
      </c>
      <c r="P62" s="68">
        <f>MAX(0,MIN(4,INT(MIN($C$20,$C$19*(Rates!$D$66*(($C$15-$B$40*(P$43-1))-$C$16-($C$16+273.15)*LN((($C$15-$B$40*(P$43-1))+273.15)/($C$16+273.15)))/$C$23*$C$24-$C$25))*$C$21/$C$22+1E-9)))</f>
        <v/>
      </c>
      <c r="Q62" s="68">
        <f>MAX(0,MIN(4,INT(MIN($C$20,$C$19*(Rates!$D$66*(($C$15-$B$40*(Q$43-1))-$C$16-($C$16+273.15)*LN((($C$15-$B$40*(Q$43-1))+273.15)/($C$16+273.15)))/$C$23*$C$24-$C$25))*$C$21/$C$22+1E-9)))</f>
        <v/>
      </c>
      <c r="R62" s="68">
        <f>MAX(0,MIN(4,INT(MIN($C$20,$C$19*(Rates!$D$66*(($C$15-$B$40*(R$43-1))-$C$16-($C$16+273.15)*LN((($C$15-$B$40*(R$43-1))+273.15)/($C$16+273.15)))/$C$23*$C$24-$C$25))*$C$21/$C$22+1E-9)))</f>
        <v/>
      </c>
      <c r="S62" s="68">
        <f>MAX(0,MIN(4,INT(MIN($C$20,$C$19*(Rates!$D$66*(($C$15-$B$40*(S$43-1))-$C$16-($C$16+273.15)*LN((($C$15-$B$40*(S$43-1))+273.15)/($C$16+273.15)))/$C$23*$C$24-$C$25))*$C$21/$C$22+1E-9)))</f>
        <v/>
      </c>
      <c r="T62" s="68">
        <f>MAX(0,MIN(4,INT(MIN($C$20,$C$19*(Rates!$D$66*(($C$15-$B$40*(T$43-1))-$C$16-($C$16+273.15)*LN((($C$15-$B$40*(T$43-1))+273.15)/($C$16+273.15)))/$C$23*$C$24-$C$25))*$C$21/$C$22+1E-9)))</f>
        <v/>
      </c>
      <c r="U62" s="68">
        <f>MAX(0,MIN(4,INT(MIN($C$20,$C$19*(Rates!$D$66*(($C$15-$B$40*(U$43-1))-$C$16-($C$16+273.15)*LN((($C$15-$B$40*(U$43-1))+273.15)/($C$16+273.15)))/$C$23*$C$24-$C$25))*$C$21/$C$22+1E-9)))</f>
        <v/>
      </c>
      <c r="V62" s="68">
        <f>MAX(0,MIN(4,INT(MIN($C$20,$C$19*(Rates!$D$66*(($C$15-$B$40*(V$43-1))-$C$16-($C$16+273.15)*LN((($C$15-$B$40*(V$43-1))+273.15)/($C$16+273.15)))/$C$23*$C$24-$C$25))*$C$21/$C$22+1E-9)))</f>
        <v/>
      </c>
      <c r="W62" s="68">
        <f>MAX(0,MIN(4,INT(MIN($C$20,$C$19*(Rates!$D$66*(($C$15-$B$40*(W$43-1))-$C$16-($C$16+273.15)*LN((($C$15-$B$40*(W$43-1))+273.15)/($C$16+273.15)))/$C$23*$C$24-$C$25))*$C$21/$C$22+1E-9)))</f>
        <v/>
      </c>
      <c r="X62" s="68">
        <f>MAX(0,MIN(4,INT(MIN($C$20,$C$19*(Rates!$D$66*(($C$15-$B$40*(X$43-1))-$C$16-($C$16+273.15)*LN((($C$15-$B$40*(X$43-1))+273.15)/($C$16+273.15)))/$C$23*$C$24-$C$25))*$C$21/$C$22+1E-9)))</f>
        <v/>
      </c>
      <c r="Y62" s="68">
        <f>MAX(0,MIN(4,INT(MIN($C$20,$C$19*(Rates!$D$66*(($C$15-$B$40*(Y$43-1))-$C$16-($C$16+273.15)*LN((($C$15-$B$40*(Y$43-1))+273.15)/($C$16+273.15)))/$C$23*$C$24-$C$25))*$C$21/$C$22+1E-9)))</f>
        <v/>
      </c>
      <c r="Z62" s="68">
        <f>MAX(0,MIN(4,INT(MIN($C$20,$C$19*(Rates!$D$66*(($C$15-$B$40*(Z$43-1))-$C$16-($C$16+273.15)*LN((($C$15-$B$40*(Z$43-1))+273.15)/($C$16+273.15)))/$C$23*$C$24-$C$25))*$C$21/$C$22+1E-9)))</f>
        <v/>
      </c>
      <c r="AA62" s="68">
        <f>MAX(0,MIN(4,INT(MIN($C$20,$C$19*(Rates!$D$66*(($C$15-$B$40*(AA$43-1))-$C$16-($C$16+273.15)*LN((($C$15-$B$40*(AA$43-1))+273.15)/($C$16+273.15)))/$C$23*$C$24-$C$25))*$C$21/$C$22+1E-9)))</f>
        <v/>
      </c>
      <c r="AB62" s="68">
        <f>MAX(0,MIN(4,INT(MIN($C$20,$C$19*(Rates!$D$66*(($C$15-$B$40*(AB$43-1))-$C$16-($C$16+273.15)*LN((($C$15-$B$40*(AB$43-1))+273.15)/($C$16+273.15)))/$C$23*$C$24-$C$25))*$C$21/$C$22+1E-9)))</f>
        <v/>
      </c>
    </row>
    <row r="63">
      <c r="A63" s="68" t="inlineStr">
        <is>
          <t>compute CF: Stress 10 degC/yr (ASSUMPTION)</t>
        </is>
      </c>
      <c r="C63" s="68">
        <f>-'Sell-Compute'!$C$36</f>
        <v/>
      </c>
      <c r="D63" s="68">
        <f>IF(D$43&lt;=Rates!$D$71,('Sell-Compute'!$C$40-'Sell-Compute'!$C$42-'Sell-Compute'!$C$43)*(D62/4)-'Sell-Compute'!$C$41-'Sell-Compute'!$C$44-'Sell-Compute'!$C$45-IF(AND(MOD(D$43,'Sell-Compute'!$C$21)=0,D$43&lt;Rates!$D$71),'Sell-Compute'!$C$34*(D62/4),0),0)</f>
        <v/>
      </c>
      <c r="E63" s="68">
        <f>IF(E$43&lt;=Rates!$D$71,('Sell-Compute'!$C$40-'Sell-Compute'!$C$42-'Sell-Compute'!$C$43)*(E62/4)-'Sell-Compute'!$C$41-'Sell-Compute'!$C$44-'Sell-Compute'!$C$45-IF(AND(MOD(E$43,'Sell-Compute'!$C$21)=0,E$43&lt;Rates!$D$71),'Sell-Compute'!$C$34*(E62/4),0),0)</f>
        <v/>
      </c>
      <c r="F63" s="68">
        <f>IF(F$43&lt;=Rates!$D$71,('Sell-Compute'!$C$40-'Sell-Compute'!$C$42-'Sell-Compute'!$C$43)*(F62/4)-'Sell-Compute'!$C$41-'Sell-Compute'!$C$44-'Sell-Compute'!$C$45-IF(AND(MOD(F$43,'Sell-Compute'!$C$21)=0,F$43&lt;Rates!$D$71),'Sell-Compute'!$C$34*(F62/4),0),0)</f>
        <v/>
      </c>
      <c r="G63" s="68">
        <f>IF(G$43&lt;=Rates!$D$71,('Sell-Compute'!$C$40-'Sell-Compute'!$C$42-'Sell-Compute'!$C$43)*(G62/4)-'Sell-Compute'!$C$41-'Sell-Compute'!$C$44-'Sell-Compute'!$C$45-IF(AND(MOD(G$43,'Sell-Compute'!$C$21)=0,G$43&lt;Rates!$D$71),'Sell-Compute'!$C$34*(G62/4),0),0)</f>
        <v/>
      </c>
      <c r="H63" s="68">
        <f>IF(H$43&lt;=Rates!$D$71,('Sell-Compute'!$C$40-'Sell-Compute'!$C$42-'Sell-Compute'!$C$43)*(H62/4)-'Sell-Compute'!$C$41-'Sell-Compute'!$C$44-'Sell-Compute'!$C$45-IF(AND(MOD(H$43,'Sell-Compute'!$C$21)=0,H$43&lt;Rates!$D$71),'Sell-Compute'!$C$34*(H62/4),0),0)</f>
        <v/>
      </c>
      <c r="I63" s="68">
        <f>IF(I$43&lt;=Rates!$D$71,('Sell-Compute'!$C$40-'Sell-Compute'!$C$42-'Sell-Compute'!$C$43)*(I62/4)-'Sell-Compute'!$C$41-'Sell-Compute'!$C$44-'Sell-Compute'!$C$45-IF(AND(MOD(I$43,'Sell-Compute'!$C$21)=0,I$43&lt;Rates!$D$71),'Sell-Compute'!$C$34*(I62/4),0),0)</f>
        <v/>
      </c>
      <c r="J63" s="68">
        <f>IF(J$43&lt;=Rates!$D$71,('Sell-Compute'!$C$40-'Sell-Compute'!$C$42-'Sell-Compute'!$C$43)*(J62/4)-'Sell-Compute'!$C$41-'Sell-Compute'!$C$44-'Sell-Compute'!$C$45-IF(AND(MOD(J$43,'Sell-Compute'!$C$21)=0,J$43&lt;Rates!$D$71),'Sell-Compute'!$C$34*(J62/4),0),0)</f>
        <v/>
      </c>
      <c r="K63" s="68">
        <f>IF(K$43&lt;=Rates!$D$71,('Sell-Compute'!$C$40-'Sell-Compute'!$C$42-'Sell-Compute'!$C$43)*(K62/4)-'Sell-Compute'!$C$41-'Sell-Compute'!$C$44-'Sell-Compute'!$C$45-IF(AND(MOD(K$43,'Sell-Compute'!$C$21)=0,K$43&lt;Rates!$D$71),'Sell-Compute'!$C$34*(K62/4),0),0)</f>
        <v/>
      </c>
      <c r="L63" s="68">
        <f>IF(L$43&lt;=Rates!$D$71,('Sell-Compute'!$C$40-'Sell-Compute'!$C$42-'Sell-Compute'!$C$43)*(L62/4)-'Sell-Compute'!$C$41-'Sell-Compute'!$C$44-'Sell-Compute'!$C$45-IF(AND(MOD(L$43,'Sell-Compute'!$C$21)=0,L$43&lt;Rates!$D$71),'Sell-Compute'!$C$34*(L62/4),0),0)</f>
        <v/>
      </c>
      <c r="M63" s="68">
        <f>IF(M$43&lt;=Rates!$D$71,('Sell-Compute'!$C$40-'Sell-Compute'!$C$42-'Sell-Compute'!$C$43)*(M62/4)-'Sell-Compute'!$C$41-'Sell-Compute'!$C$44-'Sell-Compute'!$C$45-IF(AND(MOD(M$43,'Sell-Compute'!$C$21)=0,M$43&lt;Rates!$D$71),'Sell-Compute'!$C$34*(M62/4),0),0)</f>
        <v/>
      </c>
      <c r="N63" s="68">
        <f>IF(N$43&lt;=Rates!$D$71,('Sell-Compute'!$C$40-'Sell-Compute'!$C$42-'Sell-Compute'!$C$43)*(N62/4)-'Sell-Compute'!$C$41-'Sell-Compute'!$C$44-'Sell-Compute'!$C$45-IF(AND(MOD(N$43,'Sell-Compute'!$C$21)=0,N$43&lt;Rates!$D$71),'Sell-Compute'!$C$34*(N62/4),0),0)</f>
        <v/>
      </c>
      <c r="O63" s="68">
        <f>IF(O$43&lt;=Rates!$D$71,('Sell-Compute'!$C$40-'Sell-Compute'!$C$42-'Sell-Compute'!$C$43)*(O62/4)-'Sell-Compute'!$C$41-'Sell-Compute'!$C$44-'Sell-Compute'!$C$45-IF(AND(MOD(O$43,'Sell-Compute'!$C$21)=0,O$43&lt;Rates!$D$71),'Sell-Compute'!$C$34*(O62/4),0),0)</f>
        <v/>
      </c>
      <c r="P63" s="68">
        <f>IF(P$43&lt;=Rates!$D$71,('Sell-Compute'!$C$40-'Sell-Compute'!$C$42-'Sell-Compute'!$C$43)*(P62/4)-'Sell-Compute'!$C$41-'Sell-Compute'!$C$44-'Sell-Compute'!$C$45-IF(AND(MOD(P$43,'Sell-Compute'!$C$21)=0,P$43&lt;Rates!$D$71),'Sell-Compute'!$C$34*(P62/4),0),0)</f>
        <v/>
      </c>
      <c r="Q63" s="68">
        <f>IF(Q$43&lt;=Rates!$D$71,('Sell-Compute'!$C$40-'Sell-Compute'!$C$42-'Sell-Compute'!$C$43)*(Q62/4)-'Sell-Compute'!$C$41-'Sell-Compute'!$C$44-'Sell-Compute'!$C$45-IF(AND(MOD(Q$43,'Sell-Compute'!$C$21)=0,Q$43&lt;Rates!$D$71),'Sell-Compute'!$C$34*(Q62/4),0),0)</f>
        <v/>
      </c>
      <c r="R63" s="68">
        <f>IF(R$43&lt;=Rates!$D$71,('Sell-Compute'!$C$40-'Sell-Compute'!$C$42-'Sell-Compute'!$C$43)*(R62/4)-'Sell-Compute'!$C$41-'Sell-Compute'!$C$44-'Sell-Compute'!$C$45-IF(AND(MOD(R$43,'Sell-Compute'!$C$21)=0,R$43&lt;Rates!$D$71),'Sell-Compute'!$C$34*(R62/4),0),0)</f>
        <v/>
      </c>
      <c r="S63" s="68">
        <f>IF(S$43&lt;=Rates!$D$71,('Sell-Compute'!$C$40-'Sell-Compute'!$C$42-'Sell-Compute'!$C$43)*(S62/4)-'Sell-Compute'!$C$41-'Sell-Compute'!$C$44-'Sell-Compute'!$C$45-IF(AND(MOD(S$43,'Sell-Compute'!$C$21)=0,S$43&lt;Rates!$D$71),'Sell-Compute'!$C$34*(S62/4),0),0)</f>
        <v/>
      </c>
      <c r="T63" s="68">
        <f>IF(T$43&lt;=Rates!$D$71,('Sell-Compute'!$C$40-'Sell-Compute'!$C$42-'Sell-Compute'!$C$43)*(T62/4)-'Sell-Compute'!$C$41-'Sell-Compute'!$C$44-'Sell-Compute'!$C$45-IF(AND(MOD(T$43,'Sell-Compute'!$C$21)=0,T$43&lt;Rates!$D$71),'Sell-Compute'!$C$34*(T62/4),0),0)</f>
        <v/>
      </c>
      <c r="U63" s="68">
        <f>IF(U$43&lt;=Rates!$D$71,('Sell-Compute'!$C$40-'Sell-Compute'!$C$42-'Sell-Compute'!$C$43)*(U62/4)-'Sell-Compute'!$C$41-'Sell-Compute'!$C$44-'Sell-Compute'!$C$45-IF(AND(MOD(U$43,'Sell-Compute'!$C$21)=0,U$43&lt;Rates!$D$71),'Sell-Compute'!$C$34*(U62/4),0),0)</f>
        <v/>
      </c>
      <c r="V63" s="68">
        <f>IF(V$43&lt;=Rates!$D$71,('Sell-Compute'!$C$40-'Sell-Compute'!$C$42-'Sell-Compute'!$C$43)*(V62/4)-'Sell-Compute'!$C$41-'Sell-Compute'!$C$44-'Sell-Compute'!$C$45-IF(AND(MOD(V$43,'Sell-Compute'!$C$21)=0,V$43&lt;Rates!$D$71),'Sell-Compute'!$C$34*(V62/4),0),0)</f>
        <v/>
      </c>
      <c r="W63" s="68">
        <f>IF(W$43&lt;=Rates!$D$71,('Sell-Compute'!$C$40-'Sell-Compute'!$C$42-'Sell-Compute'!$C$43)*(W62/4)-'Sell-Compute'!$C$41-'Sell-Compute'!$C$44-'Sell-Compute'!$C$45-IF(AND(MOD(W$43,'Sell-Compute'!$C$21)=0,W$43&lt;Rates!$D$71),'Sell-Compute'!$C$34*(W62/4),0),0)</f>
        <v/>
      </c>
      <c r="X63" s="68">
        <f>IF(X$43&lt;=Rates!$D$71,('Sell-Compute'!$C$40-'Sell-Compute'!$C$42-'Sell-Compute'!$C$43)*(X62/4)-'Sell-Compute'!$C$41-'Sell-Compute'!$C$44-'Sell-Compute'!$C$45-IF(AND(MOD(X$43,'Sell-Compute'!$C$21)=0,X$43&lt;Rates!$D$71),'Sell-Compute'!$C$34*(X62/4),0),0)</f>
        <v/>
      </c>
      <c r="Y63" s="68">
        <f>IF(Y$43&lt;=Rates!$D$71,('Sell-Compute'!$C$40-'Sell-Compute'!$C$42-'Sell-Compute'!$C$43)*(Y62/4)-'Sell-Compute'!$C$41-'Sell-Compute'!$C$44-'Sell-Compute'!$C$45-IF(AND(MOD(Y$43,'Sell-Compute'!$C$21)=0,Y$43&lt;Rates!$D$71),'Sell-Compute'!$C$34*(Y62/4),0),0)</f>
        <v/>
      </c>
      <c r="Z63" s="68">
        <f>IF(Z$43&lt;=Rates!$D$71,('Sell-Compute'!$C$40-'Sell-Compute'!$C$42-'Sell-Compute'!$C$43)*(Z62/4)-'Sell-Compute'!$C$41-'Sell-Compute'!$C$44-'Sell-Compute'!$C$45-IF(AND(MOD(Z$43,'Sell-Compute'!$C$21)=0,Z$43&lt;Rates!$D$71),'Sell-Compute'!$C$34*(Z62/4),0),0)</f>
        <v/>
      </c>
      <c r="AA63" s="68">
        <f>IF(AA$43&lt;=Rates!$D$71,('Sell-Compute'!$C$40-'Sell-Compute'!$C$42-'Sell-Compute'!$C$43)*(AA62/4)-'Sell-Compute'!$C$41-'Sell-Compute'!$C$44-'Sell-Compute'!$C$45-IF(AND(MOD(AA$43,'Sell-Compute'!$C$21)=0,AA$43&lt;Rates!$D$71),'Sell-Compute'!$C$34*(AA62/4),0),0)</f>
        <v/>
      </c>
      <c r="AB63" s="68">
        <f>IF(AB$43&lt;=Rates!$D$71,('Sell-Compute'!$C$40-'Sell-Compute'!$C$42-'Sell-Compute'!$C$43)*(AB62/4)-'Sell-Compute'!$C$41-'Sell-Compute'!$C$44-'Sell-Compute'!$C$45-IF(AND(MOD(AB$43,'Sell-Compute'!$C$21)=0,AB$43&lt;Rates!$D$71),'Sell-Compute'!$C$34*(AB62/4),0),0)</f>
        <v/>
      </c>
    </row>
    <row r="64">
      <c r="A64" s="68" t="inlineStr">
        <is>
          <t>colo CF: Stress 10 degC/yr (ASSUMPTION)</t>
        </is>
      </c>
      <c r="C64" s="68">
        <f>-'Sell-Compute'!$I$36</f>
        <v/>
      </c>
      <c r="D64" s="68">
        <f>IF(D$43&lt;=Rates!$D$71,'Sell-Compute'!$I$46-'Sell-Compute'!$I$40*(1-(D62/4)),0)</f>
        <v/>
      </c>
      <c r="E64" s="68">
        <f>IF(E$43&lt;=Rates!$D$71,'Sell-Compute'!$I$46-'Sell-Compute'!$I$40*(1-(E62/4)),0)</f>
        <v/>
      </c>
      <c r="F64" s="68">
        <f>IF(F$43&lt;=Rates!$D$71,'Sell-Compute'!$I$46-'Sell-Compute'!$I$40*(1-(F62/4)),0)</f>
        <v/>
      </c>
      <c r="G64" s="68">
        <f>IF(G$43&lt;=Rates!$D$71,'Sell-Compute'!$I$46-'Sell-Compute'!$I$40*(1-(G62/4)),0)</f>
        <v/>
      </c>
      <c r="H64" s="68">
        <f>IF(H$43&lt;=Rates!$D$71,'Sell-Compute'!$I$46-'Sell-Compute'!$I$40*(1-(H62/4)),0)</f>
        <v/>
      </c>
      <c r="I64" s="68">
        <f>IF(I$43&lt;=Rates!$D$71,'Sell-Compute'!$I$46-'Sell-Compute'!$I$40*(1-(I62/4)),0)</f>
        <v/>
      </c>
      <c r="J64" s="68">
        <f>IF(J$43&lt;=Rates!$D$71,'Sell-Compute'!$I$46-'Sell-Compute'!$I$40*(1-(J62/4)),0)</f>
        <v/>
      </c>
      <c r="K64" s="68">
        <f>IF(K$43&lt;=Rates!$D$71,'Sell-Compute'!$I$46-'Sell-Compute'!$I$40*(1-(K62/4)),0)</f>
        <v/>
      </c>
      <c r="L64" s="68">
        <f>IF(L$43&lt;=Rates!$D$71,'Sell-Compute'!$I$46-'Sell-Compute'!$I$40*(1-(L62/4)),0)</f>
        <v/>
      </c>
      <c r="M64" s="68">
        <f>IF(M$43&lt;=Rates!$D$71,'Sell-Compute'!$I$46-'Sell-Compute'!$I$40*(1-(M62/4)),0)</f>
        <v/>
      </c>
      <c r="N64" s="68">
        <f>IF(N$43&lt;=Rates!$D$71,'Sell-Compute'!$I$46-'Sell-Compute'!$I$40*(1-(N62/4)),0)</f>
        <v/>
      </c>
      <c r="O64" s="68">
        <f>IF(O$43&lt;=Rates!$D$71,'Sell-Compute'!$I$46-'Sell-Compute'!$I$40*(1-(O62/4)),0)</f>
        <v/>
      </c>
      <c r="P64" s="68">
        <f>IF(P$43&lt;=Rates!$D$71,'Sell-Compute'!$I$46-'Sell-Compute'!$I$40*(1-(P62/4)),0)</f>
        <v/>
      </c>
      <c r="Q64" s="68">
        <f>IF(Q$43&lt;=Rates!$D$71,'Sell-Compute'!$I$46-'Sell-Compute'!$I$40*(1-(Q62/4)),0)</f>
        <v/>
      </c>
      <c r="R64" s="68">
        <f>IF(R$43&lt;=Rates!$D$71,'Sell-Compute'!$I$46-'Sell-Compute'!$I$40*(1-(R62/4)),0)</f>
        <v/>
      </c>
      <c r="S64" s="68">
        <f>IF(S$43&lt;=Rates!$D$71,'Sell-Compute'!$I$46-'Sell-Compute'!$I$40*(1-(S62/4)),0)</f>
        <v/>
      </c>
      <c r="T64" s="68">
        <f>IF(T$43&lt;=Rates!$D$71,'Sell-Compute'!$I$46-'Sell-Compute'!$I$40*(1-(T62/4)),0)</f>
        <v/>
      </c>
      <c r="U64" s="68">
        <f>IF(U$43&lt;=Rates!$D$71,'Sell-Compute'!$I$46-'Sell-Compute'!$I$40*(1-(U62/4)),0)</f>
        <v/>
      </c>
      <c r="V64" s="68">
        <f>IF(V$43&lt;=Rates!$D$71,'Sell-Compute'!$I$46-'Sell-Compute'!$I$40*(1-(V62/4)),0)</f>
        <v/>
      </c>
      <c r="W64" s="68">
        <f>IF(W$43&lt;=Rates!$D$71,'Sell-Compute'!$I$46-'Sell-Compute'!$I$40*(1-(W62/4)),0)</f>
        <v/>
      </c>
      <c r="X64" s="68">
        <f>IF(X$43&lt;=Rates!$D$71,'Sell-Compute'!$I$46-'Sell-Compute'!$I$40*(1-(X62/4)),0)</f>
        <v/>
      </c>
      <c r="Y64" s="68">
        <f>IF(Y$43&lt;=Rates!$D$71,'Sell-Compute'!$I$46-'Sell-Compute'!$I$40*(1-(Y62/4)),0)</f>
        <v/>
      </c>
      <c r="Z64" s="68">
        <f>IF(Z$43&lt;=Rates!$D$71,'Sell-Compute'!$I$46-'Sell-Compute'!$I$40*(1-(Z62/4)),0)</f>
        <v/>
      </c>
      <c r="AA64" s="68">
        <f>IF(AA$43&lt;=Rates!$D$71,'Sell-Compute'!$I$46-'Sell-Compute'!$I$40*(1-(AA62/4)),0)</f>
        <v/>
      </c>
      <c r="AB64" s="68">
        <f>IF(AB$43&lt;=Rates!$D$71,'Sell-Compute'!$I$46-'Sell-Compute'!$I$40*(1-(AB62/4)),0)</f>
        <v/>
      </c>
    </row>
  </sheetData>
  <mergeCells count="1">
    <mergeCell ref="A2:I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B204"/>
  <sheetViews>
    <sheetView workbookViewId="0">
      <selection activeCell="A1" sqref="A1"/>
    </sheetView>
  </sheetViews>
  <sheetFormatPr baseColWidth="8" defaultRowHeight="15"/>
  <cols>
    <col width="44" customWidth="1" style="69" min="1" max="1"/>
    <col width="38" customWidth="1" style="69" min="2" max="2"/>
    <col width="10" customWidth="1" style="69" min="3" max="3"/>
    <col width="17" customWidth="1" style="69" min="4" max="4"/>
    <col width="17" customWidth="1" style="69" min="5" max="5"/>
    <col width="10" customWidth="1" style="69" min="6" max="6"/>
    <col width="10" customWidth="1" style="69" min="7" max="7"/>
    <col width="12" customWidth="1" style="69" min="8" max="8"/>
    <col width="16" customWidth="1" style="69" min="9" max="9"/>
    <col width="12" customWidth="1" style="69" min="10" max="10"/>
    <col width="16" customWidth="1" style="69" min="11" max="11"/>
    <col width="12" customWidth="1" style="69" min="12" max="12"/>
    <col width="15" customWidth="1" style="69" min="13" max="13"/>
    <col width="10" customWidth="1" style="69" min="14" max="14"/>
  </cols>
  <sheetData>
    <row r="1">
      <c r="A1" s="100" t="inlineStr">
        <is>
          <t>ARCHEGON  ·  HEADROOM AGAINST THERMAL DECLINE — (a) extra doublets at start, (b) make-up doublets on a monitored trigger, (c) build fewer modules</t>
        </is>
      </c>
      <c r="B1" s="101" t="n"/>
      <c r="C1" s="101" t="n"/>
      <c r="D1" s="101" t="n"/>
      <c r="E1" s="101" t="n"/>
      <c r="F1" s="101" t="n"/>
      <c r="G1" s="101" t="n"/>
      <c r="H1" s="101" t="n"/>
    </row>
    <row r="2" ht="55" customHeight="1" s="69">
      <c r="A2" s="135" t="inlineStr">
        <is>
          <t>v4 (round-3 fix): all options use the Decline tab well-capability logic. No option buys ORC plant: extra heat feeds the same 6.94 MW plant. Every doublet costs 2 x (well + stimulation) with contingency; each make-up campaign adds rig mobilisation and is drilled one year before the forecast shortfall (12-month lead). (c) builds fewer modules: hall and GPU capital fall with the module count. Extra-well O&amp;M is not priced (RATE_MISSING).</t>
        </is>
      </c>
    </row>
    <row r="3"/>
    <row r="4">
      <c r="A4" s="68" t="inlineStr">
        <is>
          <t>SELECTED well cost (1 = model BASE, 2 = LOW, 3 = HIGH single well, 4 = Habanero 4 actual)</t>
        </is>
      </c>
      <c r="C4" s="68" t="n">
        <v>1</v>
      </c>
    </row>
    <row r="5"/>
    <row r="6">
      <c r="A6" s="89" t="inlineStr">
        <is>
          <t>id</t>
        </is>
      </c>
      <c r="B6" s="89" t="inlineStr">
        <is>
          <t>Input</t>
        </is>
      </c>
      <c r="C6" s="89" t="inlineStr">
        <is>
          <t>Value</t>
        </is>
      </c>
      <c r="D6" s="89" t="inlineStr">
        <is>
          <t>Unit</t>
        </is>
      </c>
      <c r="E6" s="89" t="inlineStr">
        <is>
          <t>Status</t>
        </is>
      </c>
      <c r="F6" s="89" t="inlineStr">
        <is>
          <t>Source</t>
        </is>
      </c>
      <c r="G6" s="89" t="inlineStr">
        <is>
          <t>URL</t>
        </is>
      </c>
      <c r="H6" s="89" t="inlineStr">
        <is>
          <t>Date</t>
        </is>
      </c>
      <c r="I6" s="89" t="inlineStr">
        <is>
          <t>Caveat</t>
        </is>
      </c>
    </row>
    <row r="7">
      <c r="A7" s="68" t="inlineStr">
        <is>
          <t>w_base</t>
        </is>
      </c>
      <c r="B7" s="68" t="inlineStr">
        <is>
          <t>Cooper Basin well, BASE</t>
        </is>
      </c>
      <c r="C7" s="90">
        <f>Rates!$D$6</f>
        <v/>
      </c>
      <c r="D7" s="68" t="inlineStr">
        <is>
          <t>A$/well</t>
        </is>
      </c>
      <c r="E7" s="68" t="inlineStr">
        <is>
          <t>PUBLIC PROXY</t>
        </is>
      </c>
      <c r="F7" s="68" t="inlineStr">
        <is>
          <t>Rates D6</t>
        </is>
      </c>
      <c r="I7" s="68" t="inlineStr">
        <is>
          <t>Same basis as the initial field.</t>
        </is>
      </c>
    </row>
    <row r="8">
      <c r="A8" s="68" t="inlineStr">
        <is>
          <t>w_low</t>
        </is>
      </c>
      <c r="B8" s="68" t="inlineStr">
        <is>
          <t>Cooper Basin well, LOW (high learning)</t>
        </is>
      </c>
      <c r="C8" s="90">
        <f>Rates!$D$7</f>
        <v/>
      </c>
      <c r="D8" s="68" t="inlineStr">
        <is>
          <t>A$/well</t>
        </is>
      </c>
      <c r="E8" s="68" t="inlineStr">
        <is>
          <t>PUBLIC PROXY</t>
        </is>
      </c>
      <c r="F8" s="68" t="inlineStr">
        <is>
          <t>Rates D7</t>
        </is>
      </c>
    </row>
    <row r="9">
      <c r="A9" s="68" t="inlineStr">
        <is>
          <t>w_high</t>
        </is>
      </c>
      <c r="B9" s="68" t="inlineStr">
        <is>
          <t>Cooper Basin single well, HIGH (no campaign learning)</t>
        </is>
      </c>
      <c r="C9" s="90">
        <f>Rates!$D$8</f>
        <v/>
      </c>
      <c r="D9" s="68" t="inlineStr">
        <is>
          <t>A$/well</t>
        </is>
      </c>
      <c r="E9" s="68" t="inlineStr">
        <is>
          <t>PUBLIC PROXY</t>
        </is>
      </c>
      <c r="F9" s="68" t="inlineStr">
        <is>
          <t>Rates D8</t>
        </is>
      </c>
      <c r="I9" s="68" t="inlineStr">
        <is>
          <t>A make-up well is a single-well campaign: HIGH is the realistic case.</t>
        </is>
      </c>
    </row>
    <row r="10">
      <c r="A10" s="68" t="inlineStr">
        <is>
          <t>w_hab</t>
        </is>
      </c>
      <c r="B10" s="68" t="inlineStr">
        <is>
          <t>Habanero 4 actual drilled cost</t>
        </is>
      </c>
      <c r="C10" s="90">
        <f>Rates!$D$9</f>
        <v/>
      </c>
      <c r="D10" s="68" t="inlineStr">
        <is>
          <t>A$/well</t>
        </is>
      </c>
      <c r="E10" s="68" t="inlineStr">
        <is>
          <t>VERIFIED</t>
        </is>
      </c>
      <c r="F10" s="68" t="inlineStr">
        <is>
          <t>Rates D9</t>
        </is>
      </c>
      <c r="I10" s="68" t="inlineStr">
        <is>
          <t>Stress case.</t>
        </is>
      </c>
    </row>
    <row r="11">
      <c r="A11" s="68" t="inlineStr">
        <is>
          <t>w_sel</t>
        </is>
      </c>
      <c r="B11" s="68" t="inlineStr">
        <is>
          <t>Selected well cost</t>
        </is>
      </c>
      <c r="C11" s="90">
        <f>CHOOSE($C$4,C7,C8,C9,C10)</f>
        <v/>
      </c>
      <c r="D11" s="68" t="inlineStr">
        <is>
          <t>A$/well</t>
        </is>
      </c>
      <c r="E11" s="68" t="inlineStr">
        <is>
          <t>DERIVED</t>
        </is>
      </c>
      <c r="F11" s="68" t="inlineStr">
        <is>
          <t>Selector C4</t>
        </is>
      </c>
    </row>
    <row r="12">
      <c r="A12" s="68" t="inlineStr">
        <is>
          <t>stim</t>
        </is>
      </c>
      <c r="B12" s="68" t="inlineStr">
        <is>
          <t>Stimulation and completion per well</t>
        </is>
      </c>
      <c r="C12" s="90">
        <f>Rates!$D$89</f>
        <v/>
      </c>
      <c r="D12" s="68" t="inlineStr">
        <is>
          <t>A$/well</t>
        </is>
      </c>
      <c r="E12" s="68" t="inlineStr">
        <is>
          <t>DERIVED</t>
        </is>
      </c>
      <c r="F12" s="68" t="inlineStr">
        <is>
          <t>Rates stim_well (EIA completion share)</t>
        </is>
      </c>
    </row>
    <row r="13">
      <c r="A13" s="68" t="inlineStr">
        <is>
          <t>mob</t>
        </is>
      </c>
      <c r="B13" s="68" t="inlineStr">
        <is>
          <t>Rig mobilisation per extra campaign</t>
        </is>
      </c>
      <c r="C13" s="90">
        <f>Rates!$D$11</f>
        <v/>
      </c>
      <c r="D13" s="68" t="inlineStr">
        <is>
          <t>A$</t>
        </is>
      </c>
      <c r="E13" s="68" t="inlineStr">
        <is>
          <t>PUBLIC PROXY</t>
        </is>
      </c>
      <c r="F13" s="68" t="inlineStr">
        <is>
          <t>Rates D11</t>
        </is>
      </c>
      <c r="I13" s="68" t="inlineStr">
        <is>
          <t>None for (a): drilled with the initial wells.</t>
        </is>
      </c>
    </row>
    <row r="14">
      <c r="A14" s="68" t="inlineStr">
        <is>
          <t>cont</t>
        </is>
      </c>
      <c r="B14" s="68" t="inlineStr">
        <is>
          <t>Contingency</t>
        </is>
      </c>
      <c r="C14" s="90">
        <f>Control!$B$13</f>
        <v/>
      </c>
      <c r="D14" s="68" t="inlineStr">
        <is>
          <t>share</t>
        </is>
      </c>
      <c r="E14" s="68" t="inlineStr">
        <is>
          <t>ASSUMPTION</t>
        </is>
      </c>
      <c r="F14" s="68" t="inlineStr">
        <is>
          <t>Control B13</t>
        </is>
      </c>
    </row>
    <row r="15">
      <c r="A15" s="68" t="inlineStr">
        <is>
          <t>ref</t>
        </is>
      </c>
      <c r="B15" s="68" t="inlineStr">
        <is>
          <t>US references only (not selectable): Fervo best Phase I drilling US$4.8m; GEOPHIRES Cape-type US$8.48m</t>
        </is>
      </c>
      <c r="C15" s="90" t="n"/>
      <c r="D15" s="68" t="inlineStr"/>
      <c r="E15" s="68" t="inlineStr">
        <is>
          <t>PUBLIC PROXY</t>
        </is>
      </c>
      <c r="F15" s="68" t="inlineStr">
        <is>
          <t>Fervo; GEOPHIRES-X</t>
        </is>
      </c>
      <c r="G15" s="68" t="inlineStr">
        <is>
          <t>https://fervoenergy.com/fervo-energy-drilling-results-show-rapid-advancement-of-geothermal-performance/</t>
        </is>
      </c>
      <c r="H15" s="68" t="inlineStr">
        <is>
          <t>2024-26</t>
        </is>
      </c>
      <c r="I15" s="68" t="inlineStr">
        <is>
          <t>Different basis (US granite, drilling only or modelled); shown for context.</t>
        </is>
      </c>
    </row>
    <row r="16"/>
    <row r="17"/>
    <row r="18">
      <c r="A18" s="136" t="inlineStr">
        <is>
          <t>RESULTS: 25-yr, unlevered, pre-tax, no terminal value. PV of extra capital at the 8% base WACC (Rates D70).</t>
        </is>
      </c>
      <c r="B18" s="137" t="n"/>
      <c r="C18" s="137" t="n"/>
      <c r="D18" s="137" t="n"/>
      <c r="E18" s="137" t="n"/>
      <c r="F18" s="137" t="n"/>
    </row>
    <row r="19">
      <c r="A19" s="89" t="inlineStr">
        <is>
          <t>Decline</t>
        </is>
      </c>
      <c r="B19" s="89" t="inlineStr">
        <is>
          <t>Option</t>
        </is>
      </c>
      <c r="C19" s="89" t="inlineStr">
        <is>
          <t>Extra doublets</t>
        </is>
      </c>
      <c r="D19" s="89" t="inlineStr">
        <is>
          <t>Extra capital, A$ (undiscounted)</t>
        </is>
      </c>
      <c r="E19" s="89" t="inlineStr">
        <is>
          <t>PV of extra capital at 8%, A$</t>
        </is>
      </c>
      <c r="F19" s="89" t="inlineStr">
        <is>
          <t>First extra spend, yr</t>
        </is>
      </c>
      <c r="G19" s="89" t="inlineStr">
        <is>
          <t>Modules lit yr 25</t>
        </is>
      </c>
      <c r="H19" s="89" t="inlineStr">
        <is>
          <t>Compute flat: IRR</t>
        </is>
      </c>
      <c r="I19" s="89" t="inlineStr">
        <is>
          <t>Compute flat: net cash, A$</t>
        </is>
      </c>
      <c r="J19" s="89" t="inlineStr">
        <is>
          <t>Compute falling: IRR</t>
        </is>
      </c>
      <c r="K19" s="89" t="inlineStr">
        <is>
          <t>Compute falling: net cash, A$</t>
        </is>
      </c>
      <c r="L19" s="89" t="inlineStr">
        <is>
          <t>Colo: IRR</t>
        </is>
      </c>
      <c r="M19" s="89" t="inlineStr">
        <is>
          <t>Colo: net cash, A$</t>
        </is>
      </c>
      <c r="N19" s="89" t="inlineStr">
        <is>
          <t>Best compute-flat net cash?</t>
        </is>
      </c>
    </row>
    <row r="20">
      <c r="A20" s="68" t="inlineStr">
        <is>
          <t>SELECTED (headline)</t>
        </is>
      </c>
      <c r="B20" s="68" t="inlineStr">
        <is>
          <t>Do nothing (dark modules stop buying GPUs)</t>
        </is>
      </c>
      <c r="C20" s="68" t="n">
        <v>0</v>
      </c>
      <c r="D20" s="90" t="n">
        <v>0</v>
      </c>
      <c r="E20" s="90" t="n">
        <v>0</v>
      </c>
      <c r="F20" s="68" t="inlineStr">
        <is>
          <t>-</t>
        </is>
      </c>
      <c r="G20" s="68">
        <f>AB58</f>
        <v/>
      </c>
      <c r="H20" s="91">
        <f>IF(SUM(C61:AB61)&lt;0,"never repays",IFERROR(IRR(C61:AB61),"no IRR"))</f>
        <v/>
      </c>
      <c r="I20" s="90">
        <f>SUM(C61:AB61)</f>
        <v/>
      </c>
      <c r="J20" s="91">
        <f>IF(SUM(C62:AB62)&lt;0,"never repays",IFERROR(IRR(C62:AB62),"no IRR"))</f>
        <v/>
      </c>
      <c r="K20" s="90">
        <f>SUM(C62:AB62)</f>
        <v/>
      </c>
      <c r="L20" s="91">
        <f>IF(SUM(C63:AB63)&lt;0,"never repays",IFERROR(IRR(C63:AB63),"no IRR"))</f>
        <v/>
      </c>
      <c r="M20" s="90">
        <f>SUM(C63:AB63)</f>
        <v/>
      </c>
      <c r="N20" s="68">
        <f>IF(I20=MAX(I$20:I$23),"BEST","")</f>
        <v/>
      </c>
    </row>
    <row r="21">
      <c r="A21" s="68" t="inlineStr">
        <is>
          <t>SELECTED (headline)</t>
        </is>
      </c>
      <c r="B21" s="68" t="inlineStr">
        <is>
          <t>(a) Extra doublets at start</t>
        </is>
      </c>
      <c r="C21" s="68">
        <f>$E$52</f>
        <v/>
      </c>
      <c r="D21" s="90">
        <f>IF(ISNUMBER($E$52),$E$52*(2*($C$11+$C$12)*(1+$C$14)),0)</f>
        <v/>
      </c>
      <c r="E21" s="90">
        <f>IF(ISNUMBER($E$52),$E$52*(2*($C$11+$C$12)*(1+$C$14)),0)</f>
        <v/>
      </c>
      <c r="F21" s="68">
        <f>IF(AND(ISNUMBER($E$52),$E$52&gt;0),0,"-")</f>
        <v/>
      </c>
      <c r="G21" s="68">
        <f>AB59</f>
        <v/>
      </c>
      <c r="H21" s="91">
        <f>IF(SUM(C64:AB64)&lt;0,"never repays",IFERROR(IRR(C64:AB64),"no IRR"))</f>
        <v/>
      </c>
      <c r="I21" s="90">
        <f>SUM(C64:AB64)</f>
        <v/>
      </c>
      <c r="J21" s="91">
        <f>IF(SUM(C65:AB65)&lt;0,"never repays",IFERROR(IRR(C65:AB65),"no IRR"))</f>
        <v/>
      </c>
      <c r="K21" s="90">
        <f>SUM(C65:AB65)</f>
        <v/>
      </c>
      <c r="L21" s="91">
        <f>IF(SUM(C66:AB66)&lt;0,"never repays",IFERROR(IRR(C66:AB66),"no IRR"))</f>
        <v/>
      </c>
      <c r="M21" s="90">
        <f>SUM(C66:AB66)</f>
        <v/>
      </c>
      <c r="N21" s="68">
        <f>IF(I21=MAX(I$20:I$23),"BEST","")</f>
        <v/>
      </c>
    </row>
    <row r="22">
      <c r="A22" s="68" t="inlineStr">
        <is>
          <t>SELECTED (headline)</t>
        </is>
      </c>
      <c r="B22" s="68" t="inlineStr">
        <is>
          <t>(b) Make-up doublets on a monitored trigger</t>
        </is>
      </c>
      <c r="C22" s="68">
        <f>SUM(D55:AB55)</f>
        <v/>
      </c>
      <c r="D22" s="90">
        <f>SUM(C57:AB57)</f>
        <v/>
      </c>
      <c r="E22" s="90">
        <f>NPV(Rates!$D$70,D57:AB57)+C57</f>
        <v/>
      </c>
      <c r="F22" s="68">
        <f>IFERROR(INDEX($C$51:$AB$51,MATCH(TRUE,INDEX(C57:AB57&gt;0,0),0)),"-")</f>
        <v/>
      </c>
      <c r="G22" s="68">
        <f>AB60</f>
        <v/>
      </c>
      <c r="H22" s="91">
        <f>IF(SUM(C67:AB67)&lt;0,"never repays",IFERROR(IRR(C67:AB67),"no IRR"))</f>
        <v/>
      </c>
      <c r="I22" s="90">
        <f>SUM(C67:AB67)</f>
        <v/>
      </c>
      <c r="J22" s="91">
        <f>IF(SUM(C68:AB68)&lt;0,"never repays",IFERROR(IRR(C68:AB68),"no IRR"))</f>
        <v/>
      </c>
      <c r="K22" s="90">
        <f>SUM(C68:AB68)</f>
        <v/>
      </c>
      <c r="L22" s="91">
        <f>IF(SUM(C69:AB69)&lt;0,"never repays",IFERROR(IRR(C69:AB69),"no IRR"))</f>
        <v/>
      </c>
      <c r="M22" s="90">
        <f>SUM(C69:AB69)</f>
        <v/>
      </c>
      <c r="N22" s="68">
        <f>IF(I22=MAX(I$20:I$23),"BEST","")</f>
        <v/>
      </c>
    </row>
    <row r="23">
      <c r="A23" s="68" t="inlineStr">
        <is>
          <t>SELECTED (headline)</t>
        </is>
      </c>
      <c r="B23" s="68" t="inlineStr">
        <is>
          <t>(c) Build fewer modules</t>
        </is>
      </c>
      <c r="C23" s="68" t="n">
        <v>0</v>
      </c>
      <c r="D23" s="90">
        <f>-(1-($G$52/4))*('Sell-Compute'!$C$34+('AU-Route'!$B$31*(1+Control!$B$13)))</f>
        <v/>
      </c>
      <c r="E23" s="90">
        <f>D23</f>
        <v/>
      </c>
      <c r="F23" s="68" t="inlineStr">
        <is>
          <t>-</t>
        </is>
      </c>
      <c r="G23" s="68">
        <f>$G$52</f>
        <v/>
      </c>
      <c r="H23" s="91">
        <f>IF(SUM(C70:AB70)&lt;0,"never repays",IFERROR(IRR(C70:AB70),"no IRR"))</f>
        <v/>
      </c>
      <c r="I23" s="90">
        <f>SUM(C70:AB70)</f>
        <v/>
      </c>
      <c r="J23" s="91">
        <f>IF(SUM(C71:AB71)&lt;0,"never repays",IFERROR(IRR(C71:AB71),"no IRR"))</f>
        <v/>
      </c>
      <c r="K23" s="90">
        <f>SUM(C71:AB71)</f>
        <v/>
      </c>
      <c r="L23" s="91">
        <f>IF(SUM(C72:AB72)&lt;0,"never repays",IFERROR(IRR(C72:AB72),"no IRR"))</f>
        <v/>
      </c>
      <c r="M23" s="90">
        <f>SUM(C72:AB72)</f>
        <v/>
      </c>
      <c r="N23" s="68">
        <f>IF(I23=MAX(I$20:I$23),"BEST","")</f>
        <v/>
      </c>
    </row>
    <row r="24">
      <c r="A24" s="68" t="inlineStr">
        <is>
          <t>EGS target 0.65 degC/yr</t>
        </is>
      </c>
      <c r="B24" s="68" t="inlineStr">
        <is>
          <t>Do nothing (dark modules stop buying GPUs)</t>
        </is>
      </c>
      <c r="C24" s="68" t="n">
        <v>0</v>
      </c>
      <c r="D24" s="90" t="n">
        <v>0</v>
      </c>
      <c r="E24" s="90" t="n">
        <v>0</v>
      </c>
      <c r="F24" s="68" t="inlineStr">
        <is>
          <t>-</t>
        </is>
      </c>
      <c r="G24" s="68">
        <f>AB80</f>
        <v/>
      </c>
      <c r="H24" s="91">
        <f>IF(SUM(C83:AB83)&lt;0,"never repays",IFERROR(IRR(C83:AB83),"no IRR"))</f>
        <v/>
      </c>
      <c r="I24" s="90">
        <f>SUM(C83:AB83)</f>
        <v/>
      </c>
      <c r="J24" s="91">
        <f>IF(SUM(C84:AB84)&lt;0,"never repays",IFERROR(IRR(C84:AB84),"no IRR"))</f>
        <v/>
      </c>
      <c r="K24" s="90">
        <f>SUM(C84:AB84)</f>
        <v/>
      </c>
      <c r="L24" s="91">
        <f>IF(SUM(C85:AB85)&lt;0,"never repays",IFERROR(IRR(C85:AB85),"no IRR"))</f>
        <v/>
      </c>
      <c r="M24" s="90">
        <f>SUM(C85:AB85)</f>
        <v/>
      </c>
      <c r="N24" s="68">
        <f>IF(I24=MAX(I$24:I$27),"BEST","")</f>
        <v/>
      </c>
    </row>
    <row r="25">
      <c r="A25" s="68" t="inlineStr">
        <is>
          <t>EGS target 0.65 degC/yr</t>
        </is>
      </c>
      <c r="B25" s="68" t="inlineStr">
        <is>
          <t>(a) Extra doublets at start</t>
        </is>
      </c>
      <c r="C25" s="68">
        <f>$E$74</f>
        <v/>
      </c>
      <c r="D25" s="90">
        <f>IF(ISNUMBER($E$74),$E$74*(2*($C$11+$C$12)*(1+$C$14)),0)</f>
        <v/>
      </c>
      <c r="E25" s="90">
        <f>IF(ISNUMBER($E$74),$E$74*(2*($C$11+$C$12)*(1+$C$14)),0)</f>
        <v/>
      </c>
      <c r="F25" s="68">
        <f>IF(AND(ISNUMBER($E$74),$E$74&gt;0),0,"-")</f>
        <v/>
      </c>
      <c r="G25" s="68">
        <f>AB81</f>
        <v/>
      </c>
      <c r="H25" s="91">
        <f>IF(SUM(C86:AB86)&lt;0,"never repays",IFERROR(IRR(C86:AB86),"no IRR"))</f>
        <v/>
      </c>
      <c r="I25" s="90">
        <f>SUM(C86:AB86)</f>
        <v/>
      </c>
      <c r="J25" s="91">
        <f>IF(SUM(C87:AB87)&lt;0,"never repays",IFERROR(IRR(C87:AB87),"no IRR"))</f>
        <v/>
      </c>
      <c r="K25" s="90">
        <f>SUM(C87:AB87)</f>
        <v/>
      </c>
      <c r="L25" s="91">
        <f>IF(SUM(C88:AB88)&lt;0,"never repays",IFERROR(IRR(C88:AB88),"no IRR"))</f>
        <v/>
      </c>
      <c r="M25" s="90">
        <f>SUM(C88:AB88)</f>
        <v/>
      </c>
      <c r="N25" s="68">
        <f>IF(I25=MAX(I$24:I$27),"BEST","")</f>
        <v/>
      </c>
    </row>
    <row r="26">
      <c r="A26" s="68" t="inlineStr">
        <is>
          <t>EGS target 0.65 degC/yr</t>
        </is>
      </c>
      <c r="B26" s="68" t="inlineStr">
        <is>
          <t>(b) Make-up doublets on a monitored trigger</t>
        </is>
      </c>
      <c r="C26" s="68">
        <f>SUM(D77:AB77)</f>
        <v/>
      </c>
      <c r="D26" s="90">
        <f>SUM(C79:AB79)</f>
        <v/>
      </c>
      <c r="E26" s="90">
        <f>NPV(Rates!$D$70,D79:AB79)+C79</f>
        <v/>
      </c>
      <c r="F26" s="68">
        <f>IFERROR(INDEX($C$51:$AB$51,MATCH(TRUE,INDEX(C79:AB79&gt;0,0),0)),"-")</f>
        <v/>
      </c>
      <c r="G26" s="68">
        <f>AB82</f>
        <v/>
      </c>
      <c r="H26" s="91">
        <f>IF(SUM(C89:AB89)&lt;0,"never repays",IFERROR(IRR(C89:AB89),"no IRR"))</f>
        <v/>
      </c>
      <c r="I26" s="90">
        <f>SUM(C89:AB89)</f>
        <v/>
      </c>
      <c r="J26" s="91">
        <f>IF(SUM(C90:AB90)&lt;0,"never repays",IFERROR(IRR(C90:AB90),"no IRR"))</f>
        <v/>
      </c>
      <c r="K26" s="90">
        <f>SUM(C90:AB90)</f>
        <v/>
      </c>
      <c r="L26" s="91">
        <f>IF(SUM(C91:AB91)&lt;0,"never repays",IFERROR(IRR(C91:AB91),"no IRR"))</f>
        <v/>
      </c>
      <c r="M26" s="90">
        <f>SUM(C91:AB91)</f>
        <v/>
      </c>
      <c r="N26" s="68">
        <f>IF(I26=MAX(I$24:I$27),"BEST","")</f>
        <v/>
      </c>
    </row>
    <row r="27">
      <c r="A27" s="68" t="inlineStr">
        <is>
          <t>EGS target 0.65 degC/yr</t>
        </is>
      </c>
      <c r="B27" s="68" t="inlineStr">
        <is>
          <t>(c) Build fewer modules</t>
        </is>
      </c>
      <c r="C27" s="68" t="n">
        <v>0</v>
      </c>
      <c r="D27" s="90">
        <f>-(1-($G$74/4))*('Sell-Compute'!$C$34+('AU-Route'!$B$31*(1+Control!$B$13)))</f>
        <v/>
      </c>
      <c r="E27" s="90">
        <f>D27</f>
        <v/>
      </c>
      <c r="F27" s="68" t="inlineStr">
        <is>
          <t>-</t>
        </is>
      </c>
      <c r="G27" s="68">
        <f>$G$74</f>
        <v/>
      </c>
      <c r="H27" s="91">
        <f>IF(SUM(C92:AB92)&lt;0,"never repays",IFERROR(IRR(C92:AB92),"no IRR"))</f>
        <v/>
      </c>
      <c r="I27" s="90">
        <f>SUM(C92:AB92)</f>
        <v/>
      </c>
      <c r="J27" s="91">
        <f>IF(SUM(C93:AB93)&lt;0,"never repays",IFERROR(IRR(C93:AB93),"no IRR"))</f>
        <v/>
      </c>
      <c r="K27" s="90">
        <f>SUM(C93:AB93)</f>
        <v/>
      </c>
      <c r="L27" s="91">
        <f>IF(SUM(C94:AB94)&lt;0,"never repays",IFERROR(IRR(C94:AB94),"no IRR"))</f>
        <v/>
      </c>
      <c r="M27" s="90">
        <f>SUM(C94:AB94)</f>
        <v/>
      </c>
      <c r="N27" s="68">
        <f>IF(I27=MAX(I$24:I$27),"BEST","")</f>
        <v/>
      </c>
    </row>
    <row r="28">
      <c r="A28" s="68" t="inlineStr">
        <is>
          <t>Conventional wells 0.83 degC/yr</t>
        </is>
      </c>
      <c r="B28" s="68" t="inlineStr">
        <is>
          <t>Do nothing (dark modules stop buying GPUs)</t>
        </is>
      </c>
      <c r="C28" s="68" t="n">
        <v>0</v>
      </c>
      <c r="D28" s="90" t="n">
        <v>0</v>
      </c>
      <c r="E28" s="90" t="n">
        <v>0</v>
      </c>
      <c r="F28" s="68" t="inlineStr">
        <is>
          <t>-</t>
        </is>
      </c>
      <c r="G28" s="68">
        <f>AB102</f>
        <v/>
      </c>
      <c r="H28" s="91">
        <f>IF(SUM(C105:AB105)&lt;0,"never repays",IFERROR(IRR(C105:AB105),"no IRR"))</f>
        <v/>
      </c>
      <c r="I28" s="90">
        <f>SUM(C105:AB105)</f>
        <v/>
      </c>
      <c r="J28" s="91">
        <f>IF(SUM(C106:AB106)&lt;0,"never repays",IFERROR(IRR(C106:AB106),"no IRR"))</f>
        <v/>
      </c>
      <c r="K28" s="90">
        <f>SUM(C106:AB106)</f>
        <v/>
      </c>
      <c r="L28" s="91">
        <f>IF(SUM(C107:AB107)&lt;0,"never repays",IFERROR(IRR(C107:AB107),"no IRR"))</f>
        <v/>
      </c>
      <c r="M28" s="90">
        <f>SUM(C107:AB107)</f>
        <v/>
      </c>
      <c r="N28" s="68">
        <f>IF(I28=MAX(I$28:I$31),"BEST","")</f>
        <v/>
      </c>
    </row>
    <row r="29">
      <c r="A29" s="68" t="inlineStr">
        <is>
          <t>Conventional wells 0.83 degC/yr</t>
        </is>
      </c>
      <c r="B29" s="68" t="inlineStr">
        <is>
          <t>(a) Extra doublets at start</t>
        </is>
      </c>
      <c r="C29" s="68">
        <f>$E$96</f>
        <v/>
      </c>
      <c r="D29" s="90">
        <f>IF(ISNUMBER($E$96),$E$96*(2*($C$11+$C$12)*(1+$C$14)),0)</f>
        <v/>
      </c>
      <c r="E29" s="90">
        <f>IF(ISNUMBER($E$96),$E$96*(2*($C$11+$C$12)*(1+$C$14)),0)</f>
        <v/>
      </c>
      <c r="F29" s="68">
        <f>IF(AND(ISNUMBER($E$96),$E$96&gt;0),0,"-")</f>
        <v/>
      </c>
      <c r="G29" s="68">
        <f>AB103</f>
        <v/>
      </c>
      <c r="H29" s="91">
        <f>IF(SUM(C108:AB108)&lt;0,"never repays",IFERROR(IRR(C108:AB108),"no IRR"))</f>
        <v/>
      </c>
      <c r="I29" s="90">
        <f>SUM(C108:AB108)</f>
        <v/>
      </c>
      <c r="J29" s="91">
        <f>IF(SUM(C109:AB109)&lt;0,"never repays",IFERROR(IRR(C109:AB109),"no IRR"))</f>
        <v/>
      </c>
      <c r="K29" s="90">
        <f>SUM(C109:AB109)</f>
        <v/>
      </c>
      <c r="L29" s="91">
        <f>IF(SUM(C110:AB110)&lt;0,"never repays",IFERROR(IRR(C110:AB110),"no IRR"))</f>
        <v/>
      </c>
      <c r="M29" s="90">
        <f>SUM(C110:AB110)</f>
        <v/>
      </c>
      <c r="N29" s="68">
        <f>IF(I29=MAX(I$28:I$31),"BEST","")</f>
        <v/>
      </c>
    </row>
    <row r="30">
      <c r="A30" s="68" t="inlineStr">
        <is>
          <t>Conventional wells 0.83 degC/yr</t>
        </is>
      </c>
      <c r="B30" s="68" t="inlineStr">
        <is>
          <t>(b) Make-up doublets on a monitored trigger</t>
        </is>
      </c>
      <c r="C30" s="68">
        <f>SUM(D99:AB99)</f>
        <v/>
      </c>
      <c r="D30" s="90">
        <f>SUM(C101:AB101)</f>
        <v/>
      </c>
      <c r="E30" s="90">
        <f>NPV(Rates!$D$70,D101:AB101)+C101</f>
        <v/>
      </c>
      <c r="F30" s="68">
        <f>IFERROR(INDEX($C$51:$AB$51,MATCH(TRUE,INDEX(C101:AB101&gt;0,0),0)),"-")</f>
        <v/>
      </c>
      <c r="G30" s="68">
        <f>AB104</f>
        <v/>
      </c>
      <c r="H30" s="91">
        <f>IF(SUM(C111:AB111)&lt;0,"never repays",IFERROR(IRR(C111:AB111),"no IRR"))</f>
        <v/>
      </c>
      <c r="I30" s="90">
        <f>SUM(C111:AB111)</f>
        <v/>
      </c>
      <c r="J30" s="91">
        <f>IF(SUM(C112:AB112)&lt;0,"never repays",IFERROR(IRR(C112:AB112),"no IRR"))</f>
        <v/>
      </c>
      <c r="K30" s="90">
        <f>SUM(C112:AB112)</f>
        <v/>
      </c>
      <c r="L30" s="91">
        <f>IF(SUM(C113:AB113)&lt;0,"never repays",IFERROR(IRR(C113:AB113),"no IRR"))</f>
        <v/>
      </c>
      <c r="M30" s="90">
        <f>SUM(C113:AB113)</f>
        <v/>
      </c>
      <c r="N30" s="68">
        <f>IF(I30=MAX(I$28:I$31),"BEST","")</f>
        <v/>
      </c>
    </row>
    <row r="31">
      <c r="A31" s="68" t="inlineStr">
        <is>
          <t>Conventional wells 0.83 degC/yr</t>
        </is>
      </c>
      <c r="B31" s="68" t="inlineStr">
        <is>
          <t>(c) Build fewer modules</t>
        </is>
      </c>
      <c r="C31" s="68" t="n">
        <v>0</v>
      </c>
      <c r="D31" s="90">
        <f>-(1-($G$96/4))*('Sell-Compute'!$C$34+('AU-Route'!$B$31*(1+Control!$B$13)))</f>
        <v/>
      </c>
      <c r="E31" s="90">
        <f>D31</f>
        <v/>
      </c>
      <c r="F31" s="68" t="inlineStr">
        <is>
          <t>-</t>
        </is>
      </c>
      <c r="G31" s="68">
        <f>$G$96</f>
        <v/>
      </c>
      <c r="H31" s="91">
        <f>IF(SUM(C114:AB114)&lt;0,"never repays",IFERROR(IRR(C114:AB114),"no IRR"))</f>
        <v/>
      </c>
      <c r="I31" s="90">
        <f>SUM(C114:AB114)</f>
        <v/>
      </c>
      <c r="J31" s="91">
        <f>IF(SUM(C115:AB115)&lt;0,"never repays",IFERROR(IRR(C115:AB115),"no IRR"))</f>
        <v/>
      </c>
      <c r="K31" s="90">
        <f>SUM(C115:AB115)</f>
        <v/>
      </c>
      <c r="L31" s="91">
        <f>IF(SUM(C116:AB116)&lt;0,"never repays",IFERROR(IRR(C116:AB116),"no IRR"))</f>
        <v/>
      </c>
      <c r="M31" s="90">
        <f>SUM(C116:AB116)</f>
        <v/>
      </c>
      <c r="N31" s="68">
        <f>IF(I31=MAX(I$28:I$31),"BEST","")</f>
        <v/>
      </c>
    </row>
    <row r="32">
      <c r="A32" s="68" t="inlineStr">
        <is>
          <t>Intermediate 2.0 degC/yr (ASSUMPTION)</t>
        </is>
      </c>
      <c r="B32" s="68" t="inlineStr">
        <is>
          <t>Do nothing (dark modules stop buying GPUs)</t>
        </is>
      </c>
      <c r="C32" s="68" t="n">
        <v>0</v>
      </c>
      <c r="D32" s="90" t="n">
        <v>0</v>
      </c>
      <c r="E32" s="90" t="n">
        <v>0</v>
      </c>
      <c r="F32" s="68" t="inlineStr">
        <is>
          <t>-</t>
        </is>
      </c>
      <c r="G32" s="68">
        <f>AB124</f>
        <v/>
      </c>
      <c r="H32" s="91">
        <f>IF(SUM(C127:AB127)&lt;0,"never repays",IFERROR(IRR(C127:AB127),"no IRR"))</f>
        <v/>
      </c>
      <c r="I32" s="90">
        <f>SUM(C127:AB127)</f>
        <v/>
      </c>
      <c r="J32" s="91">
        <f>IF(SUM(C128:AB128)&lt;0,"never repays",IFERROR(IRR(C128:AB128),"no IRR"))</f>
        <v/>
      </c>
      <c r="K32" s="90">
        <f>SUM(C128:AB128)</f>
        <v/>
      </c>
      <c r="L32" s="91">
        <f>IF(SUM(C129:AB129)&lt;0,"never repays",IFERROR(IRR(C129:AB129),"no IRR"))</f>
        <v/>
      </c>
      <c r="M32" s="90">
        <f>SUM(C129:AB129)</f>
        <v/>
      </c>
      <c r="N32" s="68">
        <f>IF(I32=MAX(I$32:I$35),"BEST","")</f>
        <v/>
      </c>
    </row>
    <row r="33">
      <c r="A33" s="68" t="inlineStr">
        <is>
          <t>Intermediate 2.0 degC/yr (ASSUMPTION)</t>
        </is>
      </c>
      <c r="B33" s="68" t="inlineStr">
        <is>
          <t>(a) Extra doublets at start</t>
        </is>
      </c>
      <c r="C33" s="68">
        <f>$E$118</f>
        <v/>
      </c>
      <c r="D33" s="90">
        <f>IF(ISNUMBER($E$118),$E$118*(2*($C$11+$C$12)*(1+$C$14)),0)</f>
        <v/>
      </c>
      <c r="E33" s="90">
        <f>IF(ISNUMBER($E$118),$E$118*(2*($C$11+$C$12)*(1+$C$14)),0)</f>
        <v/>
      </c>
      <c r="F33" s="68">
        <f>IF(AND(ISNUMBER($E$118),$E$118&gt;0),0,"-")</f>
        <v/>
      </c>
      <c r="G33" s="68">
        <f>AB125</f>
        <v/>
      </c>
      <c r="H33" s="91">
        <f>IF(SUM(C130:AB130)&lt;0,"never repays",IFERROR(IRR(C130:AB130),"no IRR"))</f>
        <v/>
      </c>
      <c r="I33" s="90">
        <f>SUM(C130:AB130)</f>
        <v/>
      </c>
      <c r="J33" s="91">
        <f>IF(SUM(C131:AB131)&lt;0,"never repays",IFERROR(IRR(C131:AB131),"no IRR"))</f>
        <v/>
      </c>
      <c r="K33" s="90">
        <f>SUM(C131:AB131)</f>
        <v/>
      </c>
      <c r="L33" s="91">
        <f>IF(SUM(C132:AB132)&lt;0,"never repays",IFERROR(IRR(C132:AB132),"no IRR"))</f>
        <v/>
      </c>
      <c r="M33" s="90">
        <f>SUM(C132:AB132)</f>
        <v/>
      </c>
      <c r="N33" s="68">
        <f>IF(I33=MAX(I$32:I$35),"BEST","")</f>
        <v/>
      </c>
    </row>
    <row r="34">
      <c r="A34" s="68" t="inlineStr">
        <is>
          <t>Intermediate 2.0 degC/yr (ASSUMPTION)</t>
        </is>
      </c>
      <c r="B34" s="68" t="inlineStr">
        <is>
          <t>(b) Make-up doublets on a monitored trigger</t>
        </is>
      </c>
      <c r="C34" s="68">
        <f>SUM(D121:AB121)</f>
        <v/>
      </c>
      <c r="D34" s="90">
        <f>SUM(C123:AB123)</f>
        <v/>
      </c>
      <c r="E34" s="90">
        <f>NPV(Rates!$D$70,D123:AB123)+C123</f>
        <v/>
      </c>
      <c r="F34" s="68">
        <f>IFERROR(INDEX($C$51:$AB$51,MATCH(TRUE,INDEX(C123:AB123&gt;0,0),0)),"-")</f>
        <v/>
      </c>
      <c r="G34" s="68">
        <f>AB126</f>
        <v/>
      </c>
      <c r="H34" s="91">
        <f>IF(SUM(C133:AB133)&lt;0,"never repays",IFERROR(IRR(C133:AB133),"no IRR"))</f>
        <v/>
      </c>
      <c r="I34" s="90">
        <f>SUM(C133:AB133)</f>
        <v/>
      </c>
      <c r="J34" s="91">
        <f>IF(SUM(C134:AB134)&lt;0,"never repays",IFERROR(IRR(C134:AB134),"no IRR"))</f>
        <v/>
      </c>
      <c r="K34" s="90">
        <f>SUM(C134:AB134)</f>
        <v/>
      </c>
      <c r="L34" s="91">
        <f>IF(SUM(C135:AB135)&lt;0,"never repays",IFERROR(IRR(C135:AB135),"no IRR"))</f>
        <v/>
      </c>
      <c r="M34" s="90">
        <f>SUM(C135:AB135)</f>
        <v/>
      </c>
      <c r="N34" s="68">
        <f>IF(I34=MAX(I$32:I$35),"BEST","")</f>
        <v/>
      </c>
    </row>
    <row r="35">
      <c r="A35" s="68" t="inlineStr">
        <is>
          <t>Intermediate 2.0 degC/yr (ASSUMPTION)</t>
        </is>
      </c>
      <c r="B35" s="68" t="inlineStr">
        <is>
          <t>(c) Build fewer modules</t>
        </is>
      </c>
      <c r="C35" s="68" t="n">
        <v>0</v>
      </c>
      <c r="D35" s="90">
        <f>-(1-($G$118/4))*('Sell-Compute'!$C$34+('AU-Route'!$B$31*(1+Control!$B$13)))</f>
        <v/>
      </c>
      <c r="E35" s="90">
        <f>D35</f>
        <v/>
      </c>
      <c r="F35" s="68" t="inlineStr">
        <is>
          <t>-</t>
        </is>
      </c>
      <c r="G35" s="68">
        <f>$G$118</f>
        <v/>
      </c>
      <c r="H35" s="91">
        <f>IF(SUM(C136:AB136)&lt;0,"never repays",IFERROR(IRR(C136:AB136),"no IRR"))</f>
        <v/>
      </c>
      <c r="I35" s="90">
        <f>SUM(C136:AB136)</f>
        <v/>
      </c>
      <c r="J35" s="91">
        <f>IF(SUM(C137:AB137)&lt;0,"never repays",IFERROR(IRR(C137:AB137),"no IRR"))</f>
        <v/>
      </c>
      <c r="K35" s="90">
        <f>SUM(C137:AB137)</f>
        <v/>
      </c>
      <c r="L35" s="91">
        <f>IF(SUM(C138:AB138)&lt;0,"never repays",IFERROR(IRR(C138:AB138),"no IRR"))</f>
        <v/>
      </c>
      <c r="M35" s="90">
        <f>SUM(C138:AB138)</f>
        <v/>
      </c>
      <c r="N35" s="68">
        <f>IF(I35=MAX(I$32:I$35),"BEST","")</f>
        <v/>
      </c>
    </row>
    <row r="36">
      <c r="A36" s="68" t="inlineStr">
        <is>
          <t>Project Red reading 5.0 degC/yr (disputed)</t>
        </is>
      </c>
      <c r="B36" s="68" t="inlineStr">
        <is>
          <t>Do nothing (dark modules stop buying GPUs)</t>
        </is>
      </c>
      <c r="C36" s="68" t="n">
        <v>0</v>
      </c>
      <c r="D36" s="90" t="n">
        <v>0</v>
      </c>
      <c r="E36" s="90" t="n">
        <v>0</v>
      </c>
      <c r="F36" s="68" t="inlineStr">
        <is>
          <t>-</t>
        </is>
      </c>
      <c r="G36" s="68">
        <f>AB146</f>
        <v/>
      </c>
      <c r="H36" s="91">
        <f>IF(SUM(C149:AB149)&lt;0,"never repays",IFERROR(IRR(C149:AB149),"no IRR"))</f>
        <v/>
      </c>
      <c r="I36" s="90">
        <f>SUM(C149:AB149)</f>
        <v/>
      </c>
      <c r="J36" s="91">
        <f>IF(SUM(C150:AB150)&lt;0,"never repays",IFERROR(IRR(C150:AB150),"no IRR"))</f>
        <v/>
      </c>
      <c r="K36" s="90">
        <f>SUM(C150:AB150)</f>
        <v/>
      </c>
      <c r="L36" s="91">
        <f>IF(SUM(C151:AB151)&lt;0,"never repays",IFERROR(IRR(C151:AB151),"no IRR"))</f>
        <v/>
      </c>
      <c r="M36" s="90">
        <f>SUM(C151:AB151)</f>
        <v/>
      </c>
      <c r="N36" s="68">
        <f>IF(I36=MAX(I$36:I$39),"BEST","")</f>
        <v/>
      </c>
    </row>
    <row r="37">
      <c r="A37" s="68" t="inlineStr">
        <is>
          <t>Project Red reading 5.0 degC/yr (disputed)</t>
        </is>
      </c>
      <c r="B37" s="68" t="inlineStr">
        <is>
          <t>(a) Extra doublets at start</t>
        </is>
      </c>
      <c r="C37" s="68">
        <f>$E$140</f>
        <v/>
      </c>
      <c r="D37" s="90">
        <f>IF(ISNUMBER($E$140),$E$140*(2*($C$11+$C$12)*(1+$C$14)),0)</f>
        <v/>
      </c>
      <c r="E37" s="90">
        <f>IF(ISNUMBER($E$140),$E$140*(2*($C$11+$C$12)*(1+$C$14)),0)</f>
        <v/>
      </c>
      <c r="F37" s="68">
        <f>IF(AND(ISNUMBER($E$140),$E$140&gt;0),0,"-")</f>
        <v/>
      </c>
      <c r="G37" s="68">
        <f>AB147</f>
        <v/>
      </c>
      <c r="H37" s="91">
        <f>IF(SUM(C152:AB152)&lt;0,"never repays",IFERROR(IRR(C152:AB152),"no IRR"))</f>
        <v/>
      </c>
      <c r="I37" s="90">
        <f>SUM(C152:AB152)</f>
        <v/>
      </c>
      <c r="J37" s="91">
        <f>IF(SUM(C153:AB153)&lt;0,"never repays",IFERROR(IRR(C153:AB153),"no IRR"))</f>
        <v/>
      </c>
      <c r="K37" s="90">
        <f>SUM(C153:AB153)</f>
        <v/>
      </c>
      <c r="L37" s="91">
        <f>IF(SUM(C154:AB154)&lt;0,"never repays",IFERROR(IRR(C154:AB154),"no IRR"))</f>
        <v/>
      </c>
      <c r="M37" s="90">
        <f>SUM(C154:AB154)</f>
        <v/>
      </c>
      <c r="N37" s="68">
        <f>IF(I37=MAX(I$36:I$39),"BEST","")</f>
        <v/>
      </c>
    </row>
    <row r="38">
      <c r="A38" s="68" t="inlineStr">
        <is>
          <t>Project Red reading 5.0 degC/yr (disputed)</t>
        </is>
      </c>
      <c r="B38" s="68" t="inlineStr">
        <is>
          <t>(b) Make-up doublets on a monitored trigger</t>
        </is>
      </c>
      <c r="C38" s="68">
        <f>SUM(D143:AB143)</f>
        <v/>
      </c>
      <c r="D38" s="90">
        <f>SUM(C145:AB145)</f>
        <v/>
      </c>
      <c r="E38" s="90">
        <f>NPV(Rates!$D$70,D145:AB145)+C145</f>
        <v/>
      </c>
      <c r="F38" s="68">
        <f>IFERROR(INDEX($C$51:$AB$51,MATCH(TRUE,INDEX(C145:AB145&gt;0,0),0)),"-")</f>
        <v/>
      </c>
      <c r="G38" s="68">
        <f>AB148</f>
        <v/>
      </c>
      <c r="H38" s="91">
        <f>IF(SUM(C155:AB155)&lt;0,"never repays",IFERROR(IRR(C155:AB155),"no IRR"))</f>
        <v/>
      </c>
      <c r="I38" s="90">
        <f>SUM(C155:AB155)</f>
        <v/>
      </c>
      <c r="J38" s="91">
        <f>IF(SUM(C156:AB156)&lt;0,"never repays",IFERROR(IRR(C156:AB156),"no IRR"))</f>
        <v/>
      </c>
      <c r="K38" s="90">
        <f>SUM(C156:AB156)</f>
        <v/>
      </c>
      <c r="L38" s="91">
        <f>IF(SUM(C157:AB157)&lt;0,"never repays",IFERROR(IRR(C157:AB157),"no IRR"))</f>
        <v/>
      </c>
      <c r="M38" s="90">
        <f>SUM(C157:AB157)</f>
        <v/>
      </c>
      <c r="N38" s="68">
        <f>IF(I38=MAX(I$36:I$39),"BEST","")</f>
        <v/>
      </c>
    </row>
    <row r="39">
      <c r="A39" s="68" t="inlineStr">
        <is>
          <t>Project Red reading 5.0 degC/yr (disputed)</t>
        </is>
      </c>
      <c r="B39" s="68" t="inlineStr">
        <is>
          <t>(c) Build fewer modules</t>
        </is>
      </c>
      <c r="C39" s="68" t="n">
        <v>0</v>
      </c>
      <c r="D39" s="90">
        <f>-(1-($G$140/4))*('Sell-Compute'!$C$34+('AU-Route'!$B$31*(1+Control!$B$13)))</f>
        <v/>
      </c>
      <c r="E39" s="90">
        <f>D39</f>
        <v/>
      </c>
      <c r="F39" s="68" t="inlineStr">
        <is>
          <t>-</t>
        </is>
      </c>
      <c r="G39" s="68">
        <f>$G$140</f>
        <v/>
      </c>
      <c r="H39" s="91">
        <f>IF(SUM(C158:AB158)&lt;0,"never repays",IFERROR(IRR(C158:AB158),"no IRR"))</f>
        <v/>
      </c>
      <c r="I39" s="90">
        <f>SUM(C158:AB158)</f>
        <v/>
      </c>
      <c r="J39" s="91">
        <f>IF(SUM(C159:AB159)&lt;0,"never repays",IFERROR(IRR(C159:AB159),"no IRR"))</f>
        <v/>
      </c>
      <c r="K39" s="90">
        <f>SUM(C159:AB159)</f>
        <v/>
      </c>
      <c r="L39" s="91">
        <f>IF(SUM(C160:AB160)&lt;0,"never repays",IFERROR(IRR(C160:AB160),"no IRR"))</f>
        <v/>
      </c>
      <c r="M39" s="90">
        <f>SUM(C160:AB160)</f>
        <v/>
      </c>
      <c r="N39" s="68">
        <f>IF(I39=MAX(I$36:I$39),"BEST","")</f>
        <v/>
      </c>
    </row>
    <row r="40">
      <c r="A40" s="68" t="inlineStr">
        <is>
          <t>EGS base case 6.45 degC/yr</t>
        </is>
      </c>
      <c r="B40" s="68" t="inlineStr">
        <is>
          <t>Do nothing (dark modules stop buying GPUs)</t>
        </is>
      </c>
      <c r="C40" s="68" t="n">
        <v>0</v>
      </c>
      <c r="D40" s="90" t="n">
        <v>0</v>
      </c>
      <c r="E40" s="90" t="n">
        <v>0</v>
      </c>
      <c r="F40" s="68" t="inlineStr">
        <is>
          <t>-</t>
        </is>
      </c>
      <c r="G40" s="68">
        <f>AB168</f>
        <v/>
      </c>
      <c r="H40" s="91">
        <f>IF(SUM(C171:AB171)&lt;0,"never repays",IFERROR(IRR(C171:AB171),"no IRR"))</f>
        <v/>
      </c>
      <c r="I40" s="90">
        <f>SUM(C171:AB171)</f>
        <v/>
      </c>
      <c r="J40" s="91">
        <f>IF(SUM(C172:AB172)&lt;0,"never repays",IFERROR(IRR(C172:AB172),"no IRR"))</f>
        <v/>
      </c>
      <c r="K40" s="90">
        <f>SUM(C172:AB172)</f>
        <v/>
      </c>
      <c r="L40" s="91">
        <f>IF(SUM(C173:AB173)&lt;0,"never repays",IFERROR(IRR(C173:AB173),"no IRR"))</f>
        <v/>
      </c>
      <c r="M40" s="90">
        <f>SUM(C173:AB173)</f>
        <v/>
      </c>
      <c r="N40" s="68">
        <f>IF(I40=MAX(I$40:I$43),"BEST","")</f>
        <v/>
      </c>
    </row>
    <row r="41">
      <c r="A41" s="68" t="inlineStr">
        <is>
          <t>EGS base case 6.45 degC/yr</t>
        </is>
      </c>
      <c r="B41" s="68" t="inlineStr">
        <is>
          <t>(a) Extra doublets at start</t>
        </is>
      </c>
      <c r="C41" s="68">
        <f>$E$162</f>
        <v/>
      </c>
      <c r="D41" s="90">
        <f>IF(ISNUMBER($E$162),$E$162*(2*($C$11+$C$12)*(1+$C$14)),0)</f>
        <v/>
      </c>
      <c r="E41" s="90">
        <f>IF(ISNUMBER($E$162),$E$162*(2*($C$11+$C$12)*(1+$C$14)),0)</f>
        <v/>
      </c>
      <c r="F41" s="68">
        <f>IF(AND(ISNUMBER($E$162),$E$162&gt;0),0,"-")</f>
        <v/>
      </c>
      <c r="G41" s="68">
        <f>AB169</f>
        <v/>
      </c>
      <c r="H41" s="91">
        <f>IF(SUM(C174:AB174)&lt;0,"never repays",IFERROR(IRR(C174:AB174),"no IRR"))</f>
        <v/>
      </c>
      <c r="I41" s="90">
        <f>SUM(C174:AB174)</f>
        <v/>
      </c>
      <c r="J41" s="91">
        <f>IF(SUM(C175:AB175)&lt;0,"never repays",IFERROR(IRR(C175:AB175),"no IRR"))</f>
        <v/>
      </c>
      <c r="K41" s="90">
        <f>SUM(C175:AB175)</f>
        <v/>
      </c>
      <c r="L41" s="91">
        <f>IF(SUM(C176:AB176)&lt;0,"never repays",IFERROR(IRR(C176:AB176),"no IRR"))</f>
        <v/>
      </c>
      <c r="M41" s="90">
        <f>SUM(C176:AB176)</f>
        <v/>
      </c>
      <c r="N41" s="68">
        <f>IF(I41=MAX(I$40:I$43),"BEST","")</f>
        <v/>
      </c>
    </row>
    <row r="42">
      <c r="A42" s="68" t="inlineStr">
        <is>
          <t>EGS base case 6.45 degC/yr</t>
        </is>
      </c>
      <c r="B42" s="68" t="inlineStr">
        <is>
          <t>(b) Make-up doublets on a monitored trigger</t>
        </is>
      </c>
      <c r="C42" s="68">
        <f>SUM(D165:AB165)</f>
        <v/>
      </c>
      <c r="D42" s="90">
        <f>SUM(C167:AB167)</f>
        <v/>
      </c>
      <c r="E42" s="90">
        <f>NPV(Rates!$D$70,D167:AB167)+C167</f>
        <v/>
      </c>
      <c r="F42" s="68">
        <f>IFERROR(INDEX($C$51:$AB$51,MATCH(TRUE,INDEX(C167:AB167&gt;0,0),0)),"-")</f>
        <v/>
      </c>
      <c r="G42" s="68">
        <f>AB170</f>
        <v/>
      </c>
      <c r="H42" s="91">
        <f>IF(SUM(C177:AB177)&lt;0,"never repays",IFERROR(IRR(C177:AB177),"no IRR"))</f>
        <v/>
      </c>
      <c r="I42" s="90">
        <f>SUM(C177:AB177)</f>
        <v/>
      </c>
      <c r="J42" s="91">
        <f>IF(SUM(C178:AB178)&lt;0,"never repays",IFERROR(IRR(C178:AB178),"no IRR"))</f>
        <v/>
      </c>
      <c r="K42" s="90">
        <f>SUM(C178:AB178)</f>
        <v/>
      </c>
      <c r="L42" s="91">
        <f>IF(SUM(C179:AB179)&lt;0,"never repays",IFERROR(IRR(C179:AB179),"no IRR"))</f>
        <v/>
      </c>
      <c r="M42" s="90">
        <f>SUM(C179:AB179)</f>
        <v/>
      </c>
      <c r="N42" s="68">
        <f>IF(I42=MAX(I$40:I$43),"BEST","")</f>
        <v/>
      </c>
    </row>
    <row r="43">
      <c r="A43" s="68" t="inlineStr">
        <is>
          <t>EGS base case 6.45 degC/yr</t>
        </is>
      </c>
      <c r="B43" s="68" t="inlineStr">
        <is>
          <t>(c) Build fewer modules</t>
        </is>
      </c>
      <c r="C43" s="68" t="n">
        <v>0</v>
      </c>
      <c r="D43" s="90">
        <f>-(1-($G$162/4))*('Sell-Compute'!$C$34+('AU-Route'!$B$31*(1+Control!$B$13)))</f>
        <v/>
      </c>
      <c r="E43" s="90">
        <f>D43</f>
        <v/>
      </c>
      <c r="F43" s="68" t="inlineStr">
        <is>
          <t>-</t>
        </is>
      </c>
      <c r="G43" s="68">
        <f>$G$162</f>
        <v/>
      </c>
      <c r="H43" s="91">
        <f>IF(SUM(C180:AB180)&lt;0,"never repays",IFERROR(IRR(C180:AB180),"no IRR"))</f>
        <v/>
      </c>
      <c r="I43" s="90">
        <f>SUM(C180:AB180)</f>
        <v/>
      </c>
      <c r="J43" s="91">
        <f>IF(SUM(C181:AB181)&lt;0,"never repays",IFERROR(IRR(C181:AB181),"no IRR"))</f>
        <v/>
      </c>
      <c r="K43" s="90">
        <f>SUM(C181:AB181)</f>
        <v/>
      </c>
      <c r="L43" s="91">
        <f>IF(SUM(C182:AB182)&lt;0,"never repays",IFERROR(IRR(C182:AB182),"no IRR"))</f>
        <v/>
      </c>
      <c r="M43" s="90">
        <f>SUM(C182:AB182)</f>
        <v/>
      </c>
      <c r="N43" s="68">
        <f>IF(I43=MAX(I$40:I$43),"BEST","")</f>
        <v/>
      </c>
    </row>
    <row r="44">
      <c r="A44" s="68" t="inlineStr">
        <is>
          <t>Stress 10 degC/yr (ASSUMPTION)</t>
        </is>
      </c>
      <c r="B44" s="68" t="inlineStr">
        <is>
          <t>Do nothing (dark modules stop buying GPUs)</t>
        </is>
      </c>
      <c r="C44" s="68" t="n">
        <v>0</v>
      </c>
      <c r="D44" s="90" t="n">
        <v>0</v>
      </c>
      <c r="E44" s="90" t="n">
        <v>0</v>
      </c>
      <c r="F44" s="68" t="inlineStr">
        <is>
          <t>-</t>
        </is>
      </c>
      <c r="G44" s="68">
        <f>AB190</f>
        <v/>
      </c>
      <c r="H44" s="91">
        <f>IF(SUM(C193:AB193)&lt;0,"never repays",IFERROR(IRR(C193:AB193),"no IRR"))</f>
        <v/>
      </c>
      <c r="I44" s="90">
        <f>SUM(C193:AB193)</f>
        <v/>
      </c>
      <c r="J44" s="91">
        <f>IF(SUM(C194:AB194)&lt;0,"never repays",IFERROR(IRR(C194:AB194),"no IRR"))</f>
        <v/>
      </c>
      <c r="K44" s="90">
        <f>SUM(C194:AB194)</f>
        <v/>
      </c>
      <c r="L44" s="91">
        <f>IF(SUM(C195:AB195)&lt;0,"never repays",IFERROR(IRR(C195:AB195),"no IRR"))</f>
        <v/>
      </c>
      <c r="M44" s="90">
        <f>SUM(C195:AB195)</f>
        <v/>
      </c>
      <c r="N44" s="68">
        <f>IF(I44=MAX(I$44:I$47),"BEST","")</f>
        <v/>
      </c>
    </row>
    <row r="45">
      <c r="A45" s="68" t="inlineStr">
        <is>
          <t>Stress 10 degC/yr (ASSUMPTION)</t>
        </is>
      </c>
      <c r="B45" s="68" t="inlineStr">
        <is>
          <t>(a) Extra doublets at start</t>
        </is>
      </c>
      <c r="C45" s="68">
        <f>$E$184</f>
        <v/>
      </c>
      <c r="D45" s="90">
        <f>IF(ISNUMBER($E$184),$E$184*(2*($C$11+$C$12)*(1+$C$14)),0)</f>
        <v/>
      </c>
      <c r="E45" s="90">
        <f>IF(ISNUMBER($E$184),$E$184*(2*($C$11+$C$12)*(1+$C$14)),0)</f>
        <v/>
      </c>
      <c r="F45" s="68">
        <f>IF(AND(ISNUMBER($E$184),$E$184&gt;0),0,"-")</f>
        <v/>
      </c>
      <c r="G45" s="68">
        <f>AB191</f>
        <v/>
      </c>
      <c r="H45" s="91">
        <f>IF(SUM(C196:AB196)&lt;0,"never repays",IFERROR(IRR(C196:AB196),"no IRR"))</f>
        <v/>
      </c>
      <c r="I45" s="90">
        <f>SUM(C196:AB196)</f>
        <v/>
      </c>
      <c r="J45" s="91">
        <f>IF(SUM(C197:AB197)&lt;0,"never repays",IFERROR(IRR(C197:AB197),"no IRR"))</f>
        <v/>
      </c>
      <c r="K45" s="90">
        <f>SUM(C197:AB197)</f>
        <v/>
      </c>
      <c r="L45" s="91">
        <f>IF(SUM(C198:AB198)&lt;0,"never repays",IFERROR(IRR(C198:AB198),"no IRR"))</f>
        <v/>
      </c>
      <c r="M45" s="90">
        <f>SUM(C198:AB198)</f>
        <v/>
      </c>
      <c r="N45" s="68">
        <f>IF(I45=MAX(I$44:I$47),"BEST","")</f>
        <v/>
      </c>
    </row>
    <row r="46">
      <c r="A46" s="68" t="inlineStr">
        <is>
          <t>Stress 10 degC/yr (ASSUMPTION)</t>
        </is>
      </c>
      <c r="B46" s="68" t="inlineStr">
        <is>
          <t>(b) Make-up doublets on a monitored trigger</t>
        </is>
      </c>
      <c r="C46" s="68">
        <f>SUM(D187:AB187)</f>
        <v/>
      </c>
      <c r="D46" s="90">
        <f>SUM(C189:AB189)</f>
        <v/>
      </c>
      <c r="E46" s="90">
        <f>NPV(Rates!$D$70,D189:AB189)+C189</f>
        <v/>
      </c>
      <c r="F46" s="68">
        <f>IFERROR(INDEX($C$51:$AB$51,MATCH(TRUE,INDEX(C189:AB189&gt;0,0),0)),"-")</f>
        <v/>
      </c>
      <c r="G46" s="68">
        <f>AB192</f>
        <v/>
      </c>
      <c r="H46" s="91">
        <f>IF(SUM(C199:AB199)&lt;0,"never repays",IFERROR(IRR(C199:AB199),"no IRR"))</f>
        <v/>
      </c>
      <c r="I46" s="90">
        <f>SUM(C199:AB199)</f>
        <v/>
      </c>
      <c r="J46" s="91">
        <f>IF(SUM(C200:AB200)&lt;0,"never repays",IFERROR(IRR(C200:AB200),"no IRR"))</f>
        <v/>
      </c>
      <c r="K46" s="90">
        <f>SUM(C200:AB200)</f>
        <v/>
      </c>
      <c r="L46" s="91">
        <f>IF(SUM(C201:AB201)&lt;0,"never repays",IFERROR(IRR(C201:AB201),"no IRR"))</f>
        <v/>
      </c>
      <c r="M46" s="90">
        <f>SUM(C201:AB201)</f>
        <v/>
      </c>
      <c r="N46" s="68">
        <f>IF(I46=MAX(I$44:I$47),"BEST","")</f>
        <v/>
      </c>
    </row>
    <row r="47">
      <c r="A47" s="68" t="inlineStr">
        <is>
          <t>Stress 10 degC/yr (ASSUMPTION)</t>
        </is>
      </c>
      <c r="B47" s="68" t="inlineStr">
        <is>
          <t>(c) Build fewer modules</t>
        </is>
      </c>
      <c r="C47" s="68" t="n">
        <v>0</v>
      </c>
      <c r="D47" s="90">
        <f>-(1-($G$184/4))*('Sell-Compute'!$C$34+('AU-Route'!$B$31*(1+Control!$B$13)))</f>
        <v/>
      </c>
      <c r="E47" s="90">
        <f>D47</f>
        <v/>
      </c>
      <c r="F47" s="68" t="inlineStr">
        <is>
          <t>-</t>
        </is>
      </c>
      <c r="G47" s="68">
        <f>$G$184</f>
        <v/>
      </c>
      <c r="H47" s="91">
        <f>IF(SUM(C202:AB202)&lt;0,"never repays",IFERROR(IRR(C202:AB202),"no IRR"))</f>
        <v/>
      </c>
      <c r="I47" s="90">
        <f>SUM(C202:AB202)</f>
        <v/>
      </c>
      <c r="J47" s="91">
        <f>IF(SUM(C203:AB203)&lt;0,"never repays",IFERROR(IRR(C203:AB203),"no IRR"))</f>
        <v/>
      </c>
      <c r="K47" s="90">
        <f>SUM(C203:AB203)</f>
        <v/>
      </c>
      <c r="L47" s="91">
        <f>IF(SUM(C204:AB204)&lt;0,"never repays",IFERROR(IRR(C204:AB204),"no IRR"))</f>
        <v/>
      </c>
      <c r="M47" s="90">
        <f>SUM(C204:AB204)</f>
        <v/>
      </c>
      <c r="N47" s="68">
        <f>IF(I47=MAX(I$44:I$47),"BEST","")</f>
        <v/>
      </c>
    </row>
    <row r="48"/>
    <row r="49"/>
    <row r="50">
      <c r="A50" s="68" t="inlineStr">
        <is>
          <t>Helper rows (year in row below; columns C..AB = years 0..25)</t>
        </is>
      </c>
    </row>
    <row r="51">
      <c r="C51" s="68" t="n">
        <v>0</v>
      </c>
      <c r="D51" s="68" t="n">
        <v>1</v>
      </c>
      <c r="E51" s="68" t="n">
        <v>2</v>
      </c>
      <c r="F51" s="68" t="n">
        <v>3</v>
      </c>
      <c r="G51" s="68" t="n">
        <v>4</v>
      </c>
      <c r="H51" s="68" t="n">
        <v>5</v>
      </c>
      <c r="I51" s="68" t="n">
        <v>6</v>
      </c>
      <c r="J51" s="68" t="n">
        <v>7</v>
      </c>
      <c r="K51" s="68" t="n">
        <v>8</v>
      </c>
      <c r="L51" s="68" t="n">
        <v>9</v>
      </c>
      <c r="M51" s="68" t="n">
        <v>10</v>
      </c>
      <c r="N51" s="68" t="n">
        <v>11</v>
      </c>
      <c r="O51" s="68" t="n">
        <v>12</v>
      </c>
      <c r="P51" s="68" t="n">
        <v>13</v>
      </c>
      <c r="Q51" s="68" t="n">
        <v>14</v>
      </c>
      <c r="R51" s="68" t="n">
        <v>15</v>
      </c>
      <c r="S51" s="68" t="n">
        <v>16</v>
      </c>
      <c r="T51" s="68" t="n">
        <v>17</v>
      </c>
      <c r="U51" s="68" t="n">
        <v>18</v>
      </c>
      <c r="V51" s="68" t="n">
        <v>19</v>
      </c>
      <c r="W51" s="68" t="n">
        <v>20</v>
      </c>
      <c r="X51" s="68" t="n">
        <v>21</v>
      </c>
      <c r="Y51" s="68" t="n">
        <v>22</v>
      </c>
      <c r="Z51" s="68" t="n">
        <v>23</v>
      </c>
      <c r="AA51" s="68" t="n">
        <v>24</v>
      </c>
      <c r="AB51" s="68" t="n">
        <v>25</v>
      </c>
    </row>
    <row r="52">
      <c r="A52" s="68" t="inlineStr">
        <is>
          <t>rate: SELECTED (headline)</t>
        </is>
      </c>
      <c r="B52" s="123">
        <f>Decline!$C$4</f>
        <v/>
      </c>
      <c r="D52" s="68" t="inlineStr">
        <is>
          <t>k (a)</t>
        </is>
      </c>
      <c r="E52" s="68">
        <f>IF(AA$53&lt;=0,"not feasible",MAX(0,CEILING(Decline!$C$20/AA$53-1E-9,1)-Decline!$C$19))</f>
        <v/>
      </c>
      <c r="F52" s="68" t="inlineStr">
        <is>
          <t>N (c)</t>
        </is>
      </c>
      <c r="G52" s="68">
        <f>MAX(0,MIN(4,INT(MIN(Decline!$C$20,Decline!$C$19*MAX(0,AA$53))*Decline!$C$21/Decline!$C$22+1E-9)))</f>
        <v/>
      </c>
    </row>
    <row r="53">
      <c r="A53" s="68" t="inlineStr">
        <is>
          <t>capability per producer by age (MW net)</t>
        </is>
      </c>
      <c r="C53" s="68">
        <f>(Rates!$D$66*((Decline!$C$15-$B$52*C$51)-Decline!$C$16-(Decline!$C$16+273.15)*LN(((Decline!$C$15-$B$52*C$51)+273.15)/(Decline!$C$16+273.15)))/Decline!$C$23*Decline!$C$24-Decline!$C$25)</f>
        <v/>
      </c>
      <c r="D53" s="68">
        <f>(Rates!$D$66*((Decline!$C$15-$B$52*D$51)-Decline!$C$16-(Decline!$C$16+273.15)*LN(((Decline!$C$15-$B$52*D$51)+273.15)/(Decline!$C$16+273.15)))/Decline!$C$23*Decline!$C$24-Decline!$C$25)</f>
        <v/>
      </c>
      <c r="E53" s="68">
        <f>(Rates!$D$66*((Decline!$C$15-$B$52*E$51)-Decline!$C$16-(Decline!$C$16+273.15)*LN(((Decline!$C$15-$B$52*E$51)+273.15)/(Decline!$C$16+273.15)))/Decline!$C$23*Decline!$C$24-Decline!$C$25)</f>
        <v/>
      </c>
      <c r="F53" s="68">
        <f>(Rates!$D$66*((Decline!$C$15-$B$52*F$51)-Decline!$C$16-(Decline!$C$16+273.15)*LN(((Decline!$C$15-$B$52*F$51)+273.15)/(Decline!$C$16+273.15)))/Decline!$C$23*Decline!$C$24-Decline!$C$25)</f>
        <v/>
      </c>
      <c r="G53" s="68">
        <f>(Rates!$D$66*((Decline!$C$15-$B$52*G$51)-Decline!$C$16-(Decline!$C$16+273.15)*LN(((Decline!$C$15-$B$52*G$51)+273.15)/(Decline!$C$16+273.15)))/Decline!$C$23*Decline!$C$24-Decline!$C$25)</f>
        <v/>
      </c>
      <c r="H53" s="68">
        <f>(Rates!$D$66*((Decline!$C$15-$B$52*H$51)-Decline!$C$16-(Decline!$C$16+273.15)*LN(((Decline!$C$15-$B$52*H$51)+273.15)/(Decline!$C$16+273.15)))/Decline!$C$23*Decline!$C$24-Decline!$C$25)</f>
        <v/>
      </c>
      <c r="I53" s="68">
        <f>(Rates!$D$66*((Decline!$C$15-$B$52*I$51)-Decline!$C$16-(Decline!$C$16+273.15)*LN(((Decline!$C$15-$B$52*I$51)+273.15)/(Decline!$C$16+273.15)))/Decline!$C$23*Decline!$C$24-Decline!$C$25)</f>
        <v/>
      </c>
      <c r="J53" s="68">
        <f>(Rates!$D$66*((Decline!$C$15-$B$52*J$51)-Decline!$C$16-(Decline!$C$16+273.15)*LN(((Decline!$C$15-$B$52*J$51)+273.15)/(Decline!$C$16+273.15)))/Decline!$C$23*Decline!$C$24-Decline!$C$25)</f>
        <v/>
      </c>
      <c r="K53" s="68">
        <f>(Rates!$D$66*((Decline!$C$15-$B$52*K$51)-Decline!$C$16-(Decline!$C$16+273.15)*LN(((Decline!$C$15-$B$52*K$51)+273.15)/(Decline!$C$16+273.15)))/Decline!$C$23*Decline!$C$24-Decline!$C$25)</f>
        <v/>
      </c>
      <c r="L53" s="68">
        <f>(Rates!$D$66*((Decline!$C$15-$B$52*L$51)-Decline!$C$16-(Decline!$C$16+273.15)*LN(((Decline!$C$15-$B$52*L$51)+273.15)/(Decline!$C$16+273.15)))/Decline!$C$23*Decline!$C$24-Decline!$C$25)</f>
        <v/>
      </c>
      <c r="M53" s="68">
        <f>(Rates!$D$66*((Decline!$C$15-$B$52*M$51)-Decline!$C$16-(Decline!$C$16+273.15)*LN(((Decline!$C$15-$B$52*M$51)+273.15)/(Decline!$C$16+273.15)))/Decline!$C$23*Decline!$C$24-Decline!$C$25)</f>
        <v/>
      </c>
      <c r="N53" s="68">
        <f>(Rates!$D$66*((Decline!$C$15-$B$52*N$51)-Decline!$C$16-(Decline!$C$16+273.15)*LN(((Decline!$C$15-$B$52*N$51)+273.15)/(Decline!$C$16+273.15)))/Decline!$C$23*Decline!$C$24-Decline!$C$25)</f>
        <v/>
      </c>
      <c r="O53" s="68">
        <f>(Rates!$D$66*((Decline!$C$15-$B$52*O$51)-Decline!$C$16-(Decline!$C$16+273.15)*LN(((Decline!$C$15-$B$52*O$51)+273.15)/(Decline!$C$16+273.15)))/Decline!$C$23*Decline!$C$24-Decline!$C$25)</f>
        <v/>
      </c>
      <c r="P53" s="68">
        <f>(Rates!$D$66*((Decline!$C$15-$B$52*P$51)-Decline!$C$16-(Decline!$C$16+273.15)*LN(((Decline!$C$15-$B$52*P$51)+273.15)/(Decline!$C$16+273.15)))/Decline!$C$23*Decline!$C$24-Decline!$C$25)</f>
        <v/>
      </c>
      <c r="Q53" s="68">
        <f>(Rates!$D$66*((Decline!$C$15-$B$52*Q$51)-Decline!$C$16-(Decline!$C$16+273.15)*LN(((Decline!$C$15-$B$52*Q$51)+273.15)/(Decline!$C$16+273.15)))/Decline!$C$23*Decline!$C$24-Decline!$C$25)</f>
        <v/>
      </c>
      <c r="R53" s="68">
        <f>(Rates!$D$66*((Decline!$C$15-$B$52*R$51)-Decline!$C$16-(Decline!$C$16+273.15)*LN(((Decline!$C$15-$B$52*R$51)+273.15)/(Decline!$C$16+273.15)))/Decline!$C$23*Decline!$C$24-Decline!$C$25)</f>
        <v/>
      </c>
      <c r="S53" s="68">
        <f>(Rates!$D$66*((Decline!$C$15-$B$52*S$51)-Decline!$C$16-(Decline!$C$16+273.15)*LN(((Decline!$C$15-$B$52*S$51)+273.15)/(Decline!$C$16+273.15)))/Decline!$C$23*Decline!$C$24-Decline!$C$25)</f>
        <v/>
      </c>
      <c r="T53" s="68">
        <f>(Rates!$D$66*((Decline!$C$15-$B$52*T$51)-Decline!$C$16-(Decline!$C$16+273.15)*LN(((Decline!$C$15-$B$52*T$51)+273.15)/(Decline!$C$16+273.15)))/Decline!$C$23*Decline!$C$24-Decline!$C$25)</f>
        <v/>
      </c>
      <c r="U53" s="68">
        <f>(Rates!$D$66*((Decline!$C$15-$B$52*U$51)-Decline!$C$16-(Decline!$C$16+273.15)*LN(((Decline!$C$15-$B$52*U$51)+273.15)/(Decline!$C$16+273.15)))/Decline!$C$23*Decline!$C$24-Decline!$C$25)</f>
        <v/>
      </c>
      <c r="V53" s="68">
        <f>(Rates!$D$66*((Decline!$C$15-$B$52*V$51)-Decline!$C$16-(Decline!$C$16+273.15)*LN(((Decline!$C$15-$B$52*V$51)+273.15)/(Decline!$C$16+273.15)))/Decline!$C$23*Decline!$C$24-Decline!$C$25)</f>
        <v/>
      </c>
      <c r="W53" s="68">
        <f>(Rates!$D$66*((Decline!$C$15-$B$52*W$51)-Decline!$C$16-(Decline!$C$16+273.15)*LN(((Decline!$C$15-$B$52*W$51)+273.15)/(Decline!$C$16+273.15)))/Decline!$C$23*Decline!$C$24-Decline!$C$25)</f>
        <v/>
      </c>
      <c r="X53" s="68">
        <f>(Rates!$D$66*((Decline!$C$15-$B$52*X$51)-Decline!$C$16-(Decline!$C$16+273.15)*LN(((Decline!$C$15-$B$52*X$51)+273.15)/(Decline!$C$16+273.15)))/Decline!$C$23*Decline!$C$24-Decline!$C$25)</f>
        <v/>
      </c>
      <c r="Y53" s="68">
        <f>(Rates!$D$66*((Decline!$C$15-$B$52*Y$51)-Decline!$C$16-(Decline!$C$16+273.15)*LN(((Decline!$C$15-$B$52*Y$51)+273.15)/(Decline!$C$16+273.15)))/Decline!$C$23*Decline!$C$24-Decline!$C$25)</f>
        <v/>
      </c>
      <c r="Z53" s="68">
        <f>(Rates!$D$66*((Decline!$C$15-$B$52*Z$51)-Decline!$C$16-(Decline!$C$16+273.15)*LN(((Decline!$C$15-$B$52*Z$51)+273.15)/(Decline!$C$16+273.15)))/Decline!$C$23*Decline!$C$24-Decline!$C$25)</f>
        <v/>
      </c>
      <c r="AA53" s="68">
        <f>(Rates!$D$66*((Decline!$C$15-$B$52*AA$51)-Decline!$C$16-(Decline!$C$16+273.15)*LN(((Decline!$C$15-$B$52*AA$51)+273.15)/(Decline!$C$16+273.15)))/Decline!$C$23*Decline!$C$24-Decline!$C$25)</f>
        <v/>
      </c>
      <c r="AB53" s="68">
        <f>(Rates!$D$66*((Decline!$C$15-$B$52*AB$51)-Decline!$C$16-(Decline!$C$16+273.15)*LN(((Decline!$C$15-$B$52*AB$51)+273.15)/(Decline!$C$16+273.15)))/Decline!$C$23*Decline!$C$24-Decline!$C$25)</f>
        <v/>
      </c>
    </row>
    <row r="54">
      <c r="A54" s="68" t="inlineStr">
        <is>
          <t>(b) capability before new wells</t>
        </is>
      </c>
      <c r="D54" s="68">
        <f>Decline!$C$19*C$53</f>
        <v/>
      </c>
      <c r="E54" s="68">
        <f>Decline!$C$19*D$53</f>
        <v/>
      </c>
      <c r="F54" s="68">
        <f>Decline!$C$19*E$53+E55*D$53</f>
        <v/>
      </c>
      <c r="G54" s="68">
        <f>Decline!$C$19*F$53+E55*E$53+F55*D$53</f>
        <v/>
      </c>
      <c r="H54" s="68">
        <f>Decline!$C$19*G$53+E55*F$53+F55*E$53+G55*D$53</f>
        <v/>
      </c>
      <c r="I54" s="68">
        <f>Decline!$C$19*H$53+E55*G$53+F55*F$53+G55*E$53+H55*D$53</f>
        <v/>
      </c>
      <c r="J54" s="68">
        <f>Decline!$C$19*I$53+E55*H$53+F55*G$53+G55*F$53+H55*E$53+I55*D$53</f>
        <v/>
      </c>
      <c r="K54" s="68">
        <f>Decline!$C$19*J$53+E55*I$53+F55*H$53+G55*G$53+H55*F$53+I55*E$53+J55*D$53</f>
        <v/>
      </c>
      <c r="L54" s="68">
        <f>Decline!$C$19*K$53+E55*J$53+F55*I$53+G55*H$53+H55*G$53+I55*F$53+J55*E$53+K55*D$53</f>
        <v/>
      </c>
      <c r="M54" s="68">
        <f>Decline!$C$19*L$53+E55*K$53+F55*J$53+G55*I$53+H55*H$53+I55*G$53+J55*F$53+K55*E$53+L55*D$53</f>
        <v/>
      </c>
      <c r="N54" s="68">
        <f>Decline!$C$19*M$53+E55*L$53+F55*K$53+G55*J$53+H55*I$53+I55*H$53+J55*G$53+K55*F$53+L55*E$53+M55*D$53</f>
        <v/>
      </c>
      <c r="O54" s="68">
        <f>Decline!$C$19*N$53+E55*M$53+F55*L$53+G55*K$53+H55*J$53+I55*I$53+J55*H$53+K55*G$53+L55*F$53+M55*E$53+N55*D$53</f>
        <v/>
      </c>
      <c r="P54" s="68">
        <f>Decline!$C$19*O$53+E55*N$53+F55*M$53+G55*L$53+H55*K$53+I55*J$53+J55*I$53+K55*H$53+L55*G$53+M55*F$53+N55*E$53+O55*D$53</f>
        <v/>
      </c>
      <c r="Q54" s="68">
        <f>Decline!$C$19*P$53+E55*O$53+F55*N$53+G55*M$53+H55*L$53+I55*K$53+J55*J$53+K55*I$53+L55*H$53+M55*G$53+N55*F$53+O55*E$53+P55*D$53</f>
        <v/>
      </c>
      <c r="R54" s="68">
        <f>Decline!$C$19*Q$53+E55*P$53+F55*O$53+G55*N$53+H55*M$53+I55*L$53+J55*K$53+K55*J$53+L55*I$53+M55*H$53+N55*G$53+O55*F$53+P55*E$53+Q55*D$53</f>
        <v/>
      </c>
      <c r="S54" s="68">
        <f>Decline!$C$19*R$53+E55*Q$53+F55*P$53+G55*O$53+H55*N$53+I55*M$53+J55*L$53+K55*K$53+L55*J$53+M55*I$53+N55*H$53+O55*G$53+P55*F$53+Q55*E$53+R55*D$53</f>
        <v/>
      </c>
      <c r="T54" s="68">
        <f>Decline!$C$19*S$53+E55*R$53+F55*Q$53+G55*P$53+H55*O$53+I55*N$53+J55*M$53+K55*L$53+L55*K$53+M55*J$53+N55*I$53+O55*H$53+P55*G$53+Q55*F$53+R55*E$53+S55*D$53</f>
        <v/>
      </c>
      <c r="U54" s="68">
        <f>Decline!$C$19*T$53+E55*S$53+F55*R$53+G55*Q$53+H55*P$53+I55*O$53+J55*N$53+K55*M$53+L55*L$53+M55*K$53+N55*J$53+O55*I$53+P55*H$53+Q55*G$53+R55*F$53+S55*E$53+T55*D$53</f>
        <v/>
      </c>
      <c r="V54" s="68">
        <f>Decline!$C$19*U$53+E55*T$53+F55*S$53+G55*R$53+H55*Q$53+I55*P$53+J55*O$53+K55*N$53+L55*M$53+M55*L$53+N55*K$53+O55*J$53+P55*I$53+Q55*H$53+R55*G$53+S55*F$53+T55*E$53+U55*D$53</f>
        <v/>
      </c>
      <c r="W54" s="68">
        <f>Decline!$C$19*V$53+E55*U$53+F55*T$53+G55*S$53+H55*R$53+I55*Q$53+J55*P$53+K55*O$53+L55*N$53+M55*M$53+N55*L$53+O55*K$53+P55*J$53+Q55*I$53+R55*H$53+S55*G$53+T55*F$53+U55*E$53+V55*D$53</f>
        <v/>
      </c>
      <c r="X54" s="68">
        <f>Decline!$C$19*W$53+E55*V$53+F55*U$53+G55*T$53+H55*S$53+I55*R$53+J55*Q$53+K55*P$53+L55*O$53+M55*N$53+N55*M$53+O55*L$53+P55*K$53+Q55*J$53+R55*I$53+S55*H$53+T55*G$53+U55*F$53+V55*E$53+W55*D$53</f>
        <v/>
      </c>
      <c r="Y54" s="68">
        <f>Decline!$C$19*X$53+E55*W$53+F55*V$53+G55*U$53+H55*T$53+I55*S$53+J55*R$53+K55*Q$53+L55*P$53+M55*O$53+N55*N$53+O55*M$53+P55*L$53+Q55*K$53+R55*J$53+S55*I$53+T55*H$53+U55*G$53+V55*F$53+W55*E$53+X55*D$53</f>
        <v/>
      </c>
      <c r="Z54" s="68">
        <f>Decline!$C$19*Y$53+E55*X$53+F55*W$53+G55*V$53+H55*U$53+I55*T$53+J55*S$53+K55*R$53+L55*Q$53+M55*P$53+N55*O$53+O55*N$53+P55*M$53+Q55*L$53+R55*K$53+S55*J$53+T55*I$53+U55*H$53+V55*G$53+W55*F$53+X55*E$53+Y55*D$53</f>
        <v/>
      </c>
      <c r="AA54" s="68">
        <f>Decline!$C$19*Z$53+E55*Y$53+F55*X$53+G55*W$53+H55*V$53+I55*U$53+J55*T$53+K55*S$53+L55*R$53+M55*Q$53+N55*P$53+O55*O$53+P55*N$53+Q55*M$53+R55*L$53+S55*K$53+T55*J$53+U55*I$53+V55*H$53+W55*G$53+X55*F$53+Y55*E$53+Z55*D$53</f>
        <v/>
      </c>
      <c r="AB54" s="68">
        <f>Decline!$C$19*AA$53+E55*Z$53+F55*Y$53+G55*X$53+H55*W$53+I55*V$53+J55*U$53+K55*T$53+L55*S$53+M55*R$53+N55*Q$53+O55*P$53+P55*O$53+Q55*N$53+R55*M$53+S55*L$53+T55*K$53+U55*J$53+V55*I$53+W55*H$53+X55*G$53+Y55*F$53+Z55*E$53+AA55*D$53</f>
        <v/>
      </c>
    </row>
    <row r="55">
      <c r="A55" s="68" t="inlineStr">
        <is>
          <t>(b) doublets online this year</t>
        </is>
      </c>
      <c r="C55" s="68" t="n">
        <v>0</v>
      </c>
      <c r="D55" s="68" t="n">
        <v>0</v>
      </c>
      <c r="E55" s="68">
        <f>IF(E54&lt;Decline!$C$20-1E-9,IF(C$53&lt;=0,0,CEILING((Decline!$C$20-E54)/C$53,1)),0)</f>
        <v/>
      </c>
      <c r="F55" s="68">
        <f>IF(F54&lt;Decline!$C$20-1E-9,IF(C$53&lt;=0,0,CEILING((Decline!$C$20-F54)/C$53,1)),0)</f>
        <v/>
      </c>
      <c r="G55" s="68">
        <f>IF(G54&lt;Decline!$C$20-1E-9,IF(C$53&lt;=0,0,CEILING((Decline!$C$20-G54)/C$53,1)),0)</f>
        <v/>
      </c>
      <c r="H55" s="68">
        <f>IF(H54&lt;Decline!$C$20-1E-9,IF(C$53&lt;=0,0,CEILING((Decline!$C$20-H54)/C$53,1)),0)</f>
        <v/>
      </c>
      <c r="I55" s="68">
        <f>IF(I54&lt;Decline!$C$20-1E-9,IF(C$53&lt;=0,0,CEILING((Decline!$C$20-I54)/C$53,1)),0)</f>
        <v/>
      </c>
      <c r="J55" s="68">
        <f>IF(J54&lt;Decline!$C$20-1E-9,IF(C$53&lt;=0,0,CEILING((Decline!$C$20-J54)/C$53,1)),0)</f>
        <v/>
      </c>
      <c r="K55" s="68">
        <f>IF(K54&lt;Decline!$C$20-1E-9,IF(C$53&lt;=0,0,CEILING((Decline!$C$20-K54)/C$53,1)),0)</f>
        <v/>
      </c>
      <c r="L55" s="68">
        <f>IF(L54&lt;Decline!$C$20-1E-9,IF(C$53&lt;=0,0,CEILING((Decline!$C$20-L54)/C$53,1)),0)</f>
        <v/>
      </c>
      <c r="M55" s="68">
        <f>IF(M54&lt;Decline!$C$20-1E-9,IF(C$53&lt;=0,0,CEILING((Decline!$C$20-M54)/C$53,1)),0)</f>
        <v/>
      </c>
      <c r="N55" s="68">
        <f>IF(N54&lt;Decline!$C$20-1E-9,IF(C$53&lt;=0,0,CEILING((Decline!$C$20-N54)/C$53,1)),0)</f>
        <v/>
      </c>
      <c r="O55" s="68">
        <f>IF(O54&lt;Decline!$C$20-1E-9,IF(C$53&lt;=0,0,CEILING((Decline!$C$20-O54)/C$53,1)),0)</f>
        <v/>
      </c>
      <c r="P55" s="68">
        <f>IF(P54&lt;Decline!$C$20-1E-9,IF(C$53&lt;=0,0,CEILING((Decline!$C$20-P54)/C$53,1)),0)</f>
        <v/>
      </c>
      <c r="Q55" s="68">
        <f>IF(Q54&lt;Decline!$C$20-1E-9,IF(C$53&lt;=0,0,CEILING((Decline!$C$20-Q54)/C$53,1)),0)</f>
        <v/>
      </c>
      <c r="R55" s="68">
        <f>IF(R54&lt;Decline!$C$20-1E-9,IF(C$53&lt;=0,0,CEILING((Decline!$C$20-R54)/C$53,1)),0)</f>
        <v/>
      </c>
      <c r="S55" s="68">
        <f>IF(S54&lt;Decline!$C$20-1E-9,IF(C$53&lt;=0,0,CEILING((Decline!$C$20-S54)/C$53,1)),0)</f>
        <v/>
      </c>
      <c r="T55" s="68">
        <f>IF(T54&lt;Decline!$C$20-1E-9,IF(C$53&lt;=0,0,CEILING((Decline!$C$20-T54)/C$53,1)),0)</f>
        <v/>
      </c>
      <c r="U55" s="68">
        <f>IF(U54&lt;Decline!$C$20-1E-9,IF(C$53&lt;=0,0,CEILING((Decline!$C$20-U54)/C$53,1)),0)</f>
        <v/>
      </c>
      <c r="V55" s="68">
        <f>IF(V54&lt;Decline!$C$20-1E-9,IF(C$53&lt;=0,0,CEILING((Decline!$C$20-V54)/C$53,1)),0)</f>
        <v/>
      </c>
      <c r="W55" s="68">
        <f>IF(W54&lt;Decline!$C$20-1E-9,IF(C$53&lt;=0,0,CEILING((Decline!$C$20-W54)/C$53,1)),0)</f>
        <v/>
      </c>
      <c r="X55" s="68">
        <f>IF(X54&lt;Decline!$C$20-1E-9,IF(C$53&lt;=0,0,CEILING((Decline!$C$20-X54)/C$53,1)),0)</f>
        <v/>
      </c>
      <c r="Y55" s="68">
        <f>IF(Y54&lt;Decline!$C$20-1E-9,IF(C$53&lt;=0,0,CEILING((Decline!$C$20-Y54)/C$53,1)),0)</f>
        <v/>
      </c>
      <c r="Z55" s="68">
        <f>IF(Z54&lt;Decline!$C$20-1E-9,IF(C$53&lt;=0,0,CEILING((Decline!$C$20-Z54)/C$53,1)),0)</f>
        <v/>
      </c>
      <c r="AA55" s="68">
        <f>IF(AA54&lt;Decline!$C$20-1E-9,IF(C$53&lt;=0,0,CEILING((Decline!$C$20-AA54)/C$53,1)),0)</f>
        <v/>
      </c>
      <c r="AB55" s="68">
        <f>IF(AB54&lt;Decline!$C$20-1E-9,IF(C$53&lt;=0,0,CEILING((Decline!$C$20-AB54)/C$53,1)),0)</f>
        <v/>
      </c>
    </row>
    <row r="56">
      <c r="A56" s="68" t="inlineStr">
        <is>
          <t>(b) capability after</t>
        </is>
      </c>
      <c r="D56" s="68">
        <f>D54+D55*C$53</f>
        <v/>
      </c>
      <c r="E56" s="68">
        <f>E54+E55*C$53</f>
        <v/>
      </c>
      <c r="F56" s="68">
        <f>F54+F55*C$53</f>
        <v/>
      </c>
      <c r="G56" s="68">
        <f>G54+G55*C$53</f>
        <v/>
      </c>
      <c r="H56" s="68">
        <f>H54+H55*C$53</f>
        <v/>
      </c>
      <c r="I56" s="68">
        <f>I54+I55*C$53</f>
        <v/>
      </c>
      <c r="J56" s="68">
        <f>J54+J55*C$53</f>
        <v/>
      </c>
      <c r="K56" s="68">
        <f>K54+K55*C$53</f>
        <v/>
      </c>
      <c r="L56" s="68">
        <f>L54+L55*C$53</f>
        <v/>
      </c>
      <c r="M56" s="68">
        <f>M54+M55*C$53</f>
        <v/>
      </c>
      <c r="N56" s="68">
        <f>N54+N55*C$53</f>
        <v/>
      </c>
      <c r="O56" s="68">
        <f>O54+O55*C$53</f>
        <v/>
      </c>
      <c r="P56" s="68">
        <f>P54+P55*C$53</f>
        <v/>
      </c>
      <c r="Q56" s="68">
        <f>Q54+Q55*C$53</f>
        <v/>
      </c>
      <c r="R56" s="68">
        <f>R54+R55*C$53</f>
        <v/>
      </c>
      <c r="S56" s="68">
        <f>S54+S55*C$53</f>
        <v/>
      </c>
      <c r="T56" s="68">
        <f>T54+T55*C$53</f>
        <v/>
      </c>
      <c r="U56" s="68">
        <f>U54+U55*C$53</f>
        <v/>
      </c>
      <c r="V56" s="68">
        <f>V54+V55*C$53</f>
        <v/>
      </c>
      <c r="W56" s="68">
        <f>W54+W55*C$53</f>
        <v/>
      </c>
      <c r="X56" s="68">
        <f>X54+X55*C$53</f>
        <v/>
      </c>
      <c r="Y56" s="68">
        <f>Y54+Y55*C$53</f>
        <v/>
      </c>
      <c r="Z56" s="68">
        <f>Z54+Z55*C$53</f>
        <v/>
      </c>
      <c r="AA56" s="68">
        <f>AA54+AA55*C$53</f>
        <v/>
      </c>
      <c r="AB56" s="68">
        <f>AB54+AB55*C$53</f>
        <v/>
      </c>
    </row>
    <row r="57">
      <c r="A57" s="68" t="inlineStr">
        <is>
          <t>(b) make-up capex (spent the year before)</t>
        </is>
      </c>
      <c r="C57" s="68">
        <f>IF(D55&gt;0,D55*(2*($C$11+$C$12)*(1+$C$14))+($C$13*(1+$C$14)),0)</f>
        <v/>
      </c>
      <c r="D57" s="68">
        <f>IF(E55&gt;0,E55*(2*($C$11+$C$12)*(1+$C$14))+($C$13*(1+$C$14)),0)</f>
        <v/>
      </c>
      <c r="E57" s="68">
        <f>IF(F55&gt;0,F55*(2*($C$11+$C$12)*(1+$C$14))+($C$13*(1+$C$14)),0)</f>
        <v/>
      </c>
      <c r="F57" s="68">
        <f>IF(G55&gt;0,G55*(2*($C$11+$C$12)*(1+$C$14))+($C$13*(1+$C$14)),0)</f>
        <v/>
      </c>
      <c r="G57" s="68">
        <f>IF(H55&gt;0,H55*(2*($C$11+$C$12)*(1+$C$14))+($C$13*(1+$C$14)),0)</f>
        <v/>
      </c>
      <c r="H57" s="68">
        <f>IF(I55&gt;0,I55*(2*($C$11+$C$12)*(1+$C$14))+($C$13*(1+$C$14)),0)</f>
        <v/>
      </c>
      <c r="I57" s="68">
        <f>IF(J55&gt;0,J55*(2*($C$11+$C$12)*(1+$C$14))+($C$13*(1+$C$14)),0)</f>
        <v/>
      </c>
      <c r="J57" s="68">
        <f>IF(K55&gt;0,K55*(2*($C$11+$C$12)*(1+$C$14))+($C$13*(1+$C$14)),0)</f>
        <v/>
      </c>
      <c r="K57" s="68">
        <f>IF(L55&gt;0,L55*(2*($C$11+$C$12)*(1+$C$14))+($C$13*(1+$C$14)),0)</f>
        <v/>
      </c>
      <c r="L57" s="68">
        <f>IF(M55&gt;0,M55*(2*($C$11+$C$12)*(1+$C$14))+($C$13*(1+$C$14)),0)</f>
        <v/>
      </c>
      <c r="M57" s="68">
        <f>IF(N55&gt;0,N55*(2*($C$11+$C$12)*(1+$C$14))+($C$13*(1+$C$14)),0)</f>
        <v/>
      </c>
      <c r="N57" s="68">
        <f>IF(O55&gt;0,O55*(2*($C$11+$C$12)*(1+$C$14))+($C$13*(1+$C$14)),0)</f>
        <v/>
      </c>
      <c r="O57" s="68">
        <f>IF(P55&gt;0,P55*(2*($C$11+$C$12)*(1+$C$14))+($C$13*(1+$C$14)),0)</f>
        <v/>
      </c>
      <c r="P57" s="68">
        <f>IF(Q55&gt;0,Q55*(2*($C$11+$C$12)*(1+$C$14))+($C$13*(1+$C$14)),0)</f>
        <v/>
      </c>
      <c r="Q57" s="68">
        <f>IF(R55&gt;0,R55*(2*($C$11+$C$12)*(1+$C$14))+($C$13*(1+$C$14)),0)</f>
        <v/>
      </c>
      <c r="R57" s="68">
        <f>IF(S55&gt;0,S55*(2*($C$11+$C$12)*(1+$C$14))+($C$13*(1+$C$14)),0)</f>
        <v/>
      </c>
      <c r="S57" s="68">
        <f>IF(T55&gt;0,T55*(2*($C$11+$C$12)*(1+$C$14))+($C$13*(1+$C$14)),0)</f>
        <v/>
      </c>
      <c r="T57" s="68">
        <f>IF(U55&gt;0,U55*(2*($C$11+$C$12)*(1+$C$14))+($C$13*(1+$C$14)),0)</f>
        <v/>
      </c>
      <c r="U57" s="68">
        <f>IF(V55&gt;0,V55*(2*($C$11+$C$12)*(1+$C$14))+($C$13*(1+$C$14)),0)</f>
        <v/>
      </c>
      <c r="V57" s="68">
        <f>IF(W55&gt;0,W55*(2*($C$11+$C$12)*(1+$C$14))+($C$13*(1+$C$14)),0)</f>
        <v/>
      </c>
      <c r="W57" s="68">
        <f>IF(X55&gt;0,X55*(2*($C$11+$C$12)*(1+$C$14))+($C$13*(1+$C$14)),0)</f>
        <v/>
      </c>
      <c r="X57" s="68">
        <f>IF(Y55&gt;0,Y55*(2*($C$11+$C$12)*(1+$C$14))+($C$13*(1+$C$14)),0)</f>
        <v/>
      </c>
      <c r="Y57" s="68">
        <f>IF(Z55&gt;0,Z55*(2*($C$11+$C$12)*(1+$C$14))+($C$13*(1+$C$14)),0)</f>
        <v/>
      </c>
      <c r="Z57" s="68">
        <f>IF(AA55&gt;0,AA55*(2*($C$11+$C$12)*(1+$C$14))+($C$13*(1+$C$14)),0)</f>
        <v/>
      </c>
      <c r="AA57" s="68">
        <f>IF(AB55&gt;0,AB55*(2*($C$11+$C$12)*(1+$C$14))+($C$13*(1+$C$14)),0)</f>
        <v/>
      </c>
      <c r="AB57" s="68" t="n">
        <v>0</v>
      </c>
    </row>
    <row r="58">
      <c r="A58" s="68" t="inlineStr">
        <is>
          <t>do nothing: lit modules</t>
        </is>
      </c>
      <c r="D58" s="68">
        <f>MAX(0,MIN(4,INT(MIN(Decline!$C$20,Decline!$C$19*C$53)*Decline!$C$21/Decline!$C$22+1E-9)))</f>
        <v/>
      </c>
      <c r="E58" s="68">
        <f>MAX(0,MIN(4,INT(MIN(Decline!$C$20,Decline!$C$19*D$53)*Decline!$C$21/Decline!$C$22+1E-9)))</f>
        <v/>
      </c>
      <c r="F58" s="68">
        <f>MAX(0,MIN(4,INT(MIN(Decline!$C$20,Decline!$C$19*E$53)*Decline!$C$21/Decline!$C$22+1E-9)))</f>
        <v/>
      </c>
      <c r="G58" s="68">
        <f>MAX(0,MIN(4,INT(MIN(Decline!$C$20,Decline!$C$19*F$53)*Decline!$C$21/Decline!$C$22+1E-9)))</f>
        <v/>
      </c>
      <c r="H58" s="68">
        <f>MAX(0,MIN(4,INT(MIN(Decline!$C$20,Decline!$C$19*G$53)*Decline!$C$21/Decline!$C$22+1E-9)))</f>
        <v/>
      </c>
      <c r="I58" s="68">
        <f>MAX(0,MIN(4,INT(MIN(Decline!$C$20,Decline!$C$19*H$53)*Decline!$C$21/Decline!$C$22+1E-9)))</f>
        <v/>
      </c>
      <c r="J58" s="68">
        <f>MAX(0,MIN(4,INT(MIN(Decline!$C$20,Decline!$C$19*I$53)*Decline!$C$21/Decline!$C$22+1E-9)))</f>
        <v/>
      </c>
      <c r="K58" s="68">
        <f>MAX(0,MIN(4,INT(MIN(Decline!$C$20,Decline!$C$19*J$53)*Decline!$C$21/Decline!$C$22+1E-9)))</f>
        <v/>
      </c>
      <c r="L58" s="68">
        <f>MAX(0,MIN(4,INT(MIN(Decline!$C$20,Decline!$C$19*K$53)*Decline!$C$21/Decline!$C$22+1E-9)))</f>
        <v/>
      </c>
      <c r="M58" s="68">
        <f>MAX(0,MIN(4,INT(MIN(Decline!$C$20,Decline!$C$19*L$53)*Decline!$C$21/Decline!$C$22+1E-9)))</f>
        <v/>
      </c>
      <c r="N58" s="68">
        <f>MAX(0,MIN(4,INT(MIN(Decline!$C$20,Decline!$C$19*M$53)*Decline!$C$21/Decline!$C$22+1E-9)))</f>
        <v/>
      </c>
      <c r="O58" s="68">
        <f>MAX(0,MIN(4,INT(MIN(Decline!$C$20,Decline!$C$19*N$53)*Decline!$C$21/Decline!$C$22+1E-9)))</f>
        <v/>
      </c>
      <c r="P58" s="68">
        <f>MAX(0,MIN(4,INT(MIN(Decline!$C$20,Decline!$C$19*O$53)*Decline!$C$21/Decline!$C$22+1E-9)))</f>
        <v/>
      </c>
      <c r="Q58" s="68">
        <f>MAX(0,MIN(4,INT(MIN(Decline!$C$20,Decline!$C$19*P$53)*Decline!$C$21/Decline!$C$22+1E-9)))</f>
        <v/>
      </c>
      <c r="R58" s="68">
        <f>MAX(0,MIN(4,INT(MIN(Decline!$C$20,Decline!$C$19*Q$53)*Decline!$C$21/Decline!$C$22+1E-9)))</f>
        <v/>
      </c>
      <c r="S58" s="68">
        <f>MAX(0,MIN(4,INT(MIN(Decline!$C$20,Decline!$C$19*R$53)*Decline!$C$21/Decline!$C$22+1E-9)))</f>
        <v/>
      </c>
      <c r="T58" s="68">
        <f>MAX(0,MIN(4,INT(MIN(Decline!$C$20,Decline!$C$19*S$53)*Decline!$C$21/Decline!$C$22+1E-9)))</f>
        <v/>
      </c>
      <c r="U58" s="68">
        <f>MAX(0,MIN(4,INT(MIN(Decline!$C$20,Decline!$C$19*T$53)*Decline!$C$21/Decline!$C$22+1E-9)))</f>
        <v/>
      </c>
      <c r="V58" s="68">
        <f>MAX(0,MIN(4,INT(MIN(Decline!$C$20,Decline!$C$19*U$53)*Decline!$C$21/Decline!$C$22+1E-9)))</f>
        <v/>
      </c>
      <c r="W58" s="68">
        <f>MAX(0,MIN(4,INT(MIN(Decline!$C$20,Decline!$C$19*V$53)*Decline!$C$21/Decline!$C$22+1E-9)))</f>
        <v/>
      </c>
      <c r="X58" s="68">
        <f>MAX(0,MIN(4,INT(MIN(Decline!$C$20,Decline!$C$19*W$53)*Decline!$C$21/Decline!$C$22+1E-9)))</f>
        <v/>
      </c>
      <c r="Y58" s="68">
        <f>MAX(0,MIN(4,INT(MIN(Decline!$C$20,Decline!$C$19*X$53)*Decline!$C$21/Decline!$C$22+1E-9)))</f>
        <v/>
      </c>
      <c r="Z58" s="68">
        <f>MAX(0,MIN(4,INT(MIN(Decline!$C$20,Decline!$C$19*Y$53)*Decline!$C$21/Decline!$C$22+1E-9)))</f>
        <v/>
      </c>
      <c r="AA58" s="68">
        <f>MAX(0,MIN(4,INT(MIN(Decline!$C$20,Decline!$C$19*Z$53)*Decline!$C$21/Decline!$C$22+1E-9)))</f>
        <v/>
      </c>
      <c r="AB58" s="68">
        <f>MAX(0,MIN(4,INT(MIN(Decline!$C$20,Decline!$C$19*AA$53)*Decline!$C$21/Decline!$C$22+1E-9)))</f>
        <v/>
      </c>
    </row>
    <row r="59">
      <c r="A59" s="68" t="inlineStr">
        <is>
          <t>(a) lit modules</t>
        </is>
      </c>
      <c r="D59" s="68">
        <f>MAX(0,MIN(4,INT(MIN(Decline!$C$20,(Decline!$C$19+IF(ISNUMBER($E$52),$E$52,0))*C$53)*Decline!$C$21/Decline!$C$22+1E-9)))</f>
        <v/>
      </c>
      <c r="E59" s="68">
        <f>MAX(0,MIN(4,INT(MIN(Decline!$C$20,(Decline!$C$19+IF(ISNUMBER($E$52),$E$52,0))*D$53)*Decline!$C$21/Decline!$C$22+1E-9)))</f>
        <v/>
      </c>
      <c r="F59" s="68">
        <f>MAX(0,MIN(4,INT(MIN(Decline!$C$20,(Decline!$C$19+IF(ISNUMBER($E$52),$E$52,0))*E$53)*Decline!$C$21/Decline!$C$22+1E-9)))</f>
        <v/>
      </c>
      <c r="G59" s="68">
        <f>MAX(0,MIN(4,INT(MIN(Decline!$C$20,(Decline!$C$19+IF(ISNUMBER($E$52),$E$52,0))*F$53)*Decline!$C$21/Decline!$C$22+1E-9)))</f>
        <v/>
      </c>
      <c r="H59" s="68">
        <f>MAX(0,MIN(4,INT(MIN(Decline!$C$20,(Decline!$C$19+IF(ISNUMBER($E$52),$E$52,0))*G$53)*Decline!$C$21/Decline!$C$22+1E-9)))</f>
        <v/>
      </c>
      <c r="I59" s="68">
        <f>MAX(0,MIN(4,INT(MIN(Decline!$C$20,(Decline!$C$19+IF(ISNUMBER($E$52),$E$52,0))*H$53)*Decline!$C$21/Decline!$C$22+1E-9)))</f>
        <v/>
      </c>
      <c r="J59" s="68">
        <f>MAX(0,MIN(4,INT(MIN(Decline!$C$20,(Decline!$C$19+IF(ISNUMBER($E$52),$E$52,0))*I$53)*Decline!$C$21/Decline!$C$22+1E-9)))</f>
        <v/>
      </c>
      <c r="K59" s="68">
        <f>MAX(0,MIN(4,INT(MIN(Decline!$C$20,(Decline!$C$19+IF(ISNUMBER($E$52),$E$52,0))*J$53)*Decline!$C$21/Decline!$C$22+1E-9)))</f>
        <v/>
      </c>
      <c r="L59" s="68">
        <f>MAX(0,MIN(4,INT(MIN(Decline!$C$20,(Decline!$C$19+IF(ISNUMBER($E$52),$E$52,0))*K$53)*Decline!$C$21/Decline!$C$22+1E-9)))</f>
        <v/>
      </c>
      <c r="M59" s="68">
        <f>MAX(0,MIN(4,INT(MIN(Decline!$C$20,(Decline!$C$19+IF(ISNUMBER($E$52),$E$52,0))*L$53)*Decline!$C$21/Decline!$C$22+1E-9)))</f>
        <v/>
      </c>
      <c r="N59" s="68">
        <f>MAX(0,MIN(4,INT(MIN(Decline!$C$20,(Decline!$C$19+IF(ISNUMBER($E$52),$E$52,0))*M$53)*Decline!$C$21/Decline!$C$22+1E-9)))</f>
        <v/>
      </c>
      <c r="O59" s="68">
        <f>MAX(0,MIN(4,INT(MIN(Decline!$C$20,(Decline!$C$19+IF(ISNUMBER($E$52),$E$52,0))*N$53)*Decline!$C$21/Decline!$C$22+1E-9)))</f>
        <v/>
      </c>
      <c r="P59" s="68">
        <f>MAX(0,MIN(4,INT(MIN(Decline!$C$20,(Decline!$C$19+IF(ISNUMBER($E$52),$E$52,0))*O$53)*Decline!$C$21/Decline!$C$22+1E-9)))</f>
        <v/>
      </c>
      <c r="Q59" s="68">
        <f>MAX(0,MIN(4,INT(MIN(Decline!$C$20,(Decline!$C$19+IF(ISNUMBER($E$52),$E$52,0))*P$53)*Decline!$C$21/Decline!$C$22+1E-9)))</f>
        <v/>
      </c>
      <c r="R59" s="68">
        <f>MAX(0,MIN(4,INT(MIN(Decline!$C$20,(Decline!$C$19+IF(ISNUMBER($E$52),$E$52,0))*Q$53)*Decline!$C$21/Decline!$C$22+1E-9)))</f>
        <v/>
      </c>
      <c r="S59" s="68">
        <f>MAX(0,MIN(4,INT(MIN(Decline!$C$20,(Decline!$C$19+IF(ISNUMBER($E$52),$E$52,0))*R$53)*Decline!$C$21/Decline!$C$22+1E-9)))</f>
        <v/>
      </c>
      <c r="T59" s="68">
        <f>MAX(0,MIN(4,INT(MIN(Decline!$C$20,(Decline!$C$19+IF(ISNUMBER($E$52),$E$52,0))*S$53)*Decline!$C$21/Decline!$C$22+1E-9)))</f>
        <v/>
      </c>
      <c r="U59" s="68">
        <f>MAX(0,MIN(4,INT(MIN(Decline!$C$20,(Decline!$C$19+IF(ISNUMBER($E$52),$E$52,0))*T$53)*Decline!$C$21/Decline!$C$22+1E-9)))</f>
        <v/>
      </c>
      <c r="V59" s="68">
        <f>MAX(0,MIN(4,INT(MIN(Decline!$C$20,(Decline!$C$19+IF(ISNUMBER($E$52),$E$52,0))*U$53)*Decline!$C$21/Decline!$C$22+1E-9)))</f>
        <v/>
      </c>
      <c r="W59" s="68">
        <f>MAX(0,MIN(4,INT(MIN(Decline!$C$20,(Decline!$C$19+IF(ISNUMBER($E$52),$E$52,0))*V$53)*Decline!$C$21/Decline!$C$22+1E-9)))</f>
        <v/>
      </c>
      <c r="X59" s="68">
        <f>MAX(0,MIN(4,INT(MIN(Decline!$C$20,(Decline!$C$19+IF(ISNUMBER($E$52),$E$52,0))*W$53)*Decline!$C$21/Decline!$C$22+1E-9)))</f>
        <v/>
      </c>
      <c r="Y59" s="68">
        <f>MAX(0,MIN(4,INT(MIN(Decline!$C$20,(Decline!$C$19+IF(ISNUMBER($E$52),$E$52,0))*X$53)*Decline!$C$21/Decline!$C$22+1E-9)))</f>
        <v/>
      </c>
      <c r="Z59" s="68">
        <f>MAX(0,MIN(4,INT(MIN(Decline!$C$20,(Decline!$C$19+IF(ISNUMBER($E$52),$E$52,0))*Y$53)*Decline!$C$21/Decline!$C$22+1E-9)))</f>
        <v/>
      </c>
      <c r="AA59" s="68">
        <f>MAX(0,MIN(4,INT(MIN(Decline!$C$20,(Decline!$C$19+IF(ISNUMBER($E$52),$E$52,0))*Z$53)*Decline!$C$21/Decline!$C$22+1E-9)))</f>
        <v/>
      </c>
      <c r="AB59" s="68">
        <f>MAX(0,MIN(4,INT(MIN(Decline!$C$20,(Decline!$C$19+IF(ISNUMBER($E$52),$E$52,0))*AA$53)*Decline!$C$21/Decline!$C$22+1E-9)))</f>
        <v/>
      </c>
    </row>
    <row r="60">
      <c r="A60" s="68" t="inlineStr">
        <is>
          <t>(b) lit modules</t>
        </is>
      </c>
      <c r="D60" s="68">
        <f>MAX(0,MIN(4,INT(MIN(Decline!$C$20,D56)*Decline!$C$21/Decline!$C$22+1E-9)))</f>
        <v/>
      </c>
      <c r="E60" s="68">
        <f>MAX(0,MIN(4,INT(MIN(Decline!$C$20,E56)*Decline!$C$21/Decline!$C$22+1E-9)))</f>
        <v/>
      </c>
      <c r="F60" s="68">
        <f>MAX(0,MIN(4,INT(MIN(Decline!$C$20,F56)*Decline!$C$21/Decline!$C$22+1E-9)))</f>
        <v/>
      </c>
      <c r="G60" s="68">
        <f>MAX(0,MIN(4,INT(MIN(Decline!$C$20,G56)*Decline!$C$21/Decline!$C$22+1E-9)))</f>
        <v/>
      </c>
      <c r="H60" s="68">
        <f>MAX(0,MIN(4,INT(MIN(Decline!$C$20,H56)*Decline!$C$21/Decline!$C$22+1E-9)))</f>
        <v/>
      </c>
      <c r="I60" s="68">
        <f>MAX(0,MIN(4,INT(MIN(Decline!$C$20,I56)*Decline!$C$21/Decline!$C$22+1E-9)))</f>
        <v/>
      </c>
      <c r="J60" s="68">
        <f>MAX(0,MIN(4,INT(MIN(Decline!$C$20,J56)*Decline!$C$21/Decline!$C$22+1E-9)))</f>
        <v/>
      </c>
      <c r="K60" s="68">
        <f>MAX(0,MIN(4,INT(MIN(Decline!$C$20,K56)*Decline!$C$21/Decline!$C$22+1E-9)))</f>
        <v/>
      </c>
      <c r="L60" s="68">
        <f>MAX(0,MIN(4,INT(MIN(Decline!$C$20,L56)*Decline!$C$21/Decline!$C$22+1E-9)))</f>
        <v/>
      </c>
      <c r="M60" s="68">
        <f>MAX(0,MIN(4,INT(MIN(Decline!$C$20,M56)*Decline!$C$21/Decline!$C$22+1E-9)))</f>
        <v/>
      </c>
      <c r="N60" s="68">
        <f>MAX(0,MIN(4,INT(MIN(Decline!$C$20,N56)*Decline!$C$21/Decline!$C$22+1E-9)))</f>
        <v/>
      </c>
      <c r="O60" s="68">
        <f>MAX(0,MIN(4,INT(MIN(Decline!$C$20,O56)*Decline!$C$21/Decline!$C$22+1E-9)))</f>
        <v/>
      </c>
      <c r="P60" s="68">
        <f>MAX(0,MIN(4,INT(MIN(Decline!$C$20,P56)*Decline!$C$21/Decline!$C$22+1E-9)))</f>
        <v/>
      </c>
      <c r="Q60" s="68">
        <f>MAX(0,MIN(4,INT(MIN(Decline!$C$20,Q56)*Decline!$C$21/Decline!$C$22+1E-9)))</f>
        <v/>
      </c>
      <c r="R60" s="68">
        <f>MAX(0,MIN(4,INT(MIN(Decline!$C$20,R56)*Decline!$C$21/Decline!$C$22+1E-9)))</f>
        <v/>
      </c>
      <c r="S60" s="68">
        <f>MAX(0,MIN(4,INT(MIN(Decline!$C$20,S56)*Decline!$C$21/Decline!$C$22+1E-9)))</f>
        <v/>
      </c>
      <c r="T60" s="68">
        <f>MAX(0,MIN(4,INT(MIN(Decline!$C$20,T56)*Decline!$C$21/Decline!$C$22+1E-9)))</f>
        <v/>
      </c>
      <c r="U60" s="68">
        <f>MAX(0,MIN(4,INT(MIN(Decline!$C$20,U56)*Decline!$C$21/Decline!$C$22+1E-9)))</f>
        <v/>
      </c>
      <c r="V60" s="68">
        <f>MAX(0,MIN(4,INT(MIN(Decline!$C$20,V56)*Decline!$C$21/Decline!$C$22+1E-9)))</f>
        <v/>
      </c>
      <c r="W60" s="68">
        <f>MAX(0,MIN(4,INT(MIN(Decline!$C$20,W56)*Decline!$C$21/Decline!$C$22+1E-9)))</f>
        <v/>
      </c>
      <c r="X60" s="68">
        <f>MAX(0,MIN(4,INT(MIN(Decline!$C$20,X56)*Decline!$C$21/Decline!$C$22+1E-9)))</f>
        <v/>
      </c>
      <c r="Y60" s="68">
        <f>MAX(0,MIN(4,INT(MIN(Decline!$C$20,Y56)*Decline!$C$21/Decline!$C$22+1E-9)))</f>
        <v/>
      </c>
      <c r="Z60" s="68">
        <f>MAX(0,MIN(4,INT(MIN(Decline!$C$20,Z56)*Decline!$C$21/Decline!$C$22+1E-9)))</f>
        <v/>
      </c>
      <c r="AA60" s="68">
        <f>MAX(0,MIN(4,INT(MIN(Decline!$C$20,AA56)*Decline!$C$21/Decline!$C$22+1E-9)))</f>
        <v/>
      </c>
      <c r="AB60" s="68">
        <f>MAX(0,MIN(4,INT(MIN(Decline!$C$20,AB56)*Decline!$C$21/Decline!$C$22+1E-9)))</f>
        <v/>
      </c>
    </row>
    <row r="61">
      <c r="A61" s="68" t="inlineStr">
        <is>
          <t>Do nothing (dark modules stop buying GPUs) | flat</t>
        </is>
      </c>
      <c r="C61" s="68">
        <f>-'Sell-Compute'!$C$36</f>
        <v/>
      </c>
      <c r="D61" s="68">
        <f>IF(D$51&lt;=Rates!$D$71,('Sell-Compute'!$C$40*(1+'Sell-Compute'!$C$50)^MOD(D$51-1,'Sell-Compute'!$C$21)-'Sell-Compute'!$C$42-'Sell-Compute'!$C$43)*(D58/4)-'Sell-Compute'!$C$41-'Sell-Compute'!$C$44-'Sell-Compute'!$C$45-IF(AND(MOD(D$51,'Sell-Compute'!$C$21)=0,D$51&lt;Rates!$D$71),'Sell-Compute'!$C$34*(D58/4),0),0)</f>
        <v/>
      </c>
      <c r="E61" s="68">
        <f>IF(E$51&lt;=Rates!$D$71,('Sell-Compute'!$C$40*(1+'Sell-Compute'!$C$50)^MOD(E$51-1,'Sell-Compute'!$C$21)-'Sell-Compute'!$C$42-'Sell-Compute'!$C$43)*(E58/4)-'Sell-Compute'!$C$41-'Sell-Compute'!$C$44-'Sell-Compute'!$C$45-IF(AND(MOD(E$51,'Sell-Compute'!$C$21)=0,E$51&lt;Rates!$D$71),'Sell-Compute'!$C$34*(E58/4),0),0)</f>
        <v/>
      </c>
      <c r="F61" s="68">
        <f>IF(F$51&lt;=Rates!$D$71,('Sell-Compute'!$C$40*(1+'Sell-Compute'!$C$50)^MOD(F$51-1,'Sell-Compute'!$C$21)-'Sell-Compute'!$C$42-'Sell-Compute'!$C$43)*(F58/4)-'Sell-Compute'!$C$41-'Sell-Compute'!$C$44-'Sell-Compute'!$C$45-IF(AND(MOD(F$51,'Sell-Compute'!$C$21)=0,F$51&lt;Rates!$D$71),'Sell-Compute'!$C$34*(F58/4),0),0)</f>
        <v/>
      </c>
      <c r="G61" s="68">
        <f>IF(G$51&lt;=Rates!$D$71,('Sell-Compute'!$C$40*(1+'Sell-Compute'!$C$50)^MOD(G$51-1,'Sell-Compute'!$C$21)-'Sell-Compute'!$C$42-'Sell-Compute'!$C$43)*(G58/4)-'Sell-Compute'!$C$41-'Sell-Compute'!$C$44-'Sell-Compute'!$C$45-IF(AND(MOD(G$51,'Sell-Compute'!$C$21)=0,G$51&lt;Rates!$D$71),'Sell-Compute'!$C$34*(G58/4),0),0)</f>
        <v/>
      </c>
      <c r="H61" s="68">
        <f>IF(H$51&lt;=Rates!$D$71,('Sell-Compute'!$C$40*(1+'Sell-Compute'!$C$50)^MOD(H$51-1,'Sell-Compute'!$C$21)-'Sell-Compute'!$C$42-'Sell-Compute'!$C$43)*(H58/4)-'Sell-Compute'!$C$41-'Sell-Compute'!$C$44-'Sell-Compute'!$C$45-IF(AND(MOD(H$51,'Sell-Compute'!$C$21)=0,H$51&lt;Rates!$D$71),'Sell-Compute'!$C$34*(H58/4),0),0)</f>
        <v/>
      </c>
      <c r="I61" s="68">
        <f>IF(I$51&lt;=Rates!$D$71,('Sell-Compute'!$C$40*(1+'Sell-Compute'!$C$50)^MOD(I$51-1,'Sell-Compute'!$C$21)-'Sell-Compute'!$C$42-'Sell-Compute'!$C$43)*(I58/4)-'Sell-Compute'!$C$41-'Sell-Compute'!$C$44-'Sell-Compute'!$C$45-IF(AND(MOD(I$51,'Sell-Compute'!$C$21)=0,I$51&lt;Rates!$D$71),'Sell-Compute'!$C$34*(I58/4),0),0)</f>
        <v/>
      </c>
      <c r="J61" s="68">
        <f>IF(J$51&lt;=Rates!$D$71,('Sell-Compute'!$C$40*(1+'Sell-Compute'!$C$50)^MOD(J$51-1,'Sell-Compute'!$C$21)-'Sell-Compute'!$C$42-'Sell-Compute'!$C$43)*(J58/4)-'Sell-Compute'!$C$41-'Sell-Compute'!$C$44-'Sell-Compute'!$C$45-IF(AND(MOD(J$51,'Sell-Compute'!$C$21)=0,J$51&lt;Rates!$D$71),'Sell-Compute'!$C$34*(J58/4),0),0)</f>
        <v/>
      </c>
      <c r="K61" s="68">
        <f>IF(K$51&lt;=Rates!$D$71,('Sell-Compute'!$C$40*(1+'Sell-Compute'!$C$50)^MOD(K$51-1,'Sell-Compute'!$C$21)-'Sell-Compute'!$C$42-'Sell-Compute'!$C$43)*(K58/4)-'Sell-Compute'!$C$41-'Sell-Compute'!$C$44-'Sell-Compute'!$C$45-IF(AND(MOD(K$51,'Sell-Compute'!$C$21)=0,K$51&lt;Rates!$D$71),'Sell-Compute'!$C$34*(K58/4),0),0)</f>
        <v/>
      </c>
      <c r="L61" s="68">
        <f>IF(L$51&lt;=Rates!$D$71,('Sell-Compute'!$C$40*(1+'Sell-Compute'!$C$50)^MOD(L$51-1,'Sell-Compute'!$C$21)-'Sell-Compute'!$C$42-'Sell-Compute'!$C$43)*(L58/4)-'Sell-Compute'!$C$41-'Sell-Compute'!$C$44-'Sell-Compute'!$C$45-IF(AND(MOD(L$51,'Sell-Compute'!$C$21)=0,L$51&lt;Rates!$D$71),'Sell-Compute'!$C$34*(L58/4),0),0)</f>
        <v/>
      </c>
      <c r="M61" s="68">
        <f>IF(M$51&lt;=Rates!$D$71,('Sell-Compute'!$C$40*(1+'Sell-Compute'!$C$50)^MOD(M$51-1,'Sell-Compute'!$C$21)-'Sell-Compute'!$C$42-'Sell-Compute'!$C$43)*(M58/4)-'Sell-Compute'!$C$41-'Sell-Compute'!$C$44-'Sell-Compute'!$C$45-IF(AND(MOD(M$51,'Sell-Compute'!$C$21)=0,M$51&lt;Rates!$D$71),'Sell-Compute'!$C$34*(M58/4),0),0)</f>
        <v/>
      </c>
      <c r="N61" s="68">
        <f>IF(N$51&lt;=Rates!$D$71,('Sell-Compute'!$C$40*(1+'Sell-Compute'!$C$50)^MOD(N$51-1,'Sell-Compute'!$C$21)-'Sell-Compute'!$C$42-'Sell-Compute'!$C$43)*(N58/4)-'Sell-Compute'!$C$41-'Sell-Compute'!$C$44-'Sell-Compute'!$C$45-IF(AND(MOD(N$51,'Sell-Compute'!$C$21)=0,N$51&lt;Rates!$D$71),'Sell-Compute'!$C$34*(N58/4),0),0)</f>
        <v/>
      </c>
      <c r="O61" s="68">
        <f>IF(O$51&lt;=Rates!$D$71,('Sell-Compute'!$C$40*(1+'Sell-Compute'!$C$50)^MOD(O$51-1,'Sell-Compute'!$C$21)-'Sell-Compute'!$C$42-'Sell-Compute'!$C$43)*(O58/4)-'Sell-Compute'!$C$41-'Sell-Compute'!$C$44-'Sell-Compute'!$C$45-IF(AND(MOD(O$51,'Sell-Compute'!$C$21)=0,O$51&lt;Rates!$D$71),'Sell-Compute'!$C$34*(O58/4),0),0)</f>
        <v/>
      </c>
      <c r="P61" s="68">
        <f>IF(P$51&lt;=Rates!$D$71,('Sell-Compute'!$C$40*(1+'Sell-Compute'!$C$50)^MOD(P$51-1,'Sell-Compute'!$C$21)-'Sell-Compute'!$C$42-'Sell-Compute'!$C$43)*(P58/4)-'Sell-Compute'!$C$41-'Sell-Compute'!$C$44-'Sell-Compute'!$C$45-IF(AND(MOD(P$51,'Sell-Compute'!$C$21)=0,P$51&lt;Rates!$D$71),'Sell-Compute'!$C$34*(P58/4),0),0)</f>
        <v/>
      </c>
      <c r="Q61" s="68">
        <f>IF(Q$51&lt;=Rates!$D$71,('Sell-Compute'!$C$40*(1+'Sell-Compute'!$C$50)^MOD(Q$51-1,'Sell-Compute'!$C$21)-'Sell-Compute'!$C$42-'Sell-Compute'!$C$43)*(Q58/4)-'Sell-Compute'!$C$41-'Sell-Compute'!$C$44-'Sell-Compute'!$C$45-IF(AND(MOD(Q$51,'Sell-Compute'!$C$21)=0,Q$51&lt;Rates!$D$71),'Sell-Compute'!$C$34*(Q58/4),0),0)</f>
        <v/>
      </c>
      <c r="R61" s="68">
        <f>IF(R$51&lt;=Rates!$D$71,('Sell-Compute'!$C$40*(1+'Sell-Compute'!$C$50)^MOD(R$51-1,'Sell-Compute'!$C$21)-'Sell-Compute'!$C$42-'Sell-Compute'!$C$43)*(R58/4)-'Sell-Compute'!$C$41-'Sell-Compute'!$C$44-'Sell-Compute'!$C$45-IF(AND(MOD(R$51,'Sell-Compute'!$C$21)=0,R$51&lt;Rates!$D$71),'Sell-Compute'!$C$34*(R58/4),0),0)</f>
        <v/>
      </c>
      <c r="S61" s="68">
        <f>IF(S$51&lt;=Rates!$D$71,('Sell-Compute'!$C$40*(1+'Sell-Compute'!$C$50)^MOD(S$51-1,'Sell-Compute'!$C$21)-'Sell-Compute'!$C$42-'Sell-Compute'!$C$43)*(S58/4)-'Sell-Compute'!$C$41-'Sell-Compute'!$C$44-'Sell-Compute'!$C$45-IF(AND(MOD(S$51,'Sell-Compute'!$C$21)=0,S$51&lt;Rates!$D$71),'Sell-Compute'!$C$34*(S58/4),0),0)</f>
        <v/>
      </c>
      <c r="T61" s="68">
        <f>IF(T$51&lt;=Rates!$D$71,('Sell-Compute'!$C$40*(1+'Sell-Compute'!$C$50)^MOD(T$51-1,'Sell-Compute'!$C$21)-'Sell-Compute'!$C$42-'Sell-Compute'!$C$43)*(T58/4)-'Sell-Compute'!$C$41-'Sell-Compute'!$C$44-'Sell-Compute'!$C$45-IF(AND(MOD(T$51,'Sell-Compute'!$C$21)=0,T$51&lt;Rates!$D$71),'Sell-Compute'!$C$34*(T58/4),0),0)</f>
        <v/>
      </c>
      <c r="U61" s="68">
        <f>IF(U$51&lt;=Rates!$D$71,('Sell-Compute'!$C$40*(1+'Sell-Compute'!$C$50)^MOD(U$51-1,'Sell-Compute'!$C$21)-'Sell-Compute'!$C$42-'Sell-Compute'!$C$43)*(U58/4)-'Sell-Compute'!$C$41-'Sell-Compute'!$C$44-'Sell-Compute'!$C$45-IF(AND(MOD(U$51,'Sell-Compute'!$C$21)=0,U$51&lt;Rates!$D$71),'Sell-Compute'!$C$34*(U58/4),0),0)</f>
        <v/>
      </c>
      <c r="V61" s="68">
        <f>IF(V$51&lt;=Rates!$D$71,('Sell-Compute'!$C$40*(1+'Sell-Compute'!$C$50)^MOD(V$51-1,'Sell-Compute'!$C$21)-'Sell-Compute'!$C$42-'Sell-Compute'!$C$43)*(V58/4)-'Sell-Compute'!$C$41-'Sell-Compute'!$C$44-'Sell-Compute'!$C$45-IF(AND(MOD(V$51,'Sell-Compute'!$C$21)=0,V$51&lt;Rates!$D$71),'Sell-Compute'!$C$34*(V58/4),0),0)</f>
        <v/>
      </c>
      <c r="W61" s="68">
        <f>IF(W$51&lt;=Rates!$D$71,('Sell-Compute'!$C$40*(1+'Sell-Compute'!$C$50)^MOD(W$51-1,'Sell-Compute'!$C$21)-'Sell-Compute'!$C$42-'Sell-Compute'!$C$43)*(W58/4)-'Sell-Compute'!$C$41-'Sell-Compute'!$C$44-'Sell-Compute'!$C$45-IF(AND(MOD(W$51,'Sell-Compute'!$C$21)=0,W$51&lt;Rates!$D$71),'Sell-Compute'!$C$34*(W58/4),0),0)</f>
        <v/>
      </c>
      <c r="X61" s="68">
        <f>IF(X$51&lt;=Rates!$D$71,('Sell-Compute'!$C$40*(1+'Sell-Compute'!$C$50)^MOD(X$51-1,'Sell-Compute'!$C$21)-'Sell-Compute'!$C$42-'Sell-Compute'!$C$43)*(X58/4)-'Sell-Compute'!$C$41-'Sell-Compute'!$C$44-'Sell-Compute'!$C$45-IF(AND(MOD(X$51,'Sell-Compute'!$C$21)=0,X$51&lt;Rates!$D$71),'Sell-Compute'!$C$34*(X58/4),0),0)</f>
        <v/>
      </c>
      <c r="Y61" s="68">
        <f>IF(Y$51&lt;=Rates!$D$71,('Sell-Compute'!$C$40*(1+'Sell-Compute'!$C$50)^MOD(Y$51-1,'Sell-Compute'!$C$21)-'Sell-Compute'!$C$42-'Sell-Compute'!$C$43)*(Y58/4)-'Sell-Compute'!$C$41-'Sell-Compute'!$C$44-'Sell-Compute'!$C$45-IF(AND(MOD(Y$51,'Sell-Compute'!$C$21)=0,Y$51&lt;Rates!$D$71),'Sell-Compute'!$C$34*(Y58/4),0),0)</f>
        <v/>
      </c>
      <c r="Z61" s="68">
        <f>IF(Z$51&lt;=Rates!$D$71,('Sell-Compute'!$C$40*(1+'Sell-Compute'!$C$50)^MOD(Z$51-1,'Sell-Compute'!$C$21)-'Sell-Compute'!$C$42-'Sell-Compute'!$C$43)*(Z58/4)-'Sell-Compute'!$C$41-'Sell-Compute'!$C$44-'Sell-Compute'!$C$45-IF(AND(MOD(Z$51,'Sell-Compute'!$C$21)=0,Z$51&lt;Rates!$D$71),'Sell-Compute'!$C$34*(Z58/4),0),0)</f>
        <v/>
      </c>
      <c r="AA61" s="68">
        <f>IF(AA$51&lt;=Rates!$D$71,('Sell-Compute'!$C$40*(1+'Sell-Compute'!$C$50)^MOD(AA$51-1,'Sell-Compute'!$C$21)-'Sell-Compute'!$C$42-'Sell-Compute'!$C$43)*(AA58/4)-'Sell-Compute'!$C$41-'Sell-Compute'!$C$44-'Sell-Compute'!$C$45-IF(AND(MOD(AA$51,'Sell-Compute'!$C$21)=0,AA$51&lt;Rates!$D$71),'Sell-Compute'!$C$34*(AA58/4),0),0)</f>
        <v/>
      </c>
      <c r="AB61" s="68">
        <f>IF(AB$51&lt;=Rates!$D$71,('Sell-Compute'!$C$40*(1+'Sell-Compute'!$C$50)^MOD(AB$51-1,'Sell-Compute'!$C$21)-'Sell-Compute'!$C$42-'Sell-Compute'!$C$43)*(AB58/4)-'Sell-Compute'!$C$41-'Sell-Compute'!$C$44-'Sell-Compute'!$C$45-IF(AND(MOD(AB$51,'Sell-Compute'!$C$21)=0,AB$51&lt;Rates!$D$71),'Sell-Compute'!$C$34*(AB58/4),0),0)</f>
        <v/>
      </c>
    </row>
    <row r="62">
      <c r="A62" s="68" t="inlineStr">
        <is>
          <t>Do nothing (dark modules stop buying GPUs) | dec</t>
        </is>
      </c>
      <c r="C62" s="68">
        <f>-'Sell-Compute'!$B$36</f>
        <v/>
      </c>
      <c r="D62" s="68">
        <f>IF(D$51&lt;=Rates!$D$71,('Sell-Compute'!$B$40*(1+'Sell-Compute'!$B$50)^MOD(D$51-1,'Sell-Compute'!$C$21)-'Sell-Compute'!$B$42-'Sell-Compute'!$B$43)*(D58/4)-'Sell-Compute'!$B$41-'Sell-Compute'!$B$44-'Sell-Compute'!$B$45-IF(AND(MOD(D$51,'Sell-Compute'!$C$21)=0,D$51&lt;Rates!$D$71),'Sell-Compute'!$B$34*(D58/4),0),0)</f>
        <v/>
      </c>
      <c r="E62" s="68">
        <f>IF(E$51&lt;=Rates!$D$71,('Sell-Compute'!$B$40*(1+'Sell-Compute'!$B$50)^MOD(E$51-1,'Sell-Compute'!$C$21)-'Sell-Compute'!$B$42-'Sell-Compute'!$B$43)*(E58/4)-'Sell-Compute'!$B$41-'Sell-Compute'!$B$44-'Sell-Compute'!$B$45-IF(AND(MOD(E$51,'Sell-Compute'!$C$21)=0,E$51&lt;Rates!$D$71),'Sell-Compute'!$B$34*(E58/4),0),0)</f>
        <v/>
      </c>
      <c r="F62" s="68">
        <f>IF(F$51&lt;=Rates!$D$71,('Sell-Compute'!$B$40*(1+'Sell-Compute'!$B$50)^MOD(F$51-1,'Sell-Compute'!$C$21)-'Sell-Compute'!$B$42-'Sell-Compute'!$B$43)*(F58/4)-'Sell-Compute'!$B$41-'Sell-Compute'!$B$44-'Sell-Compute'!$B$45-IF(AND(MOD(F$51,'Sell-Compute'!$C$21)=0,F$51&lt;Rates!$D$71),'Sell-Compute'!$B$34*(F58/4),0),0)</f>
        <v/>
      </c>
      <c r="G62" s="68">
        <f>IF(G$51&lt;=Rates!$D$71,('Sell-Compute'!$B$40*(1+'Sell-Compute'!$B$50)^MOD(G$51-1,'Sell-Compute'!$C$21)-'Sell-Compute'!$B$42-'Sell-Compute'!$B$43)*(G58/4)-'Sell-Compute'!$B$41-'Sell-Compute'!$B$44-'Sell-Compute'!$B$45-IF(AND(MOD(G$51,'Sell-Compute'!$C$21)=0,G$51&lt;Rates!$D$71),'Sell-Compute'!$B$34*(G58/4),0),0)</f>
        <v/>
      </c>
      <c r="H62" s="68">
        <f>IF(H$51&lt;=Rates!$D$71,('Sell-Compute'!$B$40*(1+'Sell-Compute'!$B$50)^MOD(H$51-1,'Sell-Compute'!$C$21)-'Sell-Compute'!$B$42-'Sell-Compute'!$B$43)*(H58/4)-'Sell-Compute'!$B$41-'Sell-Compute'!$B$44-'Sell-Compute'!$B$45-IF(AND(MOD(H$51,'Sell-Compute'!$C$21)=0,H$51&lt;Rates!$D$71),'Sell-Compute'!$B$34*(H58/4),0),0)</f>
        <v/>
      </c>
      <c r="I62" s="68">
        <f>IF(I$51&lt;=Rates!$D$71,('Sell-Compute'!$B$40*(1+'Sell-Compute'!$B$50)^MOD(I$51-1,'Sell-Compute'!$C$21)-'Sell-Compute'!$B$42-'Sell-Compute'!$B$43)*(I58/4)-'Sell-Compute'!$B$41-'Sell-Compute'!$B$44-'Sell-Compute'!$B$45-IF(AND(MOD(I$51,'Sell-Compute'!$C$21)=0,I$51&lt;Rates!$D$71),'Sell-Compute'!$B$34*(I58/4),0),0)</f>
        <v/>
      </c>
      <c r="J62" s="68">
        <f>IF(J$51&lt;=Rates!$D$71,('Sell-Compute'!$B$40*(1+'Sell-Compute'!$B$50)^MOD(J$51-1,'Sell-Compute'!$C$21)-'Sell-Compute'!$B$42-'Sell-Compute'!$B$43)*(J58/4)-'Sell-Compute'!$B$41-'Sell-Compute'!$B$44-'Sell-Compute'!$B$45-IF(AND(MOD(J$51,'Sell-Compute'!$C$21)=0,J$51&lt;Rates!$D$71),'Sell-Compute'!$B$34*(J58/4),0),0)</f>
        <v/>
      </c>
      <c r="K62" s="68">
        <f>IF(K$51&lt;=Rates!$D$71,('Sell-Compute'!$B$40*(1+'Sell-Compute'!$B$50)^MOD(K$51-1,'Sell-Compute'!$C$21)-'Sell-Compute'!$B$42-'Sell-Compute'!$B$43)*(K58/4)-'Sell-Compute'!$B$41-'Sell-Compute'!$B$44-'Sell-Compute'!$B$45-IF(AND(MOD(K$51,'Sell-Compute'!$C$21)=0,K$51&lt;Rates!$D$71),'Sell-Compute'!$B$34*(K58/4),0),0)</f>
        <v/>
      </c>
      <c r="L62" s="68">
        <f>IF(L$51&lt;=Rates!$D$71,('Sell-Compute'!$B$40*(1+'Sell-Compute'!$B$50)^MOD(L$51-1,'Sell-Compute'!$C$21)-'Sell-Compute'!$B$42-'Sell-Compute'!$B$43)*(L58/4)-'Sell-Compute'!$B$41-'Sell-Compute'!$B$44-'Sell-Compute'!$B$45-IF(AND(MOD(L$51,'Sell-Compute'!$C$21)=0,L$51&lt;Rates!$D$71),'Sell-Compute'!$B$34*(L58/4),0),0)</f>
        <v/>
      </c>
      <c r="M62" s="68">
        <f>IF(M$51&lt;=Rates!$D$71,('Sell-Compute'!$B$40*(1+'Sell-Compute'!$B$50)^MOD(M$51-1,'Sell-Compute'!$C$21)-'Sell-Compute'!$B$42-'Sell-Compute'!$B$43)*(M58/4)-'Sell-Compute'!$B$41-'Sell-Compute'!$B$44-'Sell-Compute'!$B$45-IF(AND(MOD(M$51,'Sell-Compute'!$C$21)=0,M$51&lt;Rates!$D$71),'Sell-Compute'!$B$34*(M58/4),0),0)</f>
        <v/>
      </c>
      <c r="N62" s="68">
        <f>IF(N$51&lt;=Rates!$D$71,('Sell-Compute'!$B$40*(1+'Sell-Compute'!$B$50)^MOD(N$51-1,'Sell-Compute'!$C$21)-'Sell-Compute'!$B$42-'Sell-Compute'!$B$43)*(N58/4)-'Sell-Compute'!$B$41-'Sell-Compute'!$B$44-'Sell-Compute'!$B$45-IF(AND(MOD(N$51,'Sell-Compute'!$C$21)=0,N$51&lt;Rates!$D$71),'Sell-Compute'!$B$34*(N58/4),0),0)</f>
        <v/>
      </c>
      <c r="O62" s="68">
        <f>IF(O$51&lt;=Rates!$D$71,('Sell-Compute'!$B$40*(1+'Sell-Compute'!$B$50)^MOD(O$51-1,'Sell-Compute'!$C$21)-'Sell-Compute'!$B$42-'Sell-Compute'!$B$43)*(O58/4)-'Sell-Compute'!$B$41-'Sell-Compute'!$B$44-'Sell-Compute'!$B$45-IF(AND(MOD(O$51,'Sell-Compute'!$C$21)=0,O$51&lt;Rates!$D$71),'Sell-Compute'!$B$34*(O58/4),0),0)</f>
        <v/>
      </c>
      <c r="P62" s="68">
        <f>IF(P$51&lt;=Rates!$D$71,('Sell-Compute'!$B$40*(1+'Sell-Compute'!$B$50)^MOD(P$51-1,'Sell-Compute'!$C$21)-'Sell-Compute'!$B$42-'Sell-Compute'!$B$43)*(P58/4)-'Sell-Compute'!$B$41-'Sell-Compute'!$B$44-'Sell-Compute'!$B$45-IF(AND(MOD(P$51,'Sell-Compute'!$C$21)=0,P$51&lt;Rates!$D$71),'Sell-Compute'!$B$34*(P58/4),0),0)</f>
        <v/>
      </c>
      <c r="Q62" s="68">
        <f>IF(Q$51&lt;=Rates!$D$71,('Sell-Compute'!$B$40*(1+'Sell-Compute'!$B$50)^MOD(Q$51-1,'Sell-Compute'!$C$21)-'Sell-Compute'!$B$42-'Sell-Compute'!$B$43)*(Q58/4)-'Sell-Compute'!$B$41-'Sell-Compute'!$B$44-'Sell-Compute'!$B$45-IF(AND(MOD(Q$51,'Sell-Compute'!$C$21)=0,Q$51&lt;Rates!$D$71),'Sell-Compute'!$B$34*(Q58/4),0),0)</f>
        <v/>
      </c>
      <c r="R62" s="68">
        <f>IF(R$51&lt;=Rates!$D$71,('Sell-Compute'!$B$40*(1+'Sell-Compute'!$B$50)^MOD(R$51-1,'Sell-Compute'!$C$21)-'Sell-Compute'!$B$42-'Sell-Compute'!$B$43)*(R58/4)-'Sell-Compute'!$B$41-'Sell-Compute'!$B$44-'Sell-Compute'!$B$45-IF(AND(MOD(R$51,'Sell-Compute'!$C$21)=0,R$51&lt;Rates!$D$71),'Sell-Compute'!$B$34*(R58/4),0),0)</f>
        <v/>
      </c>
      <c r="S62" s="68">
        <f>IF(S$51&lt;=Rates!$D$71,('Sell-Compute'!$B$40*(1+'Sell-Compute'!$B$50)^MOD(S$51-1,'Sell-Compute'!$C$21)-'Sell-Compute'!$B$42-'Sell-Compute'!$B$43)*(S58/4)-'Sell-Compute'!$B$41-'Sell-Compute'!$B$44-'Sell-Compute'!$B$45-IF(AND(MOD(S$51,'Sell-Compute'!$C$21)=0,S$51&lt;Rates!$D$71),'Sell-Compute'!$B$34*(S58/4),0),0)</f>
        <v/>
      </c>
      <c r="T62" s="68">
        <f>IF(T$51&lt;=Rates!$D$71,('Sell-Compute'!$B$40*(1+'Sell-Compute'!$B$50)^MOD(T$51-1,'Sell-Compute'!$C$21)-'Sell-Compute'!$B$42-'Sell-Compute'!$B$43)*(T58/4)-'Sell-Compute'!$B$41-'Sell-Compute'!$B$44-'Sell-Compute'!$B$45-IF(AND(MOD(T$51,'Sell-Compute'!$C$21)=0,T$51&lt;Rates!$D$71),'Sell-Compute'!$B$34*(T58/4),0),0)</f>
        <v/>
      </c>
      <c r="U62" s="68">
        <f>IF(U$51&lt;=Rates!$D$71,('Sell-Compute'!$B$40*(1+'Sell-Compute'!$B$50)^MOD(U$51-1,'Sell-Compute'!$C$21)-'Sell-Compute'!$B$42-'Sell-Compute'!$B$43)*(U58/4)-'Sell-Compute'!$B$41-'Sell-Compute'!$B$44-'Sell-Compute'!$B$45-IF(AND(MOD(U$51,'Sell-Compute'!$C$21)=0,U$51&lt;Rates!$D$71),'Sell-Compute'!$B$34*(U58/4),0),0)</f>
        <v/>
      </c>
      <c r="V62" s="68">
        <f>IF(V$51&lt;=Rates!$D$71,('Sell-Compute'!$B$40*(1+'Sell-Compute'!$B$50)^MOD(V$51-1,'Sell-Compute'!$C$21)-'Sell-Compute'!$B$42-'Sell-Compute'!$B$43)*(V58/4)-'Sell-Compute'!$B$41-'Sell-Compute'!$B$44-'Sell-Compute'!$B$45-IF(AND(MOD(V$51,'Sell-Compute'!$C$21)=0,V$51&lt;Rates!$D$71),'Sell-Compute'!$B$34*(V58/4),0),0)</f>
        <v/>
      </c>
      <c r="W62" s="68">
        <f>IF(W$51&lt;=Rates!$D$71,('Sell-Compute'!$B$40*(1+'Sell-Compute'!$B$50)^MOD(W$51-1,'Sell-Compute'!$C$21)-'Sell-Compute'!$B$42-'Sell-Compute'!$B$43)*(W58/4)-'Sell-Compute'!$B$41-'Sell-Compute'!$B$44-'Sell-Compute'!$B$45-IF(AND(MOD(W$51,'Sell-Compute'!$C$21)=0,W$51&lt;Rates!$D$71),'Sell-Compute'!$B$34*(W58/4),0),0)</f>
        <v/>
      </c>
      <c r="X62" s="68">
        <f>IF(X$51&lt;=Rates!$D$71,('Sell-Compute'!$B$40*(1+'Sell-Compute'!$B$50)^MOD(X$51-1,'Sell-Compute'!$C$21)-'Sell-Compute'!$B$42-'Sell-Compute'!$B$43)*(X58/4)-'Sell-Compute'!$B$41-'Sell-Compute'!$B$44-'Sell-Compute'!$B$45-IF(AND(MOD(X$51,'Sell-Compute'!$C$21)=0,X$51&lt;Rates!$D$71),'Sell-Compute'!$B$34*(X58/4),0),0)</f>
        <v/>
      </c>
      <c r="Y62" s="68">
        <f>IF(Y$51&lt;=Rates!$D$71,('Sell-Compute'!$B$40*(1+'Sell-Compute'!$B$50)^MOD(Y$51-1,'Sell-Compute'!$C$21)-'Sell-Compute'!$B$42-'Sell-Compute'!$B$43)*(Y58/4)-'Sell-Compute'!$B$41-'Sell-Compute'!$B$44-'Sell-Compute'!$B$45-IF(AND(MOD(Y$51,'Sell-Compute'!$C$21)=0,Y$51&lt;Rates!$D$71),'Sell-Compute'!$B$34*(Y58/4),0),0)</f>
        <v/>
      </c>
      <c r="Z62" s="68">
        <f>IF(Z$51&lt;=Rates!$D$71,('Sell-Compute'!$B$40*(1+'Sell-Compute'!$B$50)^MOD(Z$51-1,'Sell-Compute'!$C$21)-'Sell-Compute'!$B$42-'Sell-Compute'!$B$43)*(Z58/4)-'Sell-Compute'!$B$41-'Sell-Compute'!$B$44-'Sell-Compute'!$B$45-IF(AND(MOD(Z$51,'Sell-Compute'!$C$21)=0,Z$51&lt;Rates!$D$71),'Sell-Compute'!$B$34*(Z58/4),0),0)</f>
        <v/>
      </c>
      <c r="AA62" s="68">
        <f>IF(AA$51&lt;=Rates!$D$71,('Sell-Compute'!$B$40*(1+'Sell-Compute'!$B$50)^MOD(AA$51-1,'Sell-Compute'!$C$21)-'Sell-Compute'!$B$42-'Sell-Compute'!$B$43)*(AA58/4)-'Sell-Compute'!$B$41-'Sell-Compute'!$B$44-'Sell-Compute'!$B$45-IF(AND(MOD(AA$51,'Sell-Compute'!$C$21)=0,AA$51&lt;Rates!$D$71),'Sell-Compute'!$B$34*(AA58/4),0),0)</f>
        <v/>
      </c>
      <c r="AB62" s="68">
        <f>IF(AB$51&lt;=Rates!$D$71,('Sell-Compute'!$B$40*(1+'Sell-Compute'!$B$50)^MOD(AB$51-1,'Sell-Compute'!$C$21)-'Sell-Compute'!$B$42-'Sell-Compute'!$B$43)*(AB58/4)-'Sell-Compute'!$B$41-'Sell-Compute'!$B$44-'Sell-Compute'!$B$45-IF(AND(MOD(AB$51,'Sell-Compute'!$C$21)=0,AB$51&lt;Rates!$D$71),'Sell-Compute'!$B$34*(AB58/4),0),0)</f>
        <v/>
      </c>
    </row>
    <row r="63">
      <c r="A63" s="68" t="inlineStr">
        <is>
          <t>Do nothing (dark modules stop buying GPUs) | colo</t>
        </is>
      </c>
      <c r="C63" s="68">
        <f>-'Sell-Compute'!$I$36</f>
        <v/>
      </c>
      <c r="D63" s="68">
        <f>IF(D$51&lt;=Rates!$D$71,'Sell-Compute'!$I$46-'Sell-Compute'!$I$40*(1-(D58/4)),0)</f>
        <v/>
      </c>
      <c r="E63" s="68">
        <f>IF(E$51&lt;=Rates!$D$71,'Sell-Compute'!$I$46-'Sell-Compute'!$I$40*(1-(E58/4)),0)</f>
        <v/>
      </c>
      <c r="F63" s="68">
        <f>IF(F$51&lt;=Rates!$D$71,'Sell-Compute'!$I$46-'Sell-Compute'!$I$40*(1-(F58/4)),0)</f>
        <v/>
      </c>
      <c r="G63" s="68">
        <f>IF(G$51&lt;=Rates!$D$71,'Sell-Compute'!$I$46-'Sell-Compute'!$I$40*(1-(G58/4)),0)</f>
        <v/>
      </c>
      <c r="H63" s="68">
        <f>IF(H$51&lt;=Rates!$D$71,'Sell-Compute'!$I$46-'Sell-Compute'!$I$40*(1-(H58/4)),0)</f>
        <v/>
      </c>
      <c r="I63" s="68">
        <f>IF(I$51&lt;=Rates!$D$71,'Sell-Compute'!$I$46-'Sell-Compute'!$I$40*(1-(I58/4)),0)</f>
        <v/>
      </c>
      <c r="J63" s="68">
        <f>IF(J$51&lt;=Rates!$D$71,'Sell-Compute'!$I$46-'Sell-Compute'!$I$40*(1-(J58/4)),0)</f>
        <v/>
      </c>
      <c r="K63" s="68">
        <f>IF(K$51&lt;=Rates!$D$71,'Sell-Compute'!$I$46-'Sell-Compute'!$I$40*(1-(K58/4)),0)</f>
        <v/>
      </c>
      <c r="L63" s="68">
        <f>IF(L$51&lt;=Rates!$D$71,'Sell-Compute'!$I$46-'Sell-Compute'!$I$40*(1-(L58/4)),0)</f>
        <v/>
      </c>
      <c r="M63" s="68">
        <f>IF(M$51&lt;=Rates!$D$71,'Sell-Compute'!$I$46-'Sell-Compute'!$I$40*(1-(M58/4)),0)</f>
        <v/>
      </c>
      <c r="N63" s="68">
        <f>IF(N$51&lt;=Rates!$D$71,'Sell-Compute'!$I$46-'Sell-Compute'!$I$40*(1-(N58/4)),0)</f>
        <v/>
      </c>
      <c r="O63" s="68">
        <f>IF(O$51&lt;=Rates!$D$71,'Sell-Compute'!$I$46-'Sell-Compute'!$I$40*(1-(O58/4)),0)</f>
        <v/>
      </c>
      <c r="P63" s="68">
        <f>IF(P$51&lt;=Rates!$D$71,'Sell-Compute'!$I$46-'Sell-Compute'!$I$40*(1-(P58/4)),0)</f>
        <v/>
      </c>
      <c r="Q63" s="68">
        <f>IF(Q$51&lt;=Rates!$D$71,'Sell-Compute'!$I$46-'Sell-Compute'!$I$40*(1-(Q58/4)),0)</f>
        <v/>
      </c>
      <c r="R63" s="68">
        <f>IF(R$51&lt;=Rates!$D$71,'Sell-Compute'!$I$46-'Sell-Compute'!$I$40*(1-(R58/4)),0)</f>
        <v/>
      </c>
      <c r="S63" s="68">
        <f>IF(S$51&lt;=Rates!$D$71,'Sell-Compute'!$I$46-'Sell-Compute'!$I$40*(1-(S58/4)),0)</f>
        <v/>
      </c>
      <c r="T63" s="68">
        <f>IF(T$51&lt;=Rates!$D$71,'Sell-Compute'!$I$46-'Sell-Compute'!$I$40*(1-(T58/4)),0)</f>
        <v/>
      </c>
      <c r="U63" s="68">
        <f>IF(U$51&lt;=Rates!$D$71,'Sell-Compute'!$I$46-'Sell-Compute'!$I$40*(1-(U58/4)),0)</f>
        <v/>
      </c>
      <c r="V63" s="68">
        <f>IF(V$51&lt;=Rates!$D$71,'Sell-Compute'!$I$46-'Sell-Compute'!$I$40*(1-(V58/4)),0)</f>
        <v/>
      </c>
      <c r="W63" s="68">
        <f>IF(W$51&lt;=Rates!$D$71,'Sell-Compute'!$I$46-'Sell-Compute'!$I$40*(1-(W58/4)),0)</f>
        <v/>
      </c>
      <c r="X63" s="68">
        <f>IF(X$51&lt;=Rates!$D$71,'Sell-Compute'!$I$46-'Sell-Compute'!$I$40*(1-(X58/4)),0)</f>
        <v/>
      </c>
      <c r="Y63" s="68">
        <f>IF(Y$51&lt;=Rates!$D$71,'Sell-Compute'!$I$46-'Sell-Compute'!$I$40*(1-(Y58/4)),0)</f>
        <v/>
      </c>
      <c r="Z63" s="68">
        <f>IF(Z$51&lt;=Rates!$D$71,'Sell-Compute'!$I$46-'Sell-Compute'!$I$40*(1-(Z58/4)),0)</f>
        <v/>
      </c>
      <c r="AA63" s="68">
        <f>IF(AA$51&lt;=Rates!$D$71,'Sell-Compute'!$I$46-'Sell-Compute'!$I$40*(1-(AA58/4)),0)</f>
        <v/>
      </c>
      <c r="AB63" s="68">
        <f>IF(AB$51&lt;=Rates!$D$71,'Sell-Compute'!$I$46-'Sell-Compute'!$I$40*(1-(AB58/4)),0)</f>
        <v/>
      </c>
    </row>
    <row r="64">
      <c r="A64" s="68" t="inlineStr">
        <is>
          <t>(a) Extra doublets at start | flat</t>
        </is>
      </c>
      <c r="C64" s="68">
        <f>-'Sell-Compute'!$C$36-IF(ISNUMBER($E$52),$E$52*(2*($C$11+$C$12)*(1+$C$14)),0)</f>
        <v/>
      </c>
      <c r="D64" s="68">
        <f>IF(D$51&lt;=Rates!$D$71,('Sell-Compute'!$C$40*(1+'Sell-Compute'!$C$50)^MOD(D$51-1,'Sell-Compute'!$C$21)-'Sell-Compute'!$C$42-'Sell-Compute'!$C$43)*(D59/4)-'Sell-Compute'!$C$41-'Sell-Compute'!$C$44-'Sell-Compute'!$C$45-IF(AND(MOD(D$51,'Sell-Compute'!$C$21)=0,D$51&lt;Rates!$D$71),'Sell-Compute'!$C$34*(D59/4),0),0)</f>
        <v/>
      </c>
      <c r="E64" s="68">
        <f>IF(E$51&lt;=Rates!$D$71,('Sell-Compute'!$C$40*(1+'Sell-Compute'!$C$50)^MOD(E$51-1,'Sell-Compute'!$C$21)-'Sell-Compute'!$C$42-'Sell-Compute'!$C$43)*(E59/4)-'Sell-Compute'!$C$41-'Sell-Compute'!$C$44-'Sell-Compute'!$C$45-IF(AND(MOD(E$51,'Sell-Compute'!$C$21)=0,E$51&lt;Rates!$D$71),'Sell-Compute'!$C$34*(E59/4),0),0)</f>
        <v/>
      </c>
      <c r="F64" s="68">
        <f>IF(F$51&lt;=Rates!$D$71,('Sell-Compute'!$C$40*(1+'Sell-Compute'!$C$50)^MOD(F$51-1,'Sell-Compute'!$C$21)-'Sell-Compute'!$C$42-'Sell-Compute'!$C$43)*(F59/4)-'Sell-Compute'!$C$41-'Sell-Compute'!$C$44-'Sell-Compute'!$C$45-IF(AND(MOD(F$51,'Sell-Compute'!$C$21)=0,F$51&lt;Rates!$D$71),'Sell-Compute'!$C$34*(F59/4),0),0)</f>
        <v/>
      </c>
      <c r="G64" s="68">
        <f>IF(G$51&lt;=Rates!$D$71,('Sell-Compute'!$C$40*(1+'Sell-Compute'!$C$50)^MOD(G$51-1,'Sell-Compute'!$C$21)-'Sell-Compute'!$C$42-'Sell-Compute'!$C$43)*(G59/4)-'Sell-Compute'!$C$41-'Sell-Compute'!$C$44-'Sell-Compute'!$C$45-IF(AND(MOD(G$51,'Sell-Compute'!$C$21)=0,G$51&lt;Rates!$D$71),'Sell-Compute'!$C$34*(G59/4),0),0)</f>
        <v/>
      </c>
      <c r="H64" s="68">
        <f>IF(H$51&lt;=Rates!$D$71,('Sell-Compute'!$C$40*(1+'Sell-Compute'!$C$50)^MOD(H$51-1,'Sell-Compute'!$C$21)-'Sell-Compute'!$C$42-'Sell-Compute'!$C$43)*(H59/4)-'Sell-Compute'!$C$41-'Sell-Compute'!$C$44-'Sell-Compute'!$C$45-IF(AND(MOD(H$51,'Sell-Compute'!$C$21)=0,H$51&lt;Rates!$D$71),'Sell-Compute'!$C$34*(H59/4),0),0)</f>
        <v/>
      </c>
      <c r="I64" s="68">
        <f>IF(I$51&lt;=Rates!$D$71,('Sell-Compute'!$C$40*(1+'Sell-Compute'!$C$50)^MOD(I$51-1,'Sell-Compute'!$C$21)-'Sell-Compute'!$C$42-'Sell-Compute'!$C$43)*(I59/4)-'Sell-Compute'!$C$41-'Sell-Compute'!$C$44-'Sell-Compute'!$C$45-IF(AND(MOD(I$51,'Sell-Compute'!$C$21)=0,I$51&lt;Rates!$D$71),'Sell-Compute'!$C$34*(I59/4),0),0)</f>
        <v/>
      </c>
      <c r="J64" s="68">
        <f>IF(J$51&lt;=Rates!$D$71,('Sell-Compute'!$C$40*(1+'Sell-Compute'!$C$50)^MOD(J$51-1,'Sell-Compute'!$C$21)-'Sell-Compute'!$C$42-'Sell-Compute'!$C$43)*(J59/4)-'Sell-Compute'!$C$41-'Sell-Compute'!$C$44-'Sell-Compute'!$C$45-IF(AND(MOD(J$51,'Sell-Compute'!$C$21)=0,J$51&lt;Rates!$D$71),'Sell-Compute'!$C$34*(J59/4),0),0)</f>
        <v/>
      </c>
      <c r="K64" s="68">
        <f>IF(K$51&lt;=Rates!$D$71,('Sell-Compute'!$C$40*(1+'Sell-Compute'!$C$50)^MOD(K$51-1,'Sell-Compute'!$C$21)-'Sell-Compute'!$C$42-'Sell-Compute'!$C$43)*(K59/4)-'Sell-Compute'!$C$41-'Sell-Compute'!$C$44-'Sell-Compute'!$C$45-IF(AND(MOD(K$51,'Sell-Compute'!$C$21)=0,K$51&lt;Rates!$D$71),'Sell-Compute'!$C$34*(K59/4),0),0)</f>
        <v/>
      </c>
      <c r="L64" s="68">
        <f>IF(L$51&lt;=Rates!$D$71,('Sell-Compute'!$C$40*(1+'Sell-Compute'!$C$50)^MOD(L$51-1,'Sell-Compute'!$C$21)-'Sell-Compute'!$C$42-'Sell-Compute'!$C$43)*(L59/4)-'Sell-Compute'!$C$41-'Sell-Compute'!$C$44-'Sell-Compute'!$C$45-IF(AND(MOD(L$51,'Sell-Compute'!$C$21)=0,L$51&lt;Rates!$D$71),'Sell-Compute'!$C$34*(L59/4),0),0)</f>
        <v/>
      </c>
      <c r="M64" s="68">
        <f>IF(M$51&lt;=Rates!$D$71,('Sell-Compute'!$C$40*(1+'Sell-Compute'!$C$50)^MOD(M$51-1,'Sell-Compute'!$C$21)-'Sell-Compute'!$C$42-'Sell-Compute'!$C$43)*(M59/4)-'Sell-Compute'!$C$41-'Sell-Compute'!$C$44-'Sell-Compute'!$C$45-IF(AND(MOD(M$51,'Sell-Compute'!$C$21)=0,M$51&lt;Rates!$D$71),'Sell-Compute'!$C$34*(M59/4),0),0)</f>
        <v/>
      </c>
      <c r="N64" s="68">
        <f>IF(N$51&lt;=Rates!$D$71,('Sell-Compute'!$C$40*(1+'Sell-Compute'!$C$50)^MOD(N$51-1,'Sell-Compute'!$C$21)-'Sell-Compute'!$C$42-'Sell-Compute'!$C$43)*(N59/4)-'Sell-Compute'!$C$41-'Sell-Compute'!$C$44-'Sell-Compute'!$C$45-IF(AND(MOD(N$51,'Sell-Compute'!$C$21)=0,N$51&lt;Rates!$D$71),'Sell-Compute'!$C$34*(N59/4),0),0)</f>
        <v/>
      </c>
      <c r="O64" s="68">
        <f>IF(O$51&lt;=Rates!$D$71,('Sell-Compute'!$C$40*(1+'Sell-Compute'!$C$50)^MOD(O$51-1,'Sell-Compute'!$C$21)-'Sell-Compute'!$C$42-'Sell-Compute'!$C$43)*(O59/4)-'Sell-Compute'!$C$41-'Sell-Compute'!$C$44-'Sell-Compute'!$C$45-IF(AND(MOD(O$51,'Sell-Compute'!$C$21)=0,O$51&lt;Rates!$D$71),'Sell-Compute'!$C$34*(O59/4),0),0)</f>
        <v/>
      </c>
      <c r="P64" s="68">
        <f>IF(P$51&lt;=Rates!$D$71,('Sell-Compute'!$C$40*(1+'Sell-Compute'!$C$50)^MOD(P$51-1,'Sell-Compute'!$C$21)-'Sell-Compute'!$C$42-'Sell-Compute'!$C$43)*(P59/4)-'Sell-Compute'!$C$41-'Sell-Compute'!$C$44-'Sell-Compute'!$C$45-IF(AND(MOD(P$51,'Sell-Compute'!$C$21)=0,P$51&lt;Rates!$D$71),'Sell-Compute'!$C$34*(P59/4),0),0)</f>
        <v/>
      </c>
      <c r="Q64" s="68">
        <f>IF(Q$51&lt;=Rates!$D$71,('Sell-Compute'!$C$40*(1+'Sell-Compute'!$C$50)^MOD(Q$51-1,'Sell-Compute'!$C$21)-'Sell-Compute'!$C$42-'Sell-Compute'!$C$43)*(Q59/4)-'Sell-Compute'!$C$41-'Sell-Compute'!$C$44-'Sell-Compute'!$C$45-IF(AND(MOD(Q$51,'Sell-Compute'!$C$21)=0,Q$51&lt;Rates!$D$71),'Sell-Compute'!$C$34*(Q59/4),0),0)</f>
        <v/>
      </c>
      <c r="R64" s="68">
        <f>IF(R$51&lt;=Rates!$D$71,('Sell-Compute'!$C$40*(1+'Sell-Compute'!$C$50)^MOD(R$51-1,'Sell-Compute'!$C$21)-'Sell-Compute'!$C$42-'Sell-Compute'!$C$43)*(R59/4)-'Sell-Compute'!$C$41-'Sell-Compute'!$C$44-'Sell-Compute'!$C$45-IF(AND(MOD(R$51,'Sell-Compute'!$C$21)=0,R$51&lt;Rates!$D$71),'Sell-Compute'!$C$34*(R59/4),0),0)</f>
        <v/>
      </c>
      <c r="S64" s="68">
        <f>IF(S$51&lt;=Rates!$D$71,('Sell-Compute'!$C$40*(1+'Sell-Compute'!$C$50)^MOD(S$51-1,'Sell-Compute'!$C$21)-'Sell-Compute'!$C$42-'Sell-Compute'!$C$43)*(S59/4)-'Sell-Compute'!$C$41-'Sell-Compute'!$C$44-'Sell-Compute'!$C$45-IF(AND(MOD(S$51,'Sell-Compute'!$C$21)=0,S$51&lt;Rates!$D$71),'Sell-Compute'!$C$34*(S59/4),0),0)</f>
        <v/>
      </c>
      <c r="T64" s="68">
        <f>IF(T$51&lt;=Rates!$D$71,('Sell-Compute'!$C$40*(1+'Sell-Compute'!$C$50)^MOD(T$51-1,'Sell-Compute'!$C$21)-'Sell-Compute'!$C$42-'Sell-Compute'!$C$43)*(T59/4)-'Sell-Compute'!$C$41-'Sell-Compute'!$C$44-'Sell-Compute'!$C$45-IF(AND(MOD(T$51,'Sell-Compute'!$C$21)=0,T$51&lt;Rates!$D$71),'Sell-Compute'!$C$34*(T59/4),0),0)</f>
        <v/>
      </c>
      <c r="U64" s="68">
        <f>IF(U$51&lt;=Rates!$D$71,('Sell-Compute'!$C$40*(1+'Sell-Compute'!$C$50)^MOD(U$51-1,'Sell-Compute'!$C$21)-'Sell-Compute'!$C$42-'Sell-Compute'!$C$43)*(U59/4)-'Sell-Compute'!$C$41-'Sell-Compute'!$C$44-'Sell-Compute'!$C$45-IF(AND(MOD(U$51,'Sell-Compute'!$C$21)=0,U$51&lt;Rates!$D$71),'Sell-Compute'!$C$34*(U59/4),0),0)</f>
        <v/>
      </c>
      <c r="V64" s="68">
        <f>IF(V$51&lt;=Rates!$D$71,('Sell-Compute'!$C$40*(1+'Sell-Compute'!$C$50)^MOD(V$51-1,'Sell-Compute'!$C$21)-'Sell-Compute'!$C$42-'Sell-Compute'!$C$43)*(V59/4)-'Sell-Compute'!$C$41-'Sell-Compute'!$C$44-'Sell-Compute'!$C$45-IF(AND(MOD(V$51,'Sell-Compute'!$C$21)=0,V$51&lt;Rates!$D$71),'Sell-Compute'!$C$34*(V59/4),0),0)</f>
        <v/>
      </c>
      <c r="W64" s="68">
        <f>IF(W$51&lt;=Rates!$D$71,('Sell-Compute'!$C$40*(1+'Sell-Compute'!$C$50)^MOD(W$51-1,'Sell-Compute'!$C$21)-'Sell-Compute'!$C$42-'Sell-Compute'!$C$43)*(W59/4)-'Sell-Compute'!$C$41-'Sell-Compute'!$C$44-'Sell-Compute'!$C$45-IF(AND(MOD(W$51,'Sell-Compute'!$C$21)=0,W$51&lt;Rates!$D$71),'Sell-Compute'!$C$34*(W59/4),0),0)</f>
        <v/>
      </c>
      <c r="X64" s="68">
        <f>IF(X$51&lt;=Rates!$D$71,('Sell-Compute'!$C$40*(1+'Sell-Compute'!$C$50)^MOD(X$51-1,'Sell-Compute'!$C$21)-'Sell-Compute'!$C$42-'Sell-Compute'!$C$43)*(X59/4)-'Sell-Compute'!$C$41-'Sell-Compute'!$C$44-'Sell-Compute'!$C$45-IF(AND(MOD(X$51,'Sell-Compute'!$C$21)=0,X$51&lt;Rates!$D$71),'Sell-Compute'!$C$34*(X59/4),0),0)</f>
        <v/>
      </c>
      <c r="Y64" s="68">
        <f>IF(Y$51&lt;=Rates!$D$71,('Sell-Compute'!$C$40*(1+'Sell-Compute'!$C$50)^MOD(Y$51-1,'Sell-Compute'!$C$21)-'Sell-Compute'!$C$42-'Sell-Compute'!$C$43)*(Y59/4)-'Sell-Compute'!$C$41-'Sell-Compute'!$C$44-'Sell-Compute'!$C$45-IF(AND(MOD(Y$51,'Sell-Compute'!$C$21)=0,Y$51&lt;Rates!$D$71),'Sell-Compute'!$C$34*(Y59/4),0),0)</f>
        <v/>
      </c>
      <c r="Z64" s="68">
        <f>IF(Z$51&lt;=Rates!$D$71,('Sell-Compute'!$C$40*(1+'Sell-Compute'!$C$50)^MOD(Z$51-1,'Sell-Compute'!$C$21)-'Sell-Compute'!$C$42-'Sell-Compute'!$C$43)*(Z59/4)-'Sell-Compute'!$C$41-'Sell-Compute'!$C$44-'Sell-Compute'!$C$45-IF(AND(MOD(Z$51,'Sell-Compute'!$C$21)=0,Z$51&lt;Rates!$D$71),'Sell-Compute'!$C$34*(Z59/4),0),0)</f>
        <v/>
      </c>
      <c r="AA64" s="68">
        <f>IF(AA$51&lt;=Rates!$D$71,('Sell-Compute'!$C$40*(1+'Sell-Compute'!$C$50)^MOD(AA$51-1,'Sell-Compute'!$C$21)-'Sell-Compute'!$C$42-'Sell-Compute'!$C$43)*(AA59/4)-'Sell-Compute'!$C$41-'Sell-Compute'!$C$44-'Sell-Compute'!$C$45-IF(AND(MOD(AA$51,'Sell-Compute'!$C$21)=0,AA$51&lt;Rates!$D$71),'Sell-Compute'!$C$34*(AA59/4),0),0)</f>
        <v/>
      </c>
      <c r="AB64" s="68">
        <f>IF(AB$51&lt;=Rates!$D$71,('Sell-Compute'!$C$40*(1+'Sell-Compute'!$C$50)^MOD(AB$51-1,'Sell-Compute'!$C$21)-'Sell-Compute'!$C$42-'Sell-Compute'!$C$43)*(AB59/4)-'Sell-Compute'!$C$41-'Sell-Compute'!$C$44-'Sell-Compute'!$C$45-IF(AND(MOD(AB$51,'Sell-Compute'!$C$21)=0,AB$51&lt;Rates!$D$71),'Sell-Compute'!$C$34*(AB59/4),0),0)</f>
        <v/>
      </c>
    </row>
    <row r="65">
      <c r="A65" s="68" t="inlineStr">
        <is>
          <t>(a) Extra doublets at start | dec</t>
        </is>
      </c>
      <c r="C65" s="68">
        <f>-'Sell-Compute'!$B$36-IF(ISNUMBER($E$52),$E$52*(2*($C$11+$C$12)*(1+$C$14)),0)</f>
        <v/>
      </c>
      <c r="D65" s="68">
        <f>IF(D$51&lt;=Rates!$D$71,('Sell-Compute'!$B$40*(1+'Sell-Compute'!$B$50)^MOD(D$51-1,'Sell-Compute'!$C$21)-'Sell-Compute'!$B$42-'Sell-Compute'!$B$43)*(D59/4)-'Sell-Compute'!$B$41-'Sell-Compute'!$B$44-'Sell-Compute'!$B$45-IF(AND(MOD(D$51,'Sell-Compute'!$C$21)=0,D$51&lt;Rates!$D$71),'Sell-Compute'!$B$34*(D59/4),0),0)</f>
        <v/>
      </c>
      <c r="E65" s="68">
        <f>IF(E$51&lt;=Rates!$D$71,('Sell-Compute'!$B$40*(1+'Sell-Compute'!$B$50)^MOD(E$51-1,'Sell-Compute'!$C$21)-'Sell-Compute'!$B$42-'Sell-Compute'!$B$43)*(E59/4)-'Sell-Compute'!$B$41-'Sell-Compute'!$B$44-'Sell-Compute'!$B$45-IF(AND(MOD(E$51,'Sell-Compute'!$C$21)=0,E$51&lt;Rates!$D$71),'Sell-Compute'!$B$34*(E59/4),0),0)</f>
        <v/>
      </c>
      <c r="F65" s="68">
        <f>IF(F$51&lt;=Rates!$D$71,('Sell-Compute'!$B$40*(1+'Sell-Compute'!$B$50)^MOD(F$51-1,'Sell-Compute'!$C$21)-'Sell-Compute'!$B$42-'Sell-Compute'!$B$43)*(F59/4)-'Sell-Compute'!$B$41-'Sell-Compute'!$B$44-'Sell-Compute'!$B$45-IF(AND(MOD(F$51,'Sell-Compute'!$C$21)=0,F$51&lt;Rates!$D$71),'Sell-Compute'!$B$34*(F59/4),0),0)</f>
        <v/>
      </c>
      <c r="G65" s="68">
        <f>IF(G$51&lt;=Rates!$D$71,('Sell-Compute'!$B$40*(1+'Sell-Compute'!$B$50)^MOD(G$51-1,'Sell-Compute'!$C$21)-'Sell-Compute'!$B$42-'Sell-Compute'!$B$43)*(G59/4)-'Sell-Compute'!$B$41-'Sell-Compute'!$B$44-'Sell-Compute'!$B$45-IF(AND(MOD(G$51,'Sell-Compute'!$C$21)=0,G$51&lt;Rates!$D$71),'Sell-Compute'!$B$34*(G59/4),0),0)</f>
        <v/>
      </c>
      <c r="H65" s="68">
        <f>IF(H$51&lt;=Rates!$D$71,('Sell-Compute'!$B$40*(1+'Sell-Compute'!$B$50)^MOD(H$51-1,'Sell-Compute'!$C$21)-'Sell-Compute'!$B$42-'Sell-Compute'!$B$43)*(H59/4)-'Sell-Compute'!$B$41-'Sell-Compute'!$B$44-'Sell-Compute'!$B$45-IF(AND(MOD(H$51,'Sell-Compute'!$C$21)=0,H$51&lt;Rates!$D$71),'Sell-Compute'!$B$34*(H59/4),0),0)</f>
        <v/>
      </c>
      <c r="I65" s="68">
        <f>IF(I$51&lt;=Rates!$D$71,('Sell-Compute'!$B$40*(1+'Sell-Compute'!$B$50)^MOD(I$51-1,'Sell-Compute'!$C$21)-'Sell-Compute'!$B$42-'Sell-Compute'!$B$43)*(I59/4)-'Sell-Compute'!$B$41-'Sell-Compute'!$B$44-'Sell-Compute'!$B$45-IF(AND(MOD(I$51,'Sell-Compute'!$C$21)=0,I$51&lt;Rates!$D$71),'Sell-Compute'!$B$34*(I59/4),0),0)</f>
        <v/>
      </c>
      <c r="J65" s="68">
        <f>IF(J$51&lt;=Rates!$D$71,('Sell-Compute'!$B$40*(1+'Sell-Compute'!$B$50)^MOD(J$51-1,'Sell-Compute'!$C$21)-'Sell-Compute'!$B$42-'Sell-Compute'!$B$43)*(J59/4)-'Sell-Compute'!$B$41-'Sell-Compute'!$B$44-'Sell-Compute'!$B$45-IF(AND(MOD(J$51,'Sell-Compute'!$C$21)=0,J$51&lt;Rates!$D$71),'Sell-Compute'!$B$34*(J59/4),0),0)</f>
        <v/>
      </c>
      <c r="K65" s="68">
        <f>IF(K$51&lt;=Rates!$D$71,('Sell-Compute'!$B$40*(1+'Sell-Compute'!$B$50)^MOD(K$51-1,'Sell-Compute'!$C$21)-'Sell-Compute'!$B$42-'Sell-Compute'!$B$43)*(K59/4)-'Sell-Compute'!$B$41-'Sell-Compute'!$B$44-'Sell-Compute'!$B$45-IF(AND(MOD(K$51,'Sell-Compute'!$C$21)=0,K$51&lt;Rates!$D$71),'Sell-Compute'!$B$34*(K59/4),0),0)</f>
        <v/>
      </c>
      <c r="L65" s="68">
        <f>IF(L$51&lt;=Rates!$D$71,('Sell-Compute'!$B$40*(1+'Sell-Compute'!$B$50)^MOD(L$51-1,'Sell-Compute'!$C$21)-'Sell-Compute'!$B$42-'Sell-Compute'!$B$43)*(L59/4)-'Sell-Compute'!$B$41-'Sell-Compute'!$B$44-'Sell-Compute'!$B$45-IF(AND(MOD(L$51,'Sell-Compute'!$C$21)=0,L$51&lt;Rates!$D$71),'Sell-Compute'!$B$34*(L59/4),0),0)</f>
        <v/>
      </c>
      <c r="M65" s="68">
        <f>IF(M$51&lt;=Rates!$D$71,('Sell-Compute'!$B$40*(1+'Sell-Compute'!$B$50)^MOD(M$51-1,'Sell-Compute'!$C$21)-'Sell-Compute'!$B$42-'Sell-Compute'!$B$43)*(M59/4)-'Sell-Compute'!$B$41-'Sell-Compute'!$B$44-'Sell-Compute'!$B$45-IF(AND(MOD(M$51,'Sell-Compute'!$C$21)=0,M$51&lt;Rates!$D$71),'Sell-Compute'!$B$34*(M59/4),0),0)</f>
        <v/>
      </c>
      <c r="N65" s="68">
        <f>IF(N$51&lt;=Rates!$D$71,('Sell-Compute'!$B$40*(1+'Sell-Compute'!$B$50)^MOD(N$51-1,'Sell-Compute'!$C$21)-'Sell-Compute'!$B$42-'Sell-Compute'!$B$43)*(N59/4)-'Sell-Compute'!$B$41-'Sell-Compute'!$B$44-'Sell-Compute'!$B$45-IF(AND(MOD(N$51,'Sell-Compute'!$C$21)=0,N$51&lt;Rates!$D$71),'Sell-Compute'!$B$34*(N59/4),0),0)</f>
        <v/>
      </c>
      <c r="O65" s="68">
        <f>IF(O$51&lt;=Rates!$D$71,('Sell-Compute'!$B$40*(1+'Sell-Compute'!$B$50)^MOD(O$51-1,'Sell-Compute'!$C$21)-'Sell-Compute'!$B$42-'Sell-Compute'!$B$43)*(O59/4)-'Sell-Compute'!$B$41-'Sell-Compute'!$B$44-'Sell-Compute'!$B$45-IF(AND(MOD(O$51,'Sell-Compute'!$C$21)=0,O$51&lt;Rates!$D$71),'Sell-Compute'!$B$34*(O59/4),0),0)</f>
        <v/>
      </c>
      <c r="P65" s="68">
        <f>IF(P$51&lt;=Rates!$D$71,('Sell-Compute'!$B$40*(1+'Sell-Compute'!$B$50)^MOD(P$51-1,'Sell-Compute'!$C$21)-'Sell-Compute'!$B$42-'Sell-Compute'!$B$43)*(P59/4)-'Sell-Compute'!$B$41-'Sell-Compute'!$B$44-'Sell-Compute'!$B$45-IF(AND(MOD(P$51,'Sell-Compute'!$C$21)=0,P$51&lt;Rates!$D$71),'Sell-Compute'!$B$34*(P59/4),0),0)</f>
        <v/>
      </c>
      <c r="Q65" s="68">
        <f>IF(Q$51&lt;=Rates!$D$71,('Sell-Compute'!$B$40*(1+'Sell-Compute'!$B$50)^MOD(Q$51-1,'Sell-Compute'!$C$21)-'Sell-Compute'!$B$42-'Sell-Compute'!$B$43)*(Q59/4)-'Sell-Compute'!$B$41-'Sell-Compute'!$B$44-'Sell-Compute'!$B$45-IF(AND(MOD(Q$51,'Sell-Compute'!$C$21)=0,Q$51&lt;Rates!$D$71),'Sell-Compute'!$B$34*(Q59/4),0),0)</f>
        <v/>
      </c>
      <c r="R65" s="68">
        <f>IF(R$51&lt;=Rates!$D$71,('Sell-Compute'!$B$40*(1+'Sell-Compute'!$B$50)^MOD(R$51-1,'Sell-Compute'!$C$21)-'Sell-Compute'!$B$42-'Sell-Compute'!$B$43)*(R59/4)-'Sell-Compute'!$B$41-'Sell-Compute'!$B$44-'Sell-Compute'!$B$45-IF(AND(MOD(R$51,'Sell-Compute'!$C$21)=0,R$51&lt;Rates!$D$71),'Sell-Compute'!$B$34*(R59/4),0),0)</f>
        <v/>
      </c>
      <c r="S65" s="68">
        <f>IF(S$51&lt;=Rates!$D$71,('Sell-Compute'!$B$40*(1+'Sell-Compute'!$B$50)^MOD(S$51-1,'Sell-Compute'!$C$21)-'Sell-Compute'!$B$42-'Sell-Compute'!$B$43)*(S59/4)-'Sell-Compute'!$B$41-'Sell-Compute'!$B$44-'Sell-Compute'!$B$45-IF(AND(MOD(S$51,'Sell-Compute'!$C$21)=0,S$51&lt;Rates!$D$71),'Sell-Compute'!$B$34*(S59/4),0),0)</f>
        <v/>
      </c>
      <c r="T65" s="68">
        <f>IF(T$51&lt;=Rates!$D$71,('Sell-Compute'!$B$40*(1+'Sell-Compute'!$B$50)^MOD(T$51-1,'Sell-Compute'!$C$21)-'Sell-Compute'!$B$42-'Sell-Compute'!$B$43)*(T59/4)-'Sell-Compute'!$B$41-'Sell-Compute'!$B$44-'Sell-Compute'!$B$45-IF(AND(MOD(T$51,'Sell-Compute'!$C$21)=0,T$51&lt;Rates!$D$71),'Sell-Compute'!$B$34*(T59/4),0),0)</f>
        <v/>
      </c>
      <c r="U65" s="68">
        <f>IF(U$51&lt;=Rates!$D$71,('Sell-Compute'!$B$40*(1+'Sell-Compute'!$B$50)^MOD(U$51-1,'Sell-Compute'!$C$21)-'Sell-Compute'!$B$42-'Sell-Compute'!$B$43)*(U59/4)-'Sell-Compute'!$B$41-'Sell-Compute'!$B$44-'Sell-Compute'!$B$45-IF(AND(MOD(U$51,'Sell-Compute'!$C$21)=0,U$51&lt;Rates!$D$71),'Sell-Compute'!$B$34*(U59/4),0),0)</f>
        <v/>
      </c>
      <c r="V65" s="68">
        <f>IF(V$51&lt;=Rates!$D$71,('Sell-Compute'!$B$40*(1+'Sell-Compute'!$B$50)^MOD(V$51-1,'Sell-Compute'!$C$21)-'Sell-Compute'!$B$42-'Sell-Compute'!$B$43)*(V59/4)-'Sell-Compute'!$B$41-'Sell-Compute'!$B$44-'Sell-Compute'!$B$45-IF(AND(MOD(V$51,'Sell-Compute'!$C$21)=0,V$51&lt;Rates!$D$71),'Sell-Compute'!$B$34*(V59/4),0),0)</f>
        <v/>
      </c>
      <c r="W65" s="68">
        <f>IF(W$51&lt;=Rates!$D$71,('Sell-Compute'!$B$40*(1+'Sell-Compute'!$B$50)^MOD(W$51-1,'Sell-Compute'!$C$21)-'Sell-Compute'!$B$42-'Sell-Compute'!$B$43)*(W59/4)-'Sell-Compute'!$B$41-'Sell-Compute'!$B$44-'Sell-Compute'!$B$45-IF(AND(MOD(W$51,'Sell-Compute'!$C$21)=0,W$51&lt;Rates!$D$71),'Sell-Compute'!$B$34*(W59/4),0),0)</f>
        <v/>
      </c>
      <c r="X65" s="68">
        <f>IF(X$51&lt;=Rates!$D$71,('Sell-Compute'!$B$40*(1+'Sell-Compute'!$B$50)^MOD(X$51-1,'Sell-Compute'!$C$21)-'Sell-Compute'!$B$42-'Sell-Compute'!$B$43)*(X59/4)-'Sell-Compute'!$B$41-'Sell-Compute'!$B$44-'Sell-Compute'!$B$45-IF(AND(MOD(X$51,'Sell-Compute'!$C$21)=0,X$51&lt;Rates!$D$71),'Sell-Compute'!$B$34*(X59/4),0),0)</f>
        <v/>
      </c>
      <c r="Y65" s="68">
        <f>IF(Y$51&lt;=Rates!$D$71,('Sell-Compute'!$B$40*(1+'Sell-Compute'!$B$50)^MOD(Y$51-1,'Sell-Compute'!$C$21)-'Sell-Compute'!$B$42-'Sell-Compute'!$B$43)*(Y59/4)-'Sell-Compute'!$B$41-'Sell-Compute'!$B$44-'Sell-Compute'!$B$45-IF(AND(MOD(Y$51,'Sell-Compute'!$C$21)=0,Y$51&lt;Rates!$D$71),'Sell-Compute'!$B$34*(Y59/4),0),0)</f>
        <v/>
      </c>
      <c r="Z65" s="68">
        <f>IF(Z$51&lt;=Rates!$D$71,('Sell-Compute'!$B$40*(1+'Sell-Compute'!$B$50)^MOD(Z$51-1,'Sell-Compute'!$C$21)-'Sell-Compute'!$B$42-'Sell-Compute'!$B$43)*(Z59/4)-'Sell-Compute'!$B$41-'Sell-Compute'!$B$44-'Sell-Compute'!$B$45-IF(AND(MOD(Z$51,'Sell-Compute'!$C$21)=0,Z$51&lt;Rates!$D$71),'Sell-Compute'!$B$34*(Z59/4),0),0)</f>
        <v/>
      </c>
      <c r="AA65" s="68">
        <f>IF(AA$51&lt;=Rates!$D$71,('Sell-Compute'!$B$40*(1+'Sell-Compute'!$B$50)^MOD(AA$51-1,'Sell-Compute'!$C$21)-'Sell-Compute'!$B$42-'Sell-Compute'!$B$43)*(AA59/4)-'Sell-Compute'!$B$41-'Sell-Compute'!$B$44-'Sell-Compute'!$B$45-IF(AND(MOD(AA$51,'Sell-Compute'!$C$21)=0,AA$51&lt;Rates!$D$71),'Sell-Compute'!$B$34*(AA59/4),0),0)</f>
        <v/>
      </c>
      <c r="AB65" s="68">
        <f>IF(AB$51&lt;=Rates!$D$71,('Sell-Compute'!$B$40*(1+'Sell-Compute'!$B$50)^MOD(AB$51-1,'Sell-Compute'!$C$21)-'Sell-Compute'!$B$42-'Sell-Compute'!$B$43)*(AB59/4)-'Sell-Compute'!$B$41-'Sell-Compute'!$B$44-'Sell-Compute'!$B$45-IF(AND(MOD(AB$51,'Sell-Compute'!$C$21)=0,AB$51&lt;Rates!$D$71),'Sell-Compute'!$B$34*(AB59/4),0),0)</f>
        <v/>
      </c>
    </row>
    <row r="66">
      <c r="A66" s="68" t="inlineStr">
        <is>
          <t>(a) Extra doublets at start | colo</t>
        </is>
      </c>
      <c r="C66" s="68">
        <f>-'Sell-Compute'!$I$36-IF(ISNUMBER($E$52),$E$52*(2*($C$11+$C$12)*(1+$C$14)),0)</f>
        <v/>
      </c>
      <c r="D66" s="68">
        <f>IF(D$51&lt;=Rates!$D$71,'Sell-Compute'!$I$46-'Sell-Compute'!$I$40*(1-(D59/4)),0)</f>
        <v/>
      </c>
      <c r="E66" s="68">
        <f>IF(E$51&lt;=Rates!$D$71,'Sell-Compute'!$I$46-'Sell-Compute'!$I$40*(1-(E59/4)),0)</f>
        <v/>
      </c>
      <c r="F66" s="68">
        <f>IF(F$51&lt;=Rates!$D$71,'Sell-Compute'!$I$46-'Sell-Compute'!$I$40*(1-(F59/4)),0)</f>
        <v/>
      </c>
      <c r="G66" s="68">
        <f>IF(G$51&lt;=Rates!$D$71,'Sell-Compute'!$I$46-'Sell-Compute'!$I$40*(1-(G59/4)),0)</f>
        <v/>
      </c>
      <c r="H66" s="68">
        <f>IF(H$51&lt;=Rates!$D$71,'Sell-Compute'!$I$46-'Sell-Compute'!$I$40*(1-(H59/4)),0)</f>
        <v/>
      </c>
      <c r="I66" s="68">
        <f>IF(I$51&lt;=Rates!$D$71,'Sell-Compute'!$I$46-'Sell-Compute'!$I$40*(1-(I59/4)),0)</f>
        <v/>
      </c>
      <c r="J66" s="68">
        <f>IF(J$51&lt;=Rates!$D$71,'Sell-Compute'!$I$46-'Sell-Compute'!$I$40*(1-(J59/4)),0)</f>
        <v/>
      </c>
      <c r="K66" s="68">
        <f>IF(K$51&lt;=Rates!$D$71,'Sell-Compute'!$I$46-'Sell-Compute'!$I$40*(1-(K59/4)),0)</f>
        <v/>
      </c>
      <c r="L66" s="68">
        <f>IF(L$51&lt;=Rates!$D$71,'Sell-Compute'!$I$46-'Sell-Compute'!$I$40*(1-(L59/4)),0)</f>
        <v/>
      </c>
      <c r="M66" s="68">
        <f>IF(M$51&lt;=Rates!$D$71,'Sell-Compute'!$I$46-'Sell-Compute'!$I$40*(1-(M59/4)),0)</f>
        <v/>
      </c>
      <c r="N66" s="68">
        <f>IF(N$51&lt;=Rates!$D$71,'Sell-Compute'!$I$46-'Sell-Compute'!$I$40*(1-(N59/4)),0)</f>
        <v/>
      </c>
      <c r="O66" s="68">
        <f>IF(O$51&lt;=Rates!$D$71,'Sell-Compute'!$I$46-'Sell-Compute'!$I$40*(1-(O59/4)),0)</f>
        <v/>
      </c>
      <c r="P66" s="68">
        <f>IF(P$51&lt;=Rates!$D$71,'Sell-Compute'!$I$46-'Sell-Compute'!$I$40*(1-(P59/4)),0)</f>
        <v/>
      </c>
      <c r="Q66" s="68">
        <f>IF(Q$51&lt;=Rates!$D$71,'Sell-Compute'!$I$46-'Sell-Compute'!$I$40*(1-(Q59/4)),0)</f>
        <v/>
      </c>
      <c r="R66" s="68">
        <f>IF(R$51&lt;=Rates!$D$71,'Sell-Compute'!$I$46-'Sell-Compute'!$I$40*(1-(R59/4)),0)</f>
        <v/>
      </c>
      <c r="S66" s="68">
        <f>IF(S$51&lt;=Rates!$D$71,'Sell-Compute'!$I$46-'Sell-Compute'!$I$40*(1-(S59/4)),0)</f>
        <v/>
      </c>
      <c r="T66" s="68">
        <f>IF(T$51&lt;=Rates!$D$71,'Sell-Compute'!$I$46-'Sell-Compute'!$I$40*(1-(T59/4)),0)</f>
        <v/>
      </c>
      <c r="U66" s="68">
        <f>IF(U$51&lt;=Rates!$D$71,'Sell-Compute'!$I$46-'Sell-Compute'!$I$40*(1-(U59/4)),0)</f>
        <v/>
      </c>
      <c r="V66" s="68">
        <f>IF(V$51&lt;=Rates!$D$71,'Sell-Compute'!$I$46-'Sell-Compute'!$I$40*(1-(V59/4)),0)</f>
        <v/>
      </c>
      <c r="W66" s="68">
        <f>IF(W$51&lt;=Rates!$D$71,'Sell-Compute'!$I$46-'Sell-Compute'!$I$40*(1-(W59/4)),0)</f>
        <v/>
      </c>
      <c r="X66" s="68">
        <f>IF(X$51&lt;=Rates!$D$71,'Sell-Compute'!$I$46-'Sell-Compute'!$I$40*(1-(X59/4)),0)</f>
        <v/>
      </c>
      <c r="Y66" s="68">
        <f>IF(Y$51&lt;=Rates!$D$71,'Sell-Compute'!$I$46-'Sell-Compute'!$I$40*(1-(Y59/4)),0)</f>
        <v/>
      </c>
      <c r="Z66" s="68">
        <f>IF(Z$51&lt;=Rates!$D$71,'Sell-Compute'!$I$46-'Sell-Compute'!$I$40*(1-(Z59/4)),0)</f>
        <v/>
      </c>
      <c r="AA66" s="68">
        <f>IF(AA$51&lt;=Rates!$D$71,'Sell-Compute'!$I$46-'Sell-Compute'!$I$40*(1-(AA59/4)),0)</f>
        <v/>
      </c>
      <c r="AB66" s="68">
        <f>IF(AB$51&lt;=Rates!$D$71,'Sell-Compute'!$I$46-'Sell-Compute'!$I$40*(1-(AB59/4)),0)</f>
        <v/>
      </c>
    </row>
    <row r="67">
      <c r="A67" s="68" t="inlineStr">
        <is>
          <t>(b) Make-up doublets on a monitored trigger | flat</t>
        </is>
      </c>
      <c r="C67" s="68">
        <f>-'Sell-Compute'!$C$36-C57</f>
        <v/>
      </c>
      <c r="D67" s="68">
        <f>IF(D$51&lt;=Rates!$D$71,('Sell-Compute'!$C$40*(1+'Sell-Compute'!$C$50)^MOD(D$51-1,'Sell-Compute'!$C$21)-'Sell-Compute'!$C$42-'Sell-Compute'!$C$43)*(D60/4)-'Sell-Compute'!$C$41-'Sell-Compute'!$C$44-'Sell-Compute'!$C$45-IF(AND(MOD(D$51,'Sell-Compute'!$C$21)=0,D$51&lt;Rates!$D$71),'Sell-Compute'!$C$34*(D60/4),0),0)-D57</f>
        <v/>
      </c>
      <c r="E67" s="68">
        <f>IF(E$51&lt;=Rates!$D$71,('Sell-Compute'!$C$40*(1+'Sell-Compute'!$C$50)^MOD(E$51-1,'Sell-Compute'!$C$21)-'Sell-Compute'!$C$42-'Sell-Compute'!$C$43)*(E60/4)-'Sell-Compute'!$C$41-'Sell-Compute'!$C$44-'Sell-Compute'!$C$45-IF(AND(MOD(E$51,'Sell-Compute'!$C$21)=0,E$51&lt;Rates!$D$71),'Sell-Compute'!$C$34*(E60/4),0),0)-E57</f>
        <v/>
      </c>
      <c r="F67" s="68">
        <f>IF(F$51&lt;=Rates!$D$71,('Sell-Compute'!$C$40*(1+'Sell-Compute'!$C$50)^MOD(F$51-1,'Sell-Compute'!$C$21)-'Sell-Compute'!$C$42-'Sell-Compute'!$C$43)*(F60/4)-'Sell-Compute'!$C$41-'Sell-Compute'!$C$44-'Sell-Compute'!$C$45-IF(AND(MOD(F$51,'Sell-Compute'!$C$21)=0,F$51&lt;Rates!$D$71),'Sell-Compute'!$C$34*(F60/4),0),0)-F57</f>
        <v/>
      </c>
      <c r="G67" s="68">
        <f>IF(G$51&lt;=Rates!$D$71,('Sell-Compute'!$C$40*(1+'Sell-Compute'!$C$50)^MOD(G$51-1,'Sell-Compute'!$C$21)-'Sell-Compute'!$C$42-'Sell-Compute'!$C$43)*(G60/4)-'Sell-Compute'!$C$41-'Sell-Compute'!$C$44-'Sell-Compute'!$C$45-IF(AND(MOD(G$51,'Sell-Compute'!$C$21)=0,G$51&lt;Rates!$D$71),'Sell-Compute'!$C$34*(G60/4),0),0)-G57</f>
        <v/>
      </c>
      <c r="H67" s="68">
        <f>IF(H$51&lt;=Rates!$D$71,('Sell-Compute'!$C$40*(1+'Sell-Compute'!$C$50)^MOD(H$51-1,'Sell-Compute'!$C$21)-'Sell-Compute'!$C$42-'Sell-Compute'!$C$43)*(H60/4)-'Sell-Compute'!$C$41-'Sell-Compute'!$C$44-'Sell-Compute'!$C$45-IF(AND(MOD(H$51,'Sell-Compute'!$C$21)=0,H$51&lt;Rates!$D$71),'Sell-Compute'!$C$34*(H60/4),0),0)-H57</f>
        <v/>
      </c>
      <c r="I67" s="68">
        <f>IF(I$51&lt;=Rates!$D$71,('Sell-Compute'!$C$40*(1+'Sell-Compute'!$C$50)^MOD(I$51-1,'Sell-Compute'!$C$21)-'Sell-Compute'!$C$42-'Sell-Compute'!$C$43)*(I60/4)-'Sell-Compute'!$C$41-'Sell-Compute'!$C$44-'Sell-Compute'!$C$45-IF(AND(MOD(I$51,'Sell-Compute'!$C$21)=0,I$51&lt;Rates!$D$71),'Sell-Compute'!$C$34*(I60/4),0),0)-I57</f>
        <v/>
      </c>
      <c r="J67" s="68">
        <f>IF(J$51&lt;=Rates!$D$71,('Sell-Compute'!$C$40*(1+'Sell-Compute'!$C$50)^MOD(J$51-1,'Sell-Compute'!$C$21)-'Sell-Compute'!$C$42-'Sell-Compute'!$C$43)*(J60/4)-'Sell-Compute'!$C$41-'Sell-Compute'!$C$44-'Sell-Compute'!$C$45-IF(AND(MOD(J$51,'Sell-Compute'!$C$21)=0,J$51&lt;Rates!$D$71),'Sell-Compute'!$C$34*(J60/4),0),0)-J57</f>
        <v/>
      </c>
      <c r="K67" s="68">
        <f>IF(K$51&lt;=Rates!$D$71,('Sell-Compute'!$C$40*(1+'Sell-Compute'!$C$50)^MOD(K$51-1,'Sell-Compute'!$C$21)-'Sell-Compute'!$C$42-'Sell-Compute'!$C$43)*(K60/4)-'Sell-Compute'!$C$41-'Sell-Compute'!$C$44-'Sell-Compute'!$C$45-IF(AND(MOD(K$51,'Sell-Compute'!$C$21)=0,K$51&lt;Rates!$D$71),'Sell-Compute'!$C$34*(K60/4),0),0)-K57</f>
        <v/>
      </c>
      <c r="L67" s="68">
        <f>IF(L$51&lt;=Rates!$D$71,('Sell-Compute'!$C$40*(1+'Sell-Compute'!$C$50)^MOD(L$51-1,'Sell-Compute'!$C$21)-'Sell-Compute'!$C$42-'Sell-Compute'!$C$43)*(L60/4)-'Sell-Compute'!$C$41-'Sell-Compute'!$C$44-'Sell-Compute'!$C$45-IF(AND(MOD(L$51,'Sell-Compute'!$C$21)=0,L$51&lt;Rates!$D$71),'Sell-Compute'!$C$34*(L60/4),0),0)-L57</f>
        <v/>
      </c>
      <c r="M67" s="68">
        <f>IF(M$51&lt;=Rates!$D$71,('Sell-Compute'!$C$40*(1+'Sell-Compute'!$C$50)^MOD(M$51-1,'Sell-Compute'!$C$21)-'Sell-Compute'!$C$42-'Sell-Compute'!$C$43)*(M60/4)-'Sell-Compute'!$C$41-'Sell-Compute'!$C$44-'Sell-Compute'!$C$45-IF(AND(MOD(M$51,'Sell-Compute'!$C$21)=0,M$51&lt;Rates!$D$71),'Sell-Compute'!$C$34*(M60/4),0),0)-M57</f>
        <v/>
      </c>
      <c r="N67" s="68">
        <f>IF(N$51&lt;=Rates!$D$71,('Sell-Compute'!$C$40*(1+'Sell-Compute'!$C$50)^MOD(N$51-1,'Sell-Compute'!$C$21)-'Sell-Compute'!$C$42-'Sell-Compute'!$C$43)*(N60/4)-'Sell-Compute'!$C$41-'Sell-Compute'!$C$44-'Sell-Compute'!$C$45-IF(AND(MOD(N$51,'Sell-Compute'!$C$21)=0,N$51&lt;Rates!$D$71),'Sell-Compute'!$C$34*(N60/4),0),0)-N57</f>
        <v/>
      </c>
      <c r="O67" s="68">
        <f>IF(O$51&lt;=Rates!$D$71,('Sell-Compute'!$C$40*(1+'Sell-Compute'!$C$50)^MOD(O$51-1,'Sell-Compute'!$C$21)-'Sell-Compute'!$C$42-'Sell-Compute'!$C$43)*(O60/4)-'Sell-Compute'!$C$41-'Sell-Compute'!$C$44-'Sell-Compute'!$C$45-IF(AND(MOD(O$51,'Sell-Compute'!$C$21)=0,O$51&lt;Rates!$D$71),'Sell-Compute'!$C$34*(O60/4),0),0)-O57</f>
        <v/>
      </c>
      <c r="P67" s="68">
        <f>IF(P$51&lt;=Rates!$D$71,('Sell-Compute'!$C$40*(1+'Sell-Compute'!$C$50)^MOD(P$51-1,'Sell-Compute'!$C$21)-'Sell-Compute'!$C$42-'Sell-Compute'!$C$43)*(P60/4)-'Sell-Compute'!$C$41-'Sell-Compute'!$C$44-'Sell-Compute'!$C$45-IF(AND(MOD(P$51,'Sell-Compute'!$C$21)=0,P$51&lt;Rates!$D$71),'Sell-Compute'!$C$34*(P60/4),0),0)-P57</f>
        <v/>
      </c>
      <c r="Q67" s="68">
        <f>IF(Q$51&lt;=Rates!$D$71,('Sell-Compute'!$C$40*(1+'Sell-Compute'!$C$50)^MOD(Q$51-1,'Sell-Compute'!$C$21)-'Sell-Compute'!$C$42-'Sell-Compute'!$C$43)*(Q60/4)-'Sell-Compute'!$C$41-'Sell-Compute'!$C$44-'Sell-Compute'!$C$45-IF(AND(MOD(Q$51,'Sell-Compute'!$C$21)=0,Q$51&lt;Rates!$D$71),'Sell-Compute'!$C$34*(Q60/4),0),0)-Q57</f>
        <v/>
      </c>
      <c r="R67" s="68">
        <f>IF(R$51&lt;=Rates!$D$71,('Sell-Compute'!$C$40*(1+'Sell-Compute'!$C$50)^MOD(R$51-1,'Sell-Compute'!$C$21)-'Sell-Compute'!$C$42-'Sell-Compute'!$C$43)*(R60/4)-'Sell-Compute'!$C$41-'Sell-Compute'!$C$44-'Sell-Compute'!$C$45-IF(AND(MOD(R$51,'Sell-Compute'!$C$21)=0,R$51&lt;Rates!$D$71),'Sell-Compute'!$C$34*(R60/4),0),0)-R57</f>
        <v/>
      </c>
      <c r="S67" s="68">
        <f>IF(S$51&lt;=Rates!$D$71,('Sell-Compute'!$C$40*(1+'Sell-Compute'!$C$50)^MOD(S$51-1,'Sell-Compute'!$C$21)-'Sell-Compute'!$C$42-'Sell-Compute'!$C$43)*(S60/4)-'Sell-Compute'!$C$41-'Sell-Compute'!$C$44-'Sell-Compute'!$C$45-IF(AND(MOD(S$51,'Sell-Compute'!$C$21)=0,S$51&lt;Rates!$D$71),'Sell-Compute'!$C$34*(S60/4),0),0)-S57</f>
        <v/>
      </c>
      <c r="T67" s="68">
        <f>IF(T$51&lt;=Rates!$D$71,('Sell-Compute'!$C$40*(1+'Sell-Compute'!$C$50)^MOD(T$51-1,'Sell-Compute'!$C$21)-'Sell-Compute'!$C$42-'Sell-Compute'!$C$43)*(T60/4)-'Sell-Compute'!$C$41-'Sell-Compute'!$C$44-'Sell-Compute'!$C$45-IF(AND(MOD(T$51,'Sell-Compute'!$C$21)=0,T$51&lt;Rates!$D$71),'Sell-Compute'!$C$34*(T60/4),0),0)-T57</f>
        <v/>
      </c>
      <c r="U67" s="68">
        <f>IF(U$51&lt;=Rates!$D$71,('Sell-Compute'!$C$40*(1+'Sell-Compute'!$C$50)^MOD(U$51-1,'Sell-Compute'!$C$21)-'Sell-Compute'!$C$42-'Sell-Compute'!$C$43)*(U60/4)-'Sell-Compute'!$C$41-'Sell-Compute'!$C$44-'Sell-Compute'!$C$45-IF(AND(MOD(U$51,'Sell-Compute'!$C$21)=0,U$51&lt;Rates!$D$71),'Sell-Compute'!$C$34*(U60/4),0),0)-U57</f>
        <v/>
      </c>
      <c r="V67" s="68">
        <f>IF(V$51&lt;=Rates!$D$71,('Sell-Compute'!$C$40*(1+'Sell-Compute'!$C$50)^MOD(V$51-1,'Sell-Compute'!$C$21)-'Sell-Compute'!$C$42-'Sell-Compute'!$C$43)*(V60/4)-'Sell-Compute'!$C$41-'Sell-Compute'!$C$44-'Sell-Compute'!$C$45-IF(AND(MOD(V$51,'Sell-Compute'!$C$21)=0,V$51&lt;Rates!$D$71),'Sell-Compute'!$C$34*(V60/4),0),0)-V57</f>
        <v/>
      </c>
      <c r="W67" s="68">
        <f>IF(W$51&lt;=Rates!$D$71,('Sell-Compute'!$C$40*(1+'Sell-Compute'!$C$50)^MOD(W$51-1,'Sell-Compute'!$C$21)-'Sell-Compute'!$C$42-'Sell-Compute'!$C$43)*(W60/4)-'Sell-Compute'!$C$41-'Sell-Compute'!$C$44-'Sell-Compute'!$C$45-IF(AND(MOD(W$51,'Sell-Compute'!$C$21)=0,W$51&lt;Rates!$D$71),'Sell-Compute'!$C$34*(W60/4),0),0)-W57</f>
        <v/>
      </c>
      <c r="X67" s="68">
        <f>IF(X$51&lt;=Rates!$D$71,('Sell-Compute'!$C$40*(1+'Sell-Compute'!$C$50)^MOD(X$51-1,'Sell-Compute'!$C$21)-'Sell-Compute'!$C$42-'Sell-Compute'!$C$43)*(X60/4)-'Sell-Compute'!$C$41-'Sell-Compute'!$C$44-'Sell-Compute'!$C$45-IF(AND(MOD(X$51,'Sell-Compute'!$C$21)=0,X$51&lt;Rates!$D$71),'Sell-Compute'!$C$34*(X60/4),0),0)-X57</f>
        <v/>
      </c>
      <c r="Y67" s="68">
        <f>IF(Y$51&lt;=Rates!$D$71,('Sell-Compute'!$C$40*(1+'Sell-Compute'!$C$50)^MOD(Y$51-1,'Sell-Compute'!$C$21)-'Sell-Compute'!$C$42-'Sell-Compute'!$C$43)*(Y60/4)-'Sell-Compute'!$C$41-'Sell-Compute'!$C$44-'Sell-Compute'!$C$45-IF(AND(MOD(Y$51,'Sell-Compute'!$C$21)=0,Y$51&lt;Rates!$D$71),'Sell-Compute'!$C$34*(Y60/4),0),0)-Y57</f>
        <v/>
      </c>
      <c r="Z67" s="68">
        <f>IF(Z$51&lt;=Rates!$D$71,('Sell-Compute'!$C$40*(1+'Sell-Compute'!$C$50)^MOD(Z$51-1,'Sell-Compute'!$C$21)-'Sell-Compute'!$C$42-'Sell-Compute'!$C$43)*(Z60/4)-'Sell-Compute'!$C$41-'Sell-Compute'!$C$44-'Sell-Compute'!$C$45-IF(AND(MOD(Z$51,'Sell-Compute'!$C$21)=0,Z$51&lt;Rates!$D$71),'Sell-Compute'!$C$34*(Z60/4),0),0)-Z57</f>
        <v/>
      </c>
      <c r="AA67" s="68">
        <f>IF(AA$51&lt;=Rates!$D$71,('Sell-Compute'!$C$40*(1+'Sell-Compute'!$C$50)^MOD(AA$51-1,'Sell-Compute'!$C$21)-'Sell-Compute'!$C$42-'Sell-Compute'!$C$43)*(AA60/4)-'Sell-Compute'!$C$41-'Sell-Compute'!$C$44-'Sell-Compute'!$C$45-IF(AND(MOD(AA$51,'Sell-Compute'!$C$21)=0,AA$51&lt;Rates!$D$71),'Sell-Compute'!$C$34*(AA60/4),0),0)-AA57</f>
        <v/>
      </c>
      <c r="AB67" s="68">
        <f>IF(AB$51&lt;=Rates!$D$71,('Sell-Compute'!$C$40*(1+'Sell-Compute'!$C$50)^MOD(AB$51-1,'Sell-Compute'!$C$21)-'Sell-Compute'!$C$42-'Sell-Compute'!$C$43)*(AB60/4)-'Sell-Compute'!$C$41-'Sell-Compute'!$C$44-'Sell-Compute'!$C$45-IF(AND(MOD(AB$51,'Sell-Compute'!$C$21)=0,AB$51&lt;Rates!$D$71),'Sell-Compute'!$C$34*(AB60/4),0),0)-AB57</f>
        <v/>
      </c>
    </row>
    <row r="68">
      <c r="A68" s="68" t="inlineStr">
        <is>
          <t>(b) Make-up doublets on a monitored trigger | dec</t>
        </is>
      </c>
      <c r="C68" s="68">
        <f>-'Sell-Compute'!$B$36-C57</f>
        <v/>
      </c>
      <c r="D68" s="68">
        <f>IF(D$51&lt;=Rates!$D$71,('Sell-Compute'!$B$40*(1+'Sell-Compute'!$B$50)^MOD(D$51-1,'Sell-Compute'!$C$21)-'Sell-Compute'!$B$42-'Sell-Compute'!$B$43)*(D60/4)-'Sell-Compute'!$B$41-'Sell-Compute'!$B$44-'Sell-Compute'!$B$45-IF(AND(MOD(D$51,'Sell-Compute'!$C$21)=0,D$51&lt;Rates!$D$71),'Sell-Compute'!$B$34*(D60/4),0),0)-D57</f>
        <v/>
      </c>
      <c r="E68" s="68">
        <f>IF(E$51&lt;=Rates!$D$71,('Sell-Compute'!$B$40*(1+'Sell-Compute'!$B$50)^MOD(E$51-1,'Sell-Compute'!$C$21)-'Sell-Compute'!$B$42-'Sell-Compute'!$B$43)*(E60/4)-'Sell-Compute'!$B$41-'Sell-Compute'!$B$44-'Sell-Compute'!$B$45-IF(AND(MOD(E$51,'Sell-Compute'!$C$21)=0,E$51&lt;Rates!$D$71),'Sell-Compute'!$B$34*(E60/4),0),0)-E57</f>
        <v/>
      </c>
      <c r="F68" s="68">
        <f>IF(F$51&lt;=Rates!$D$71,('Sell-Compute'!$B$40*(1+'Sell-Compute'!$B$50)^MOD(F$51-1,'Sell-Compute'!$C$21)-'Sell-Compute'!$B$42-'Sell-Compute'!$B$43)*(F60/4)-'Sell-Compute'!$B$41-'Sell-Compute'!$B$44-'Sell-Compute'!$B$45-IF(AND(MOD(F$51,'Sell-Compute'!$C$21)=0,F$51&lt;Rates!$D$71),'Sell-Compute'!$B$34*(F60/4),0),0)-F57</f>
        <v/>
      </c>
      <c r="G68" s="68">
        <f>IF(G$51&lt;=Rates!$D$71,('Sell-Compute'!$B$40*(1+'Sell-Compute'!$B$50)^MOD(G$51-1,'Sell-Compute'!$C$21)-'Sell-Compute'!$B$42-'Sell-Compute'!$B$43)*(G60/4)-'Sell-Compute'!$B$41-'Sell-Compute'!$B$44-'Sell-Compute'!$B$45-IF(AND(MOD(G$51,'Sell-Compute'!$C$21)=0,G$51&lt;Rates!$D$71),'Sell-Compute'!$B$34*(G60/4),0),0)-G57</f>
        <v/>
      </c>
      <c r="H68" s="68">
        <f>IF(H$51&lt;=Rates!$D$71,('Sell-Compute'!$B$40*(1+'Sell-Compute'!$B$50)^MOD(H$51-1,'Sell-Compute'!$C$21)-'Sell-Compute'!$B$42-'Sell-Compute'!$B$43)*(H60/4)-'Sell-Compute'!$B$41-'Sell-Compute'!$B$44-'Sell-Compute'!$B$45-IF(AND(MOD(H$51,'Sell-Compute'!$C$21)=0,H$51&lt;Rates!$D$71),'Sell-Compute'!$B$34*(H60/4),0),0)-H57</f>
        <v/>
      </c>
      <c r="I68" s="68">
        <f>IF(I$51&lt;=Rates!$D$71,('Sell-Compute'!$B$40*(1+'Sell-Compute'!$B$50)^MOD(I$51-1,'Sell-Compute'!$C$21)-'Sell-Compute'!$B$42-'Sell-Compute'!$B$43)*(I60/4)-'Sell-Compute'!$B$41-'Sell-Compute'!$B$44-'Sell-Compute'!$B$45-IF(AND(MOD(I$51,'Sell-Compute'!$C$21)=0,I$51&lt;Rates!$D$71),'Sell-Compute'!$B$34*(I60/4),0),0)-I57</f>
        <v/>
      </c>
      <c r="J68" s="68">
        <f>IF(J$51&lt;=Rates!$D$71,('Sell-Compute'!$B$40*(1+'Sell-Compute'!$B$50)^MOD(J$51-1,'Sell-Compute'!$C$21)-'Sell-Compute'!$B$42-'Sell-Compute'!$B$43)*(J60/4)-'Sell-Compute'!$B$41-'Sell-Compute'!$B$44-'Sell-Compute'!$B$45-IF(AND(MOD(J$51,'Sell-Compute'!$C$21)=0,J$51&lt;Rates!$D$71),'Sell-Compute'!$B$34*(J60/4),0),0)-J57</f>
        <v/>
      </c>
      <c r="K68" s="68">
        <f>IF(K$51&lt;=Rates!$D$71,('Sell-Compute'!$B$40*(1+'Sell-Compute'!$B$50)^MOD(K$51-1,'Sell-Compute'!$C$21)-'Sell-Compute'!$B$42-'Sell-Compute'!$B$43)*(K60/4)-'Sell-Compute'!$B$41-'Sell-Compute'!$B$44-'Sell-Compute'!$B$45-IF(AND(MOD(K$51,'Sell-Compute'!$C$21)=0,K$51&lt;Rates!$D$71),'Sell-Compute'!$B$34*(K60/4),0),0)-K57</f>
        <v/>
      </c>
      <c r="L68" s="68">
        <f>IF(L$51&lt;=Rates!$D$71,('Sell-Compute'!$B$40*(1+'Sell-Compute'!$B$50)^MOD(L$51-1,'Sell-Compute'!$C$21)-'Sell-Compute'!$B$42-'Sell-Compute'!$B$43)*(L60/4)-'Sell-Compute'!$B$41-'Sell-Compute'!$B$44-'Sell-Compute'!$B$45-IF(AND(MOD(L$51,'Sell-Compute'!$C$21)=0,L$51&lt;Rates!$D$71),'Sell-Compute'!$B$34*(L60/4),0),0)-L57</f>
        <v/>
      </c>
      <c r="M68" s="68">
        <f>IF(M$51&lt;=Rates!$D$71,('Sell-Compute'!$B$40*(1+'Sell-Compute'!$B$50)^MOD(M$51-1,'Sell-Compute'!$C$21)-'Sell-Compute'!$B$42-'Sell-Compute'!$B$43)*(M60/4)-'Sell-Compute'!$B$41-'Sell-Compute'!$B$44-'Sell-Compute'!$B$45-IF(AND(MOD(M$51,'Sell-Compute'!$C$21)=0,M$51&lt;Rates!$D$71),'Sell-Compute'!$B$34*(M60/4),0),0)-M57</f>
        <v/>
      </c>
      <c r="N68" s="68">
        <f>IF(N$51&lt;=Rates!$D$71,('Sell-Compute'!$B$40*(1+'Sell-Compute'!$B$50)^MOD(N$51-1,'Sell-Compute'!$C$21)-'Sell-Compute'!$B$42-'Sell-Compute'!$B$43)*(N60/4)-'Sell-Compute'!$B$41-'Sell-Compute'!$B$44-'Sell-Compute'!$B$45-IF(AND(MOD(N$51,'Sell-Compute'!$C$21)=0,N$51&lt;Rates!$D$71),'Sell-Compute'!$B$34*(N60/4),0),0)-N57</f>
        <v/>
      </c>
      <c r="O68" s="68">
        <f>IF(O$51&lt;=Rates!$D$71,('Sell-Compute'!$B$40*(1+'Sell-Compute'!$B$50)^MOD(O$51-1,'Sell-Compute'!$C$21)-'Sell-Compute'!$B$42-'Sell-Compute'!$B$43)*(O60/4)-'Sell-Compute'!$B$41-'Sell-Compute'!$B$44-'Sell-Compute'!$B$45-IF(AND(MOD(O$51,'Sell-Compute'!$C$21)=0,O$51&lt;Rates!$D$71),'Sell-Compute'!$B$34*(O60/4),0),0)-O57</f>
        <v/>
      </c>
      <c r="P68" s="68">
        <f>IF(P$51&lt;=Rates!$D$71,('Sell-Compute'!$B$40*(1+'Sell-Compute'!$B$50)^MOD(P$51-1,'Sell-Compute'!$C$21)-'Sell-Compute'!$B$42-'Sell-Compute'!$B$43)*(P60/4)-'Sell-Compute'!$B$41-'Sell-Compute'!$B$44-'Sell-Compute'!$B$45-IF(AND(MOD(P$51,'Sell-Compute'!$C$21)=0,P$51&lt;Rates!$D$71),'Sell-Compute'!$B$34*(P60/4),0),0)-P57</f>
        <v/>
      </c>
      <c r="Q68" s="68">
        <f>IF(Q$51&lt;=Rates!$D$71,('Sell-Compute'!$B$40*(1+'Sell-Compute'!$B$50)^MOD(Q$51-1,'Sell-Compute'!$C$21)-'Sell-Compute'!$B$42-'Sell-Compute'!$B$43)*(Q60/4)-'Sell-Compute'!$B$41-'Sell-Compute'!$B$44-'Sell-Compute'!$B$45-IF(AND(MOD(Q$51,'Sell-Compute'!$C$21)=0,Q$51&lt;Rates!$D$71),'Sell-Compute'!$B$34*(Q60/4),0),0)-Q57</f>
        <v/>
      </c>
      <c r="R68" s="68">
        <f>IF(R$51&lt;=Rates!$D$71,('Sell-Compute'!$B$40*(1+'Sell-Compute'!$B$50)^MOD(R$51-1,'Sell-Compute'!$C$21)-'Sell-Compute'!$B$42-'Sell-Compute'!$B$43)*(R60/4)-'Sell-Compute'!$B$41-'Sell-Compute'!$B$44-'Sell-Compute'!$B$45-IF(AND(MOD(R$51,'Sell-Compute'!$C$21)=0,R$51&lt;Rates!$D$71),'Sell-Compute'!$B$34*(R60/4),0),0)-R57</f>
        <v/>
      </c>
      <c r="S68" s="68">
        <f>IF(S$51&lt;=Rates!$D$71,('Sell-Compute'!$B$40*(1+'Sell-Compute'!$B$50)^MOD(S$51-1,'Sell-Compute'!$C$21)-'Sell-Compute'!$B$42-'Sell-Compute'!$B$43)*(S60/4)-'Sell-Compute'!$B$41-'Sell-Compute'!$B$44-'Sell-Compute'!$B$45-IF(AND(MOD(S$51,'Sell-Compute'!$C$21)=0,S$51&lt;Rates!$D$71),'Sell-Compute'!$B$34*(S60/4),0),0)-S57</f>
        <v/>
      </c>
      <c r="T68" s="68">
        <f>IF(T$51&lt;=Rates!$D$71,('Sell-Compute'!$B$40*(1+'Sell-Compute'!$B$50)^MOD(T$51-1,'Sell-Compute'!$C$21)-'Sell-Compute'!$B$42-'Sell-Compute'!$B$43)*(T60/4)-'Sell-Compute'!$B$41-'Sell-Compute'!$B$44-'Sell-Compute'!$B$45-IF(AND(MOD(T$51,'Sell-Compute'!$C$21)=0,T$51&lt;Rates!$D$71),'Sell-Compute'!$B$34*(T60/4),0),0)-T57</f>
        <v/>
      </c>
      <c r="U68" s="68">
        <f>IF(U$51&lt;=Rates!$D$71,('Sell-Compute'!$B$40*(1+'Sell-Compute'!$B$50)^MOD(U$51-1,'Sell-Compute'!$C$21)-'Sell-Compute'!$B$42-'Sell-Compute'!$B$43)*(U60/4)-'Sell-Compute'!$B$41-'Sell-Compute'!$B$44-'Sell-Compute'!$B$45-IF(AND(MOD(U$51,'Sell-Compute'!$C$21)=0,U$51&lt;Rates!$D$71),'Sell-Compute'!$B$34*(U60/4),0),0)-U57</f>
        <v/>
      </c>
      <c r="V68" s="68">
        <f>IF(V$51&lt;=Rates!$D$71,('Sell-Compute'!$B$40*(1+'Sell-Compute'!$B$50)^MOD(V$51-1,'Sell-Compute'!$C$21)-'Sell-Compute'!$B$42-'Sell-Compute'!$B$43)*(V60/4)-'Sell-Compute'!$B$41-'Sell-Compute'!$B$44-'Sell-Compute'!$B$45-IF(AND(MOD(V$51,'Sell-Compute'!$C$21)=0,V$51&lt;Rates!$D$71),'Sell-Compute'!$B$34*(V60/4),0),0)-V57</f>
        <v/>
      </c>
      <c r="W68" s="68">
        <f>IF(W$51&lt;=Rates!$D$71,('Sell-Compute'!$B$40*(1+'Sell-Compute'!$B$50)^MOD(W$51-1,'Sell-Compute'!$C$21)-'Sell-Compute'!$B$42-'Sell-Compute'!$B$43)*(W60/4)-'Sell-Compute'!$B$41-'Sell-Compute'!$B$44-'Sell-Compute'!$B$45-IF(AND(MOD(W$51,'Sell-Compute'!$C$21)=0,W$51&lt;Rates!$D$71),'Sell-Compute'!$B$34*(W60/4),0),0)-W57</f>
        <v/>
      </c>
      <c r="X68" s="68">
        <f>IF(X$51&lt;=Rates!$D$71,('Sell-Compute'!$B$40*(1+'Sell-Compute'!$B$50)^MOD(X$51-1,'Sell-Compute'!$C$21)-'Sell-Compute'!$B$42-'Sell-Compute'!$B$43)*(X60/4)-'Sell-Compute'!$B$41-'Sell-Compute'!$B$44-'Sell-Compute'!$B$45-IF(AND(MOD(X$51,'Sell-Compute'!$C$21)=0,X$51&lt;Rates!$D$71),'Sell-Compute'!$B$34*(X60/4),0),0)-X57</f>
        <v/>
      </c>
      <c r="Y68" s="68">
        <f>IF(Y$51&lt;=Rates!$D$71,('Sell-Compute'!$B$40*(1+'Sell-Compute'!$B$50)^MOD(Y$51-1,'Sell-Compute'!$C$21)-'Sell-Compute'!$B$42-'Sell-Compute'!$B$43)*(Y60/4)-'Sell-Compute'!$B$41-'Sell-Compute'!$B$44-'Sell-Compute'!$B$45-IF(AND(MOD(Y$51,'Sell-Compute'!$C$21)=0,Y$51&lt;Rates!$D$71),'Sell-Compute'!$B$34*(Y60/4),0),0)-Y57</f>
        <v/>
      </c>
      <c r="Z68" s="68">
        <f>IF(Z$51&lt;=Rates!$D$71,('Sell-Compute'!$B$40*(1+'Sell-Compute'!$B$50)^MOD(Z$51-1,'Sell-Compute'!$C$21)-'Sell-Compute'!$B$42-'Sell-Compute'!$B$43)*(Z60/4)-'Sell-Compute'!$B$41-'Sell-Compute'!$B$44-'Sell-Compute'!$B$45-IF(AND(MOD(Z$51,'Sell-Compute'!$C$21)=0,Z$51&lt;Rates!$D$71),'Sell-Compute'!$B$34*(Z60/4),0),0)-Z57</f>
        <v/>
      </c>
      <c r="AA68" s="68">
        <f>IF(AA$51&lt;=Rates!$D$71,('Sell-Compute'!$B$40*(1+'Sell-Compute'!$B$50)^MOD(AA$51-1,'Sell-Compute'!$C$21)-'Sell-Compute'!$B$42-'Sell-Compute'!$B$43)*(AA60/4)-'Sell-Compute'!$B$41-'Sell-Compute'!$B$44-'Sell-Compute'!$B$45-IF(AND(MOD(AA$51,'Sell-Compute'!$C$21)=0,AA$51&lt;Rates!$D$71),'Sell-Compute'!$B$34*(AA60/4),0),0)-AA57</f>
        <v/>
      </c>
      <c r="AB68" s="68">
        <f>IF(AB$51&lt;=Rates!$D$71,('Sell-Compute'!$B$40*(1+'Sell-Compute'!$B$50)^MOD(AB$51-1,'Sell-Compute'!$C$21)-'Sell-Compute'!$B$42-'Sell-Compute'!$B$43)*(AB60/4)-'Sell-Compute'!$B$41-'Sell-Compute'!$B$44-'Sell-Compute'!$B$45-IF(AND(MOD(AB$51,'Sell-Compute'!$C$21)=0,AB$51&lt;Rates!$D$71),'Sell-Compute'!$B$34*(AB60/4),0),0)-AB57</f>
        <v/>
      </c>
    </row>
    <row r="69">
      <c r="A69" s="68" t="inlineStr">
        <is>
          <t>(b) Make-up doublets on a monitored trigger | colo</t>
        </is>
      </c>
      <c r="C69" s="68">
        <f>-'Sell-Compute'!$I$36-C57</f>
        <v/>
      </c>
      <c r="D69" s="68">
        <f>IF(D$51&lt;=Rates!$D$71,'Sell-Compute'!$I$46-'Sell-Compute'!$I$40*(1-(D60/4)),0)-D57</f>
        <v/>
      </c>
      <c r="E69" s="68">
        <f>IF(E$51&lt;=Rates!$D$71,'Sell-Compute'!$I$46-'Sell-Compute'!$I$40*(1-(E60/4)),0)-E57</f>
        <v/>
      </c>
      <c r="F69" s="68">
        <f>IF(F$51&lt;=Rates!$D$71,'Sell-Compute'!$I$46-'Sell-Compute'!$I$40*(1-(F60/4)),0)-F57</f>
        <v/>
      </c>
      <c r="G69" s="68">
        <f>IF(G$51&lt;=Rates!$D$71,'Sell-Compute'!$I$46-'Sell-Compute'!$I$40*(1-(G60/4)),0)-G57</f>
        <v/>
      </c>
      <c r="H69" s="68">
        <f>IF(H$51&lt;=Rates!$D$71,'Sell-Compute'!$I$46-'Sell-Compute'!$I$40*(1-(H60/4)),0)-H57</f>
        <v/>
      </c>
      <c r="I69" s="68">
        <f>IF(I$51&lt;=Rates!$D$71,'Sell-Compute'!$I$46-'Sell-Compute'!$I$40*(1-(I60/4)),0)-I57</f>
        <v/>
      </c>
      <c r="J69" s="68">
        <f>IF(J$51&lt;=Rates!$D$71,'Sell-Compute'!$I$46-'Sell-Compute'!$I$40*(1-(J60/4)),0)-J57</f>
        <v/>
      </c>
      <c r="K69" s="68">
        <f>IF(K$51&lt;=Rates!$D$71,'Sell-Compute'!$I$46-'Sell-Compute'!$I$40*(1-(K60/4)),0)-K57</f>
        <v/>
      </c>
      <c r="L69" s="68">
        <f>IF(L$51&lt;=Rates!$D$71,'Sell-Compute'!$I$46-'Sell-Compute'!$I$40*(1-(L60/4)),0)-L57</f>
        <v/>
      </c>
      <c r="M69" s="68">
        <f>IF(M$51&lt;=Rates!$D$71,'Sell-Compute'!$I$46-'Sell-Compute'!$I$40*(1-(M60/4)),0)-M57</f>
        <v/>
      </c>
      <c r="N69" s="68">
        <f>IF(N$51&lt;=Rates!$D$71,'Sell-Compute'!$I$46-'Sell-Compute'!$I$40*(1-(N60/4)),0)-N57</f>
        <v/>
      </c>
      <c r="O69" s="68">
        <f>IF(O$51&lt;=Rates!$D$71,'Sell-Compute'!$I$46-'Sell-Compute'!$I$40*(1-(O60/4)),0)-O57</f>
        <v/>
      </c>
      <c r="P69" s="68">
        <f>IF(P$51&lt;=Rates!$D$71,'Sell-Compute'!$I$46-'Sell-Compute'!$I$40*(1-(P60/4)),0)-P57</f>
        <v/>
      </c>
      <c r="Q69" s="68">
        <f>IF(Q$51&lt;=Rates!$D$71,'Sell-Compute'!$I$46-'Sell-Compute'!$I$40*(1-(Q60/4)),0)-Q57</f>
        <v/>
      </c>
      <c r="R69" s="68">
        <f>IF(R$51&lt;=Rates!$D$71,'Sell-Compute'!$I$46-'Sell-Compute'!$I$40*(1-(R60/4)),0)-R57</f>
        <v/>
      </c>
      <c r="S69" s="68">
        <f>IF(S$51&lt;=Rates!$D$71,'Sell-Compute'!$I$46-'Sell-Compute'!$I$40*(1-(S60/4)),0)-S57</f>
        <v/>
      </c>
      <c r="T69" s="68">
        <f>IF(T$51&lt;=Rates!$D$71,'Sell-Compute'!$I$46-'Sell-Compute'!$I$40*(1-(T60/4)),0)-T57</f>
        <v/>
      </c>
      <c r="U69" s="68">
        <f>IF(U$51&lt;=Rates!$D$71,'Sell-Compute'!$I$46-'Sell-Compute'!$I$40*(1-(U60/4)),0)-U57</f>
        <v/>
      </c>
      <c r="V69" s="68">
        <f>IF(V$51&lt;=Rates!$D$71,'Sell-Compute'!$I$46-'Sell-Compute'!$I$40*(1-(V60/4)),0)-V57</f>
        <v/>
      </c>
      <c r="W69" s="68">
        <f>IF(W$51&lt;=Rates!$D$71,'Sell-Compute'!$I$46-'Sell-Compute'!$I$40*(1-(W60/4)),0)-W57</f>
        <v/>
      </c>
      <c r="X69" s="68">
        <f>IF(X$51&lt;=Rates!$D$71,'Sell-Compute'!$I$46-'Sell-Compute'!$I$40*(1-(X60/4)),0)-X57</f>
        <v/>
      </c>
      <c r="Y69" s="68">
        <f>IF(Y$51&lt;=Rates!$D$71,'Sell-Compute'!$I$46-'Sell-Compute'!$I$40*(1-(Y60/4)),0)-Y57</f>
        <v/>
      </c>
      <c r="Z69" s="68">
        <f>IF(Z$51&lt;=Rates!$D$71,'Sell-Compute'!$I$46-'Sell-Compute'!$I$40*(1-(Z60/4)),0)-Z57</f>
        <v/>
      </c>
      <c r="AA69" s="68">
        <f>IF(AA$51&lt;=Rates!$D$71,'Sell-Compute'!$I$46-'Sell-Compute'!$I$40*(1-(AA60/4)),0)-AA57</f>
        <v/>
      </c>
      <c r="AB69" s="68">
        <f>IF(AB$51&lt;=Rates!$D$71,'Sell-Compute'!$I$46-'Sell-Compute'!$I$40*(1-(AB60/4)),0)-AB57</f>
        <v/>
      </c>
    </row>
    <row r="70">
      <c r="A70" s="68" t="inlineStr">
        <is>
          <t>(c) Build fewer modules | flat</t>
        </is>
      </c>
      <c r="C70" s="68">
        <f>-'Sell-Compute'!$C$36+(1-($G$52/4))*('Sell-Compute'!$C$34+('AU-Route'!$B$31*(1+Control!$B$13)))</f>
        <v/>
      </c>
      <c r="D70" s="68">
        <f>IF(D$51&lt;=Rates!$D$71,('Sell-Compute'!$C$40*(1+'Sell-Compute'!$C$50)^MOD(D$51-1,'Sell-Compute'!$C$21)-'Sell-Compute'!$C$42-'Sell-Compute'!$C$43)*($G$52/4)-'Sell-Compute'!$C$41-'Sell-Compute'!$C$44-'Sell-Compute'!$C$45-IF(AND(MOD(D$51,'Sell-Compute'!$C$21)=0,D$51&lt;Rates!$D$71),'Sell-Compute'!$C$34*($G$52/4),0),0)</f>
        <v/>
      </c>
      <c r="E70" s="68">
        <f>IF(E$51&lt;=Rates!$D$71,('Sell-Compute'!$C$40*(1+'Sell-Compute'!$C$50)^MOD(E$51-1,'Sell-Compute'!$C$21)-'Sell-Compute'!$C$42-'Sell-Compute'!$C$43)*($G$52/4)-'Sell-Compute'!$C$41-'Sell-Compute'!$C$44-'Sell-Compute'!$C$45-IF(AND(MOD(E$51,'Sell-Compute'!$C$21)=0,E$51&lt;Rates!$D$71),'Sell-Compute'!$C$34*($G$52/4),0),0)</f>
        <v/>
      </c>
      <c r="F70" s="68">
        <f>IF(F$51&lt;=Rates!$D$71,('Sell-Compute'!$C$40*(1+'Sell-Compute'!$C$50)^MOD(F$51-1,'Sell-Compute'!$C$21)-'Sell-Compute'!$C$42-'Sell-Compute'!$C$43)*($G$52/4)-'Sell-Compute'!$C$41-'Sell-Compute'!$C$44-'Sell-Compute'!$C$45-IF(AND(MOD(F$51,'Sell-Compute'!$C$21)=0,F$51&lt;Rates!$D$71),'Sell-Compute'!$C$34*($G$52/4),0),0)</f>
        <v/>
      </c>
      <c r="G70" s="68">
        <f>IF(G$51&lt;=Rates!$D$71,('Sell-Compute'!$C$40*(1+'Sell-Compute'!$C$50)^MOD(G$51-1,'Sell-Compute'!$C$21)-'Sell-Compute'!$C$42-'Sell-Compute'!$C$43)*($G$52/4)-'Sell-Compute'!$C$41-'Sell-Compute'!$C$44-'Sell-Compute'!$C$45-IF(AND(MOD(G$51,'Sell-Compute'!$C$21)=0,G$51&lt;Rates!$D$71),'Sell-Compute'!$C$34*($G$52/4),0),0)</f>
        <v/>
      </c>
      <c r="H70" s="68">
        <f>IF(H$51&lt;=Rates!$D$71,('Sell-Compute'!$C$40*(1+'Sell-Compute'!$C$50)^MOD(H$51-1,'Sell-Compute'!$C$21)-'Sell-Compute'!$C$42-'Sell-Compute'!$C$43)*($G$52/4)-'Sell-Compute'!$C$41-'Sell-Compute'!$C$44-'Sell-Compute'!$C$45-IF(AND(MOD(H$51,'Sell-Compute'!$C$21)=0,H$51&lt;Rates!$D$71),'Sell-Compute'!$C$34*($G$52/4),0),0)</f>
        <v/>
      </c>
      <c r="I70" s="68">
        <f>IF(I$51&lt;=Rates!$D$71,('Sell-Compute'!$C$40*(1+'Sell-Compute'!$C$50)^MOD(I$51-1,'Sell-Compute'!$C$21)-'Sell-Compute'!$C$42-'Sell-Compute'!$C$43)*($G$52/4)-'Sell-Compute'!$C$41-'Sell-Compute'!$C$44-'Sell-Compute'!$C$45-IF(AND(MOD(I$51,'Sell-Compute'!$C$21)=0,I$51&lt;Rates!$D$71),'Sell-Compute'!$C$34*($G$52/4),0),0)</f>
        <v/>
      </c>
      <c r="J70" s="68">
        <f>IF(J$51&lt;=Rates!$D$71,('Sell-Compute'!$C$40*(1+'Sell-Compute'!$C$50)^MOD(J$51-1,'Sell-Compute'!$C$21)-'Sell-Compute'!$C$42-'Sell-Compute'!$C$43)*($G$52/4)-'Sell-Compute'!$C$41-'Sell-Compute'!$C$44-'Sell-Compute'!$C$45-IF(AND(MOD(J$51,'Sell-Compute'!$C$21)=0,J$51&lt;Rates!$D$71),'Sell-Compute'!$C$34*($G$52/4),0),0)</f>
        <v/>
      </c>
      <c r="K70" s="68">
        <f>IF(K$51&lt;=Rates!$D$71,('Sell-Compute'!$C$40*(1+'Sell-Compute'!$C$50)^MOD(K$51-1,'Sell-Compute'!$C$21)-'Sell-Compute'!$C$42-'Sell-Compute'!$C$43)*($G$52/4)-'Sell-Compute'!$C$41-'Sell-Compute'!$C$44-'Sell-Compute'!$C$45-IF(AND(MOD(K$51,'Sell-Compute'!$C$21)=0,K$51&lt;Rates!$D$71),'Sell-Compute'!$C$34*($G$52/4),0),0)</f>
        <v/>
      </c>
      <c r="L70" s="68">
        <f>IF(L$51&lt;=Rates!$D$71,('Sell-Compute'!$C$40*(1+'Sell-Compute'!$C$50)^MOD(L$51-1,'Sell-Compute'!$C$21)-'Sell-Compute'!$C$42-'Sell-Compute'!$C$43)*($G$52/4)-'Sell-Compute'!$C$41-'Sell-Compute'!$C$44-'Sell-Compute'!$C$45-IF(AND(MOD(L$51,'Sell-Compute'!$C$21)=0,L$51&lt;Rates!$D$71),'Sell-Compute'!$C$34*($G$52/4),0),0)</f>
        <v/>
      </c>
      <c r="M70" s="68">
        <f>IF(M$51&lt;=Rates!$D$71,('Sell-Compute'!$C$40*(1+'Sell-Compute'!$C$50)^MOD(M$51-1,'Sell-Compute'!$C$21)-'Sell-Compute'!$C$42-'Sell-Compute'!$C$43)*($G$52/4)-'Sell-Compute'!$C$41-'Sell-Compute'!$C$44-'Sell-Compute'!$C$45-IF(AND(MOD(M$51,'Sell-Compute'!$C$21)=0,M$51&lt;Rates!$D$71),'Sell-Compute'!$C$34*($G$52/4),0),0)</f>
        <v/>
      </c>
      <c r="N70" s="68">
        <f>IF(N$51&lt;=Rates!$D$71,('Sell-Compute'!$C$40*(1+'Sell-Compute'!$C$50)^MOD(N$51-1,'Sell-Compute'!$C$21)-'Sell-Compute'!$C$42-'Sell-Compute'!$C$43)*($G$52/4)-'Sell-Compute'!$C$41-'Sell-Compute'!$C$44-'Sell-Compute'!$C$45-IF(AND(MOD(N$51,'Sell-Compute'!$C$21)=0,N$51&lt;Rates!$D$71),'Sell-Compute'!$C$34*($G$52/4),0),0)</f>
        <v/>
      </c>
      <c r="O70" s="68">
        <f>IF(O$51&lt;=Rates!$D$71,('Sell-Compute'!$C$40*(1+'Sell-Compute'!$C$50)^MOD(O$51-1,'Sell-Compute'!$C$21)-'Sell-Compute'!$C$42-'Sell-Compute'!$C$43)*($G$52/4)-'Sell-Compute'!$C$41-'Sell-Compute'!$C$44-'Sell-Compute'!$C$45-IF(AND(MOD(O$51,'Sell-Compute'!$C$21)=0,O$51&lt;Rates!$D$71),'Sell-Compute'!$C$34*($G$52/4),0),0)</f>
        <v/>
      </c>
      <c r="P70" s="68">
        <f>IF(P$51&lt;=Rates!$D$71,('Sell-Compute'!$C$40*(1+'Sell-Compute'!$C$50)^MOD(P$51-1,'Sell-Compute'!$C$21)-'Sell-Compute'!$C$42-'Sell-Compute'!$C$43)*($G$52/4)-'Sell-Compute'!$C$41-'Sell-Compute'!$C$44-'Sell-Compute'!$C$45-IF(AND(MOD(P$51,'Sell-Compute'!$C$21)=0,P$51&lt;Rates!$D$71),'Sell-Compute'!$C$34*($G$52/4),0),0)</f>
        <v/>
      </c>
      <c r="Q70" s="68">
        <f>IF(Q$51&lt;=Rates!$D$71,('Sell-Compute'!$C$40*(1+'Sell-Compute'!$C$50)^MOD(Q$51-1,'Sell-Compute'!$C$21)-'Sell-Compute'!$C$42-'Sell-Compute'!$C$43)*($G$52/4)-'Sell-Compute'!$C$41-'Sell-Compute'!$C$44-'Sell-Compute'!$C$45-IF(AND(MOD(Q$51,'Sell-Compute'!$C$21)=0,Q$51&lt;Rates!$D$71),'Sell-Compute'!$C$34*($G$52/4),0),0)</f>
        <v/>
      </c>
      <c r="R70" s="68">
        <f>IF(R$51&lt;=Rates!$D$71,('Sell-Compute'!$C$40*(1+'Sell-Compute'!$C$50)^MOD(R$51-1,'Sell-Compute'!$C$21)-'Sell-Compute'!$C$42-'Sell-Compute'!$C$43)*($G$52/4)-'Sell-Compute'!$C$41-'Sell-Compute'!$C$44-'Sell-Compute'!$C$45-IF(AND(MOD(R$51,'Sell-Compute'!$C$21)=0,R$51&lt;Rates!$D$71),'Sell-Compute'!$C$34*($G$52/4),0),0)</f>
        <v/>
      </c>
      <c r="S70" s="68">
        <f>IF(S$51&lt;=Rates!$D$71,('Sell-Compute'!$C$40*(1+'Sell-Compute'!$C$50)^MOD(S$51-1,'Sell-Compute'!$C$21)-'Sell-Compute'!$C$42-'Sell-Compute'!$C$43)*($G$52/4)-'Sell-Compute'!$C$41-'Sell-Compute'!$C$44-'Sell-Compute'!$C$45-IF(AND(MOD(S$51,'Sell-Compute'!$C$21)=0,S$51&lt;Rates!$D$71),'Sell-Compute'!$C$34*($G$52/4),0),0)</f>
        <v/>
      </c>
      <c r="T70" s="68">
        <f>IF(T$51&lt;=Rates!$D$71,('Sell-Compute'!$C$40*(1+'Sell-Compute'!$C$50)^MOD(T$51-1,'Sell-Compute'!$C$21)-'Sell-Compute'!$C$42-'Sell-Compute'!$C$43)*($G$52/4)-'Sell-Compute'!$C$41-'Sell-Compute'!$C$44-'Sell-Compute'!$C$45-IF(AND(MOD(T$51,'Sell-Compute'!$C$21)=0,T$51&lt;Rates!$D$71),'Sell-Compute'!$C$34*($G$52/4),0),0)</f>
        <v/>
      </c>
      <c r="U70" s="68">
        <f>IF(U$51&lt;=Rates!$D$71,('Sell-Compute'!$C$40*(1+'Sell-Compute'!$C$50)^MOD(U$51-1,'Sell-Compute'!$C$21)-'Sell-Compute'!$C$42-'Sell-Compute'!$C$43)*($G$52/4)-'Sell-Compute'!$C$41-'Sell-Compute'!$C$44-'Sell-Compute'!$C$45-IF(AND(MOD(U$51,'Sell-Compute'!$C$21)=0,U$51&lt;Rates!$D$71),'Sell-Compute'!$C$34*($G$52/4),0),0)</f>
        <v/>
      </c>
      <c r="V70" s="68">
        <f>IF(V$51&lt;=Rates!$D$71,('Sell-Compute'!$C$40*(1+'Sell-Compute'!$C$50)^MOD(V$51-1,'Sell-Compute'!$C$21)-'Sell-Compute'!$C$42-'Sell-Compute'!$C$43)*($G$52/4)-'Sell-Compute'!$C$41-'Sell-Compute'!$C$44-'Sell-Compute'!$C$45-IF(AND(MOD(V$51,'Sell-Compute'!$C$21)=0,V$51&lt;Rates!$D$71),'Sell-Compute'!$C$34*($G$52/4),0),0)</f>
        <v/>
      </c>
      <c r="W70" s="68">
        <f>IF(W$51&lt;=Rates!$D$71,('Sell-Compute'!$C$40*(1+'Sell-Compute'!$C$50)^MOD(W$51-1,'Sell-Compute'!$C$21)-'Sell-Compute'!$C$42-'Sell-Compute'!$C$43)*($G$52/4)-'Sell-Compute'!$C$41-'Sell-Compute'!$C$44-'Sell-Compute'!$C$45-IF(AND(MOD(W$51,'Sell-Compute'!$C$21)=0,W$51&lt;Rates!$D$71),'Sell-Compute'!$C$34*($G$52/4),0),0)</f>
        <v/>
      </c>
      <c r="X70" s="68">
        <f>IF(X$51&lt;=Rates!$D$71,('Sell-Compute'!$C$40*(1+'Sell-Compute'!$C$50)^MOD(X$51-1,'Sell-Compute'!$C$21)-'Sell-Compute'!$C$42-'Sell-Compute'!$C$43)*($G$52/4)-'Sell-Compute'!$C$41-'Sell-Compute'!$C$44-'Sell-Compute'!$C$45-IF(AND(MOD(X$51,'Sell-Compute'!$C$21)=0,X$51&lt;Rates!$D$71),'Sell-Compute'!$C$34*($G$52/4),0),0)</f>
        <v/>
      </c>
      <c r="Y70" s="68">
        <f>IF(Y$51&lt;=Rates!$D$71,('Sell-Compute'!$C$40*(1+'Sell-Compute'!$C$50)^MOD(Y$51-1,'Sell-Compute'!$C$21)-'Sell-Compute'!$C$42-'Sell-Compute'!$C$43)*($G$52/4)-'Sell-Compute'!$C$41-'Sell-Compute'!$C$44-'Sell-Compute'!$C$45-IF(AND(MOD(Y$51,'Sell-Compute'!$C$21)=0,Y$51&lt;Rates!$D$71),'Sell-Compute'!$C$34*($G$52/4),0),0)</f>
        <v/>
      </c>
      <c r="Z70" s="68">
        <f>IF(Z$51&lt;=Rates!$D$71,('Sell-Compute'!$C$40*(1+'Sell-Compute'!$C$50)^MOD(Z$51-1,'Sell-Compute'!$C$21)-'Sell-Compute'!$C$42-'Sell-Compute'!$C$43)*($G$52/4)-'Sell-Compute'!$C$41-'Sell-Compute'!$C$44-'Sell-Compute'!$C$45-IF(AND(MOD(Z$51,'Sell-Compute'!$C$21)=0,Z$51&lt;Rates!$D$71),'Sell-Compute'!$C$34*($G$52/4),0),0)</f>
        <v/>
      </c>
      <c r="AA70" s="68">
        <f>IF(AA$51&lt;=Rates!$D$71,('Sell-Compute'!$C$40*(1+'Sell-Compute'!$C$50)^MOD(AA$51-1,'Sell-Compute'!$C$21)-'Sell-Compute'!$C$42-'Sell-Compute'!$C$43)*($G$52/4)-'Sell-Compute'!$C$41-'Sell-Compute'!$C$44-'Sell-Compute'!$C$45-IF(AND(MOD(AA$51,'Sell-Compute'!$C$21)=0,AA$51&lt;Rates!$D$71),'Sell-Compute'!$C$34*($G$52/4),0),0)</f>
        <v/>
      </c>
      <c r="AB70" s="68">
        <f>IF(AB$51&lt;=Rates!$D$71,('Sell-Compute'!$C$40*(1+'Sell-Compute'!$C$50)^MOD(AB$51-1,'Sell-Compute'!$C$21)-'Sell-Compute'!$C$42-'Sell-Compute'!$C$43)*($G$52/4)-'Sell-Compute'!$C$41-'Sell-Compute'!$C$44-'Sell-Compute'!$C$45-IF(AND(MOD(AB$51,'Sell-Compute'!$C$21)=0,AB$51&lt;Rates!$D$71),'Sell-Compute'!$C$34*($G$52/4),0),0)</f>
        <v/>
      </c>
    </row>
    <row r="71">
      <c r="A71" s="68" t="inlineStr">
        <is>
          <t>(c) Build fewer modules | dec</t>
        </is>
      </c>
      <c r="C71" s="68">
        <f>-'Sell-Compute'!$B$36+(1-($G$52/4))*('Sell-Compute'!$B$34+('AU-Route'!$B$31*(1+Control!$B$13)))</f>
        <v/>
      </c>
      <c r="D71" s="68">
        <f>IF(D$51&lt;=Rates!$D$71,('Sell-Compute'!$B$40*(1+'Sell-Compute'!$B$50)^MOD(D$51-1,'Sell-Compute'!$C$21)-'Sell-Compute'!$B$42-'Sell-Compute'!$B$43)*($G$52/4)-'Sell-Compute'!$B$41-'Sell-Compute'!$B$44-'Sell-Compute'!$B$45-IF(AND(MOD(D$51,'Sell-Compute'!$C$21)=0,D$51&lt;Rates!$D$71),'Sell-Compute'!$B$34*($G$52/4),0),0)</f>
        <v/>
      </c>
      <c r="E71" s="68">
        <f>IF(E$51&lt;=Rates!$D$71,('Sell-Compute'!$B$40*(1+'Sell-Compute'!$B$50)^MOD(E$51-1,'Sell-Compute'!$C$21)-'Sell-Compute'!$B$42-'Sell-Compute'!$B$43)*($G$52/4)-'Sell-Compute'!$B$41-'Sell-Compute'!$B$44-'Sell-Compute'!$B$45-IF(AND(MOD(E$51,'Sell-Compute'!$C$21)=0,E$51&lt;Rates!$D$71),'Sell-Compute'!$B$34*($G$52/4),0),0)</f>
        <v/>
      </c>
      <c r="F71" s="68">
        <f>IF(F$51&lt;=Rates!$D$71,('Sell-Compute'!$B$40*(1+'Sell-Compute'!$B$50)^MOD(F$51-1,'Sell-Compute'!$C$21)-'Sell-Compute'!$B$42-'Sell-Compute'!$B$43)*($G$52/4)-'Sell-Compute'!$B$41-'Sell-Compute'!$B$44-'Sell-Compute'!$B$45-IF(AND(MOD(F$51,'Sell-Compute'!$C$21)=0,F$51&lt;Rates!$D$71),'Sell-Compute'!$B$34*($G$52/4),0),0)</f>
        <v/>
      </c>
      <c r="G71" s="68">
        <f>IF(G$51&lt;=Rates!$D$71,('Sell-Compute'!$B$40*(1+'Sell-Compute'!$B$50)^MOD(G$51-1,'Sell-Compute'!$C$21)-'Sell-Compute'!$B$42-'Sell-Compute'!$B$43)*($G$52/4)-'Sell-Compute'!$B$41-'Sell-Compute'!$B$44-'Sell-Compute'!$B$45-IF(AND(MOD(G$51,'Sell-Compute'!$C$21)=0,G$51&lt;Rates!$D$71),'Sell-Compute'!$B$34*($G$52/4),0),0)</f>
        <v/>
      </c>
      <c r="H71" s="68">
        <f>IF(H$51&lt;=Rates!$D$71,('Sell-Compute'!$B$40*(1+'Sell-Compute'!$B$50)^MOD(H$51-1,'Sell-Compute'!$C$21)-'Sell-Compute'!$B$42-'Sell-Compute'!$B$43)*($G$52/4)-'Sell-Compute'!$B$41-'Sell-Compute'!$B$44-'Sell-Compute'!$B$45-IF(AND(MOD(H$51,'Sell-Compute'!$C$21)=0,H$51&lt;Rates!$D$71),'Sell-Compute'!$B$34*($G$52/4),0),0)</f>
        <v/>
      </c>
      <c r="I71" s="68">
        <f>IF(I$51&lt;=Rates!$D$71,('Sell-Compute'!$B$40*(1+'Sell-Compute'!$B$50)^MOD(I$51-1,'Sell-Compute'!$C$21)-'Sell-Compute'!$B$42-'Sell-Compute'!$B$43)*($G$52/4)-'Sell-Compute'!$B$41-'Sell-Compute'!$B$44-'Sell-Compute'!$B$45-IF(AND(MOD(I$51,'Sell-Compute'!$C$21)=0,I$51&lt;Rates!$D$71),'Sell-Compute'!$B$34*($G$52/4),0),0)</f>
        <v/>
      </c>
      <c r="J71" s="68">
        <f>IF(J$51&lt;=Rates!$D$71,('Sell-Compute'!$B$40*(1+'Sell-Compute'!$B$50)^MOD(J$51-1,'Sell-Compute'!$C$21)-'Sell-Compute'!$B$42-'Sell-Compute'!$B$43)*($G$52/4)-'Sell-Compute'!$B$41-'Sell-Compute'!$B$44-'Sell-Compute'!$B$45-IF(AND(MOD(J$51,'Sell-Compute'!$C$21)=0,J$51&lt;Rates!$D$71),'Sell-Compute'!$B$34*($G$52/4),0),0)</f>
        <v/>
      </c>
      <c r="K71" s="68">
        <f>IF(K$51&lt;=Rates!$D$71,('Sell-Compute'!$B$40*(1+'Sell-Compute'!$B$50)^MOD(K$51-1,'Sell-Compute'!$C$21)-'Sell-Compute'!$B$42-'Sell-Compute'!$B$43)*($G$52/4)-'Sell-Compute'!$B$41-'Sell-Compute'!$B$44-'Sell-Compute'!$B$45-IF(AND(MOD(K$51,'Sell-Compute'!$C$21)=0,K$51&lt;Rates!$D$71),'Sell-Compute'!$B$34*($G$52/4),0),0)</f>
        <v/>
      </c>
      <c r="L71" s="68">
        <f>IF(L$51&lt;=Rates!$D$71,('Sell-Compute'!$B$40*(1+'Sell-Compute'!$B$50)^MOD(L$51-1,'Sell-Compute'!$C$21)-'Sell-Compute'!$B$42-'Sell-Compute'!$B$43)*($G$52/4)-'Sell-Compute'!$B$41-'Sell-Compute'!$B$44-'Sell-Compute'!$B$45-IF(AND(MOD(L$51,'Sell-Compute'!$C$21)=0,L$51&lt;Rates!$D$71),'Sell-Compute'!$B$34*($G$52/4),0),0)</f>
        <v/>
      </c>
      <c r="M71" s="68">
        <f>IF(M$51&lt;=Rates!$D$71,('Sell-Compute'!$B$40*(1+'Sell-Compute'!$B$50)^MOD(M$51-1,'Sell-Compute'!$C$21)-'Sell-Compute'!$B$42-'Sell-Compute'!$B$43)*($G$52/4)-'Sell-Compute'!$B$41-'Sell-Compute'!$B$44-'Sell-Compute'!$B$45-IF(AND(MOD(M$51,'Sell-Compute'!$C$21)=0,M$51&lt;Rates!$D$71),'Sell-Compute'!$B$34*($G$52/4),0),0)</f>
        <v/>
      </c>
      <c r="N71" s="68">
        <f>IF(N$51&lt;=Rates!$D$71,('Sell-Compute'!$B$40*(1+'Sell-Compute'!$B$50)^MOD(N$51-1,'Sell-Compute'!$C$21)-'Sell-Compute'!$B$42-'Sell-Compute'!$B$43)*($G$52/4)-'Sell-Compute'!$B$41-'Sell-Compute'!$B$44-'Sell-Compute'!$B$45-IF(AND(MOD(N$51,'Sell-Compute'!$C$21)=0,N$51&lt;Rates!$D$71),'Sell-Compute'!$B$34*($G$52/4),0),0)</f>
        <v/>
      </c>
      <c r="O71" s="68">
        <f>IF(O$51&lt;=Rates!$D$71,('Sell-Compute'!$B$40*(1+'Sell-Compute'!$B$50)^MOD(O$51-1,'Sell-Compute'!$C$21)-'Sell-Compute'!$B$42-'Sell-Compute'!$B$43)*($G$52/4)-'Sell-Compute'!$B$41-'Sell-Compute'!$B$44-'Sell-Compute'!$B$45-IF(AND(MOD(O$51,'Sell-Compute'!$C$21)=0,O$51&lt;Rates!$D$71),'Sell-Compute'!$B$34*($G$52/4),0),0)</f>
        <v/>
      </c>
      <c r="P71" s="68">
        <f>IF(P$51&lt;=Rates!$D$71,('Sell-Compute'!$B$40*(1+'Sell-Compute'!$B$50)^MOD(P$51-1,'Sell-Compute'!$C$21)-'Sell-Compute'!$B$42-'Sell-Compute'!$B$43)*($G$52/4)-'Sell-Compute'!$B$41-'Sell-Compute'!$B$44-'Sell-Compute'!$B$45-IF(AND(MOD(P$51,'Sell-Compute'!$C$21)=0,P$51&lt;Rates!$D$71),'Sell-Compute'!$B$34*($G$52/4),0),0)</f>
        <v/>
      </c>
      <c r="Q71" s="68">
        <f>IF(Q$51&lt;=Rates!$D$71,('Sell-Compute'!$B$40*(1+'Sell-Compute'!$B$50)^MOD(Q$51-1,'Sell-Compute'!$C$21)-'Sell-Compute'!$B$42-'Sell-Compute'!$B$43)*($G$52/4)-'Sell-Compute'!$B$41-'Sell-Compute'!$B$44-'Sell-Compute'!$B$45-IF(AND(MOD(Q$51,'Sell-Compute'!$C$21)=0,Q$51&lt;Rates!$D$71),'Sell-Compute'!$B$34*($G$52/4),0),0)</f>
        <v/>
      </c>
      <c r="R71" s="68">
        <f>IF(R$51&lt;=Rates!$D$71,('Sell-Compute'!$B$40*(1+'Sell-Compute'!$B$50)^MOD(R$51-1,'Sell-Compute'!$C$21)-'Sell-Compute'!$B$42-'Sell-Compute'!$B$43)*($G$52/4)-'Sell-Compute'!$B$41-'Sell-Compute'!$B$44-'Sell-Compute'!$B$45-IF(AND(MOD(R$51,'Sell-Compute'!$C$21)=0,R$51&lt;Rates!$D$71),'Sell-Compute'!$B$34*($G$52/4),0),0)</f>
        <v/>
      </c>
      <c r="S71" s="68">
        <f>IF(S$51&lt;=Rates!$D$71,('Sell-Compute'!$B$40*(1+'Sell-Compute'!$B$50)^MOD(S$51-1,'Sell-Compute'!$C$21)-'Sell-Compute'!$B$42-'Sell-Compute'!$B$43)*($G$52/4)-'Sell-Compute'!$B$41-'Sell-Compute'!$B$44-'Sell-Compute'!$B$45-IF(AND(MOD(S$51,'Sell-Compute'!$C$21)=0,S$51&lt;Rates!$D$71),'Sell-Compute'!$B$34*($G$52/4),0),0)</f>
        <v/>
      </c>
      <c r="T71" s="68">
        <f>IF(T$51&lt;=Rates!$D$71,('Sell-Compute'!$B$40*(1+'Sell-Compute'!$B$50)^MOD(T$51-1,'Sell-Compute'!$C$21)-'Sell-Compute'!$B$42-'Sell-Compute'!$B$43)*($G$52/4)-'Sell-Compute'!$B$41-'Sell-Compute'!$B$44-'Sell-Compute'!$B$45-IF(AND(MOD(T$51,'Sell-Compute'!$C$21)=0,T$51&lt;Rates!$D$71),'Sell-Compute'!$B$34*($G$52/4),0),0)</f>
        <v/>
      </c>
      <c r="U71" s="68">
        <f>IF(U$51&lt;=Rates!$D$71,('Sell-Compute'!$B$40*(1+'Sell-Compute'!$B$50)^MOD(U$51-1,'Sell-Compute'!$C$21)-'Sell-Compute'!$B$42-'Sell-Compute'!$B$43)*($G$52/4)-'Sell-Compute'!$B$41-'Sell-Compute'!$B$44-'Sell-Compute'!$B$45-IF(AND(MOD(U$51,'Sell-Compute'!$C$21)=0,U$51&lt;Rates!$D$71),'Sell-Compute'!$B$34*($G$52/4),0),0)</f>
        <v/>
      </c>
      <c r="V71" s="68">
        <f>IF(V$51&lt;=Rates!$D$71,('Sell-Compute'!$B$40*(1+'Sell-Compute'!$B$50)^MOD(V$51-1,'Sell-Compute'!$C$21)-'Sell-Compute'!$B$42-'Sell-Compute'!$B$43)*($G$52/4)-'Sell-Compute'!$B$41-'Sell-Compute'!$B$44-'Sell-Compute'!$B$45-IF(AND(MOD(V$51,'Sell-Compute'!$C$21)=0,V$51&lt;Rates!$D$71),'Sell-Compute'!$B$34*($G$52/4),0),0)</f>
        <v/>
      </c>
      <c r="W71" s="68">
        <f>IF(W$51&lt;=Rates!$D$71,('Sell-Compute'!$B$40*(1+'Sell-Compute'!$B$50)^MOD(W$51-1,'Sell-Compute'!$C$21)-'Sell-Compute'!$B$42-'Sell-Compute'!$B$43)*($G$52/4)-'Sell-Compute'!$B$41-'Sell-Compute'!$B$44-'Sell-Compute'!$B$45-IF(AND(MOD(W$51,'Sell-Compute'!$C$21)=0,W$51&lt;Rates!$D$71),'Sell-Compute'!$B$34*($G$52/4),0),0)</f>
        <v/>
      </c>
      <c r="X71" s="68">
        <f>IF(X$51&lt;=Rates!$D$71,('Sell-Compute'!$B$40*(1+'Sell-Compute'!$B$50)^MOD(X$51-1,'Sell-Compute'!$C$21)-'Sell-Compute'!$B$42-'Sell-Compute'!$B$43)*($G$52/4)-'Sell-Compute'!$B$41-'Sell-Compute'!$B$44-'Sell-Compute'!$B$45-IF(AND(MOD(X$51,'Sell-Compute'!$C$21)=0,X$51&lt;Rates!$D$71),'Sell-Compute'!$B$34*($G$52/4),0),0)</f>
        <v/>
      </c>
      <c r="Y71" s="68">
        <f>IF(Y$51&lt;=Rates!$D$71,('Sell-Compute'!$B$40*(1+'Sell-Compute'!$B$50)^MOD(Y$51-1,'Sell-Compute'!$C$21)-'Sell-Compute'!$B$42-'Sell-Compute'!$B$43)*($G$52/4)-'Sell-Compute'!$B$41-'Sell-Compute'!$B$44-'Sell-Compute'!$B$45-IF(AND(MOD(Y$51,'Sell-Compute'!$C$21)=0,Y$51&lt;Rates!$D$71),'Sell-Compute'!$B$34*($G$52/4),0),0)</f>
        <v/>
      </c>
      <c r="Z71" s="68">
        <f>IF(Z$51&lt;=Rates!$D$71,('Sell-Compute'!$B$40*(1+'Sell-Compute'!$B$50)^MOD(Z$51-1,'Sell-Compute'!$C$21)-'Sell-Compute'!$B$42-'Sell-Compute'!$B$43)*($G$52/4)-'Sell-Compute'!$B$41-'Sell-Compute'!$B$44-'Sell-Compute'!$B$45-IF(AND(MOD(Z$51,'Sell-Compute'!$C$21)=0,Z$51&lt;Rates!$D$71),'Sell-Compute'!$B$34*($G$52/4),0),0)</f>
        <v/>
      </c>
      <c r="AA71" s="68">
        <f>IF(AA$51&lt;=Rates!$D$71,('Sell-Compute'!$B$40*(1+'Sell-Compute'!$B$50)^MOD(AA$51-1,'Sell-Compute'!$C$21)-'Sell-Compute'!$B$42-'Sell-Compute'!$B$43)*($G$52/4)-'Sell-Compute'!$B$41-'Sell-Compute'!$B$44-'Sell-Compute'!$B$45-IF(AND(MOD(AA$51,'Sell-Compute'!$C$21)=0,AA$51&lt;Rates!$D$71),'Sell-Compute'!$B$34*($G$52/4),0),0)</f>
        <v/>
      </c>
      <c r="AB71" s="68">
        <f>IF(AB$51&lt;=Rates!$D$71,('Sell-Compute'!$B$40*(1+'Sell-Compute'!$B$50)^MOD(AB$51-1,'Sell-Compute'!$C$21)-'Sell-Compute'!$B$42-'Sell-Compute'!$B$43)*($G$52/4)-'Sell-Compute'!$B$41-'Sell-Compute'!$B$44-'Sell-Compute'!$B$45-IF(AND(MOD(AB$51,'Sell-Compute'!$C$21)=0,AB$51&lt;Rates!$D$71),'Sell-Compute'!$B$34*($G$52/4),0),0)</f>
        <v/>
      </c>
    </row>
    <row r="72">
      <c r="A72" s="68" t="inlineStr">
        <is>
          <t>(c) Build fewer modules | colo</t>
        </is>
      </c>
      <c r="C72" s="68">
        <f>-'Sell-Compute'!$I$36+(1-($G$52/4))*('AU-Route'!$B$31*(1+Control!$B$13))</f>
        <v/>
      </c>
      <c r="D72" s="68">
        <f>IF(D$51&lt;=Rates!$D$71,'Sell-Compute'!$I$46-'Sell-Compute'!$I$40*(1-($G$52/4)),0)</f>
        <v/>
      </c>
      <c r="E72" s="68">
        <f>IF(E$51&lt;=Rates!$D$71,'Sell-Compute'!$I$46-'Sell-Compute'!$I$40*(1-($G$52/4)),0)</f>
        <v/>
      </c>
      <c r="F72" s="68">
        <f>IF(F$51&lt;=Rates!$D$71,'Sell-Compute'!$I$46-'Sell-Compute'!$I$40*(1-($G$52/4)),0)</f>
        <v/>
      </c>
      <c r="G72" s="68">
        <f>IF(G$51&lt;=Rates!$D$71,'Sell-Compute'!$I$46-'Sell-Compute'!$I$40*(1-($G$52/4)),0)</f>
        <v/>
      </c>
      <c r="H72" s="68">
        <f>IF(H$51&lt;=Rates!$D$71,'Sell-Compute'!$I$46-'Sell-Compute'!$I$40*(1-($G$52/4)),0)</f>
        <v/>
      </c>
      <c r="I72" s="68">
        <f>IF(I$51&lt;=Rates!$D$71,'Sell-Compute'!$I$46-'Sell-Compute'!$I$40*(1-($G$52/4)),0)</f>
        <v/>
      </c>
      <c r="J72" s="68">
        <f>IF(J$51&lt;=Rates!$D$71,'Sell-Compute'!$I$46-'Sell-Compute'!$I$40*(1-($G$52/4)),0)</f>
        <v/>
      </c>
      <c r="K72" s="68">
        <f>IF(K$51&lt;=Rates!$D$71,'Sell-Compute'!$I$46-'Sell-Compute'!$I$40*(1-($G$52/4)),0)</f>
        <v/>
      </c>
      <c r="L72" s="68">
        <f>IF(L$51&lt;=Rates!$D$71,'Sell-Compute'!$I$46-'Sell-Compute'!$I$40*(1-($G$52/4)),0)</f>
        <v/>
      </c>
      <c r="M72" s="68">
        <f>IF(M$51&lt;=Rates!$D$71,'Sell-Compute'!$I$46-'Sell-Compute'!$I$40*(1-($G$52/4)),0)</f>
        <v/>
      </c>
      <c r="N72" s="68">
        <f>IF(N$51&lt;=Rates!$D$71,'Sell-Compute'!$I$46-'Sell-Compute'!$I$40*(1-($G$52/4)),0)</f>
        <v/>
      </c>
      <c r="O72" s="68">
        <f>IF(O$51&lt;=Rates!$D$71,'Sell-Compute'!$I$46-'Sell-Compute'!$I$40*(1-($G$52/4)),0)</f>
        <v/>
      </c>
      <c r="P72" s="68">
        <f>IF(P$51&lt;=Rates!$D$71,'Sell-Compute'!$I$46-'Sell-Compute'!$I$40*(1-($G$52/4)),0)</f>
        <v/>
      </c>
      <c r="Q72" s="68">
        <f>IF(Q$51&lt;=Rates!$D$71,'Sell-Compute'!$I$46-'Sell-Compute'!$I$40*(1-($G$52/4)),0)</f>
        <v/>
      </c>
      <c r="R72" s="68">
        <f>IF(R$51&lt;=Rates!$D$71,'Sell-Compute'!$I$46-'Sell-Compute'!$I$40*(1-($G$52/4)),0)</f>
        <v/>
      </c>
      <c r="S72" s="68">
        <f>IF(S$51&lt;=Rates!$D$71,'Sell-Compute'!$I$46-'Sell-Compute'!$I$40*(1-($G$52/4)),0)</f>
        <v/>
      </c>
      <c r="T72" s="68">
        <f>IF(T$51&lt;=Rates!$D$71,'Sell-Compute'!$I$46-'Sell-Compute'!$I$40*(1-($G$52/4)),0)</f>
        <v/>
      </c>
      <c r="U72" s="68">
        <f>IF(U$51&lt;=Rates!$D$71,'Sell-Compute'!$I$46-'Sell-Compute'!$I$40*(1-($G$52/4)),0)</f>
        <v/>
      </c>
      <c r="V72" s="68">
        <f>IF(V$51&lt;=Rates!$D$71,'Sell-Compute'!$I$46-'Sell-Compute'!$I$40*(1-($G$52/4)),0)</f>
        <v/>
      </c>
      <c r="W72" s="68">
        <f>IF(W$51&lt;=Rates!$D$71,'Sell-Compute'!$I$46-'Sell-Compute'!$I$40*(1-($G$52/4)),0)</f>
        <v/>
      </c>
      <c r="X72" s="68">
        <f>IF(X$51&lt;=Rates!$D$71,'Sell-Compute'!$I$46-'Sell-Compute'!$I$40*(1-($G$52/4)),0)</f>
        <v/>
      </c>
      <c r="Y72" s="68">
        <f>IF(Y$51&lt;=Rates!$D$71,'Sell-Compute'!$I$46-'Sell-Compute'!$I$40*(1-($G$52/4)),0)</f>
        <v/>
      </c>
      <c r="Z72" s="68">
        <f>IF(Z$51&lt;=Rates!$D$71,'Sell-Compute'!$I$46-'Sell-Compute'!$I$40*(1-($G$52/4)),0)</f>
        <v/>
      </c>
      <c r="AA72" s="68">
        <f>IF(AA$51&lt;=Rates!$D$71,'Sell-Compute'!$I$46-'Sell-Compute'!$I$40*(1-($G$52/4)),0)</f>
        <v/>
      </c>
      <c r="AB72" s="68">
        <f>IF(AB$51&lt;=Rates!$D$71,'Sell-Compute'!$I$46-'Sell-Compute'!$I$40*(1-($G$52/4)),0)</f>
        <v/>
      </c>
    </row>
    <row r="73"/>
    <row r="74">
      <c r="A74" s="68" t="inlineStr">
        <is>
          <t>rate: EGS target 0.65 degC/yr</t>
        </is>
      </c>
      <c r="B74" s="123">
        <f>Decline!$C$7</f>
        <v/>
      </c>
      <c r="D74" s="68" t="inlineStr">
        <is>
          <t>k (a)</t>
        </is>
      </c>
      <c r="E74" s="68">
        <f>IF(AA$75&lt;=0,"not feasible",MAX(0,CEILING(Decline!$C$20/AA$75-1E-9,1)-Decline!$C$19))</f>
        <v/>
      </c>
      <c r="F74" s="68" t="inlineStr">
        <is>
          <t>N (c)</t>
        </is>
      </c>
      <c r="G74" s="68">
        <f>MAX(0,MIN(4,INT(MIN(Decline!$C$20,Decline!$C$19*MAX(0,AA$75))*Decline!$C$21/Decline!$C$22+1E-9)))</f>
        <v/>
      </c>
    </row>
    <row r="75">
      <c r="A75" s="68" t="inlineStr">
        <is>
          <t>capability per producer by age (MW net)</t>
        </is>
      </c>
      <c r="C75" s="68">
        <f>(Rates!$D$66*((Decline!$C$15-$B$74*C$51)-Decline!$C$16-(Decline!$C$16+273.15)*LN(((Decline!$C$15-$B$74*C$51)+273.15)/(Decline!$C$16+273.15)))/Decline!$C$23*Decline!$C$24-Decline!$C$25)</f>
        <v/>
      </c>
      <c r="D75" s="68">
        <f>(Rates!$D$66*((Decline!$C$15-$B$74*D$51)-Decline!$C$16-(Decline!$C$16+273.15)*LN(((Decline!$C$15-$B$74*D$51)+273.15)/(Decline!$C$16+273.15)))/Decline!$C$23*Decline!$C$24-Decline!$C$25)</f>
        <v/>
      </c>
      <c r="E75" s="68">
        <f>(Rates!$D$66*((Decline!$C$15-$B$74*E$51)-Decline!$C$16-(Decline!$C$16+273.15)*LN(((Decline!$C$15-$B$74*E$51)+273.15)/(Decline!$C$16+273.15)))/Decline!$C$23*Decline!$C$24-Decline!$C$25)</f>
        <v/>
      </c>
      <c r="F75" s="68">
        <f>(Rates!$D$66*((Decline!$C$15-$B$74*F$51)-Decline!$C$16-(Decline!$C$16+273.15)*LN(((Decline!$C$15-$B$74*F$51)+273.15)/(Decline!$C$16+273.15)))/Decline!$C$23*Decline!$C$24-Decline!$C$25)</f>
        <v/>
      </c>
      <c r="G75" s="68">
        <f>(Rates!$D$66*((Decline!$C$15-$B$74*G$51)-Decline!$C$16-(Decline!$C$16+273.15)*LN(((Decline!$C$15-$B$74*G$51)+273.15)/(Decline!$C$16+273.15)))/Decline!$C$23*Decline!$C$24-Decline!$C$25)</f>
        <v/>
      </c>
      <c r="H75" s="68">
        <f>(Rates!$D$66*((Decline!$C$15-$B$74*H$51)-Decline!$C$16-(Decline!$C$16+273.15)*LN(((Decline!$C$15-$B$74*H$51)+273.15)/(Decline!$C$16+273.15)))/Decline!$C$23*Decline!$C$24-Decline!$C$25)</f>
        <v/>
      </c>
      <c r="I75" s="68">
        <f>(Rates!$D$66*((Decline!$C$15-$B$74*I$51)-Decline!$C$16-(Decline!$C$16+273.15)*LN(((Decline!$C$15-$B$74*I$51)+273.15)/(Decline!$C$16+273.15)))/Decline!$C$23*Decline!$C$24-Decline!$C$25)</f>
        <v/>
      </c>
      <c r="J75" s="68">
        <f>(Rates!$D$66*((Decline!$C$15-$B$74*J$51)-Decline!$C$16-(Decline!$C$16+273.15)*LN(((Decline!$C$15-$B$74*J$51)+273.15)/(Decline!$C$16+273.15)))/Decline!$C$23*Decline!$C$24-Decline!$C$25)</f>
        <v/>
      </c>
      <c r="K75" s="68">
        <f>(Rates!$D$66*((Decline!$C$15-$B$74*K$51)-Decline!$C$16-(Decline!$C$16+273.15)*LN(((Decline!$C$15-$B$74*K$51)+273.15)/(Decline!$C$16+273.15)))/Decline!$C$23*Decline!$C$24-Decline!$C$25)</f>
        <v/>
      </c>
      <c r="L75" s="68">
        <f>(Rates!$D$66*((Decline!$C$15-$B$74*L$51)-Decline!$C$16-(Decline!$C$16+273.15)*LN(((Decline!$C$15-$B$74*L$51)+273.15)/(Decline!$C$16+273.15)))/Decline!$C$23*Decline!$C$24-Decline!$C$25)</f>
        <v/>
      </c>
      <c r="M75" s="68">
        <f>(Rates!$D$66*((Decline!$C$15-$B$74*M$51)-Decline!$C$16-(Decline!$C$16+273.15)*LN(((Decline!$C$15-$B$74*M$51)+273.15)/(Decline!$C$16+273.15)))/Decline!$C$23*Decline!$C$24-Decline!$C$25)</f>
        <v/>
      </c>
      <c r="N75" s="68">
        <f>(Rates!$D$66*((Decline!$C$15-$B$74*N$51)-Decline!$C$16-(Decline!$C$16+273.15)*LN(((Decline!$C$15-$B$74*N$51)+273.15)/(Decline!$C$16+273.15)))/Decline!$C$23*Decline!$C$24-Decline!$C$25)</f>
        <v/>
      </c>
      <c r="O75" s="68">
        <f>(Rates!$D$66*((Decline!$C$15-$B$74*O$51)-Decline!$C$16-(Decline!$C$16+273.15)*LN(((Decline!$C$15-$B$74*O$51)+273.15)/(Decline!$C$16+273.15)))/Decline!$C$23*Decline!$C$24-Decline!$C$25)</f>
        <v/>
      </c>
      <c r="P75" s="68">
        <f>(Rates!$D$66*((Decline!$C$15-$B$74*P$51)-Decline!$C$16-(Decline!$C$16+273.15)*LN(((Decline!$C$15-$B$74*P$51)+273.15)/(Decline!$C$16+273.15)))/Decline!$C$23*Decline!$C$24-Decline!$C$25)</f>
        <v/>
      </c>
      <c r="Q75" s="68">
        <f>(Rates!$D$66*((Decline!$C$15-$B$74*Q$51)-Decline!$C$16-(Decline!$C$16+273.15)*LN(((Decline!$C$15-$B$74*Q$51)+273.15)/(Decline!$C$16+273.15)))/Decline!$C$23*Decline!$C$24-Decline!$C$25)</f>
        <v/>
      </c>
      <c r="R75" s="68">
        <f>(Rates!$D$66*((Decline!$C$15-$B$74*R$51)-Decline!$C$16-(Decline!$C$16+273.15)*LN(((Decline!$C$15-$B$74*R$51)+273.15)/(Decline!$C$16+273.15)))/Decline!$C$23*Decline!$C$24-Decline!$C$25)</f>
        <v/>
      </c>
      <c r="S75" s="68">
        <f>(Rates!$D$66*((Decline!$C$15-$B$74*S$51)-Decline!$C$16-(Decline!$C$16+273.15)*LN(((Decline!$C$15-$B$74*S$51)+273.15)/(Decline!$C$16+273.15)))/Decline!$C$23*Decline!$C$24-Decline!$C$25)</f>
        <v/>
      </c>
      <c r="T75" s="68">
        <f>(Rates!$D$66*((Decline!$C$15-$B$74*T$51)-Decline!$C$16-(Decline!$C$16+273.15)*LN(((Decline!$C$15-$B$74*T$51)+273.15)/(Decline!$C$16+273.15)))/Decline!$C$23*Decline!$C$24-Decline!$C$25)</f>
        <v/>
      </c>
      <c r="U75" s="68">
        <f>(Rates!$D$66*((Decline!$C$15-$B$74*U$51)-Decline!$C$16-(Decline!$C$16+273.15)*LN(((Decline!$C$15-$B$74*U$51)+273.15)/(Decline!$C$16+273.15)))/Decline!$C$23*Decline!$C$24-Decline!$C$25)</f>
        <v/>
      </c>
      <c r="V75" s="68">
        <f>(Rates!$D$66*((Decline!$C$15-$B$74*V$51)-Decline!$C$16-(Decline!$C$16+273.15)*LN(((Decline!$C$15-$B$74*V$51)+273.15)/(Decline!$C$16+273.15)))/Decline!$C$23*Decline!$C$24-Decline!$C$25)</f>
        <v/>
      </c>
      <c r="W75" s="68">
        <f>(Rates!$D$66*((Decline!$C$15-$B$74*W$51)-Decline!$C$16-(Decline!$C$16+273.15)*LN(((Decline!$C$15-$B$74*W$51)+273.15)/(Decline!$C$16+273.15)))/Decline!$C$23*Decline!$C$24-Decline!$C$25)</f>
        <v/>
      </c>
      <c r="X75" s="68">
        <f>(Rates!$D$66*((Decline!$C$15-$B$74*X$51)-Decline!$C$16-(Decline!$C$16+273.15)*LN(((Decline!$C$15-$B$74*X$51)+273.15)/(Decline!$C$16+273.15)))/Decline!$C$23*Decline!$C$24-Decline!$C$25)</f>
        <v/>
      </c>
      <c r="Y75" s="68">
        <f>(Rates!$D$66*((Decline!$C$15-$B$74*Y$51)-Decline!$C$16-(Decline!$C$16+273.15)*LN(((Decline!$C$15-$B$74*Y$51)+273.15)/(Decline!$C$16+273.15)))/Decline!$C$23*Decline!$C$24-Decline!$C$25)</f>
        <v/>
      </c>
      <c r="Z75" s="68">
        <f>(Rates!$D$66*((Decline!$C$15-$B$74*Z$51)-Decline!$C$16-(Decline!$C$16+273.15)*LN(((Decline!$C$15-$B$74*Z$51)+273.15)/(Decline!$C$16+273.15)))/Decline!$C$23*Decline!$C$24-Decline!$C$25)</f>
        <v/>
      </c>
      <c r="AA75" s="68">
        <f>(Rates!$D$66*((Decline!$C$15-$B$74*AA$51)-Decline!$C$16-(Decline!$C$16+273.15)*LN(((Decline!$C$15-$B$74*AA$51)+273.15)/(Decline!$C$16+273.15)))/Decline!$C$23*Decline!$C$24-Decline!$C$25)</f>
        <v/>
      </c>
      <c r="AB75" s="68">
        <f>(Rates!$D$66*((Decline!$C$15-$B$74*AB$51)-Decline!$C$16-(Decline!$C$16+273.15)*LN(((Decline!$C$15-$B$74*AB$51)+273.15)/(Decline!$C$16+273.15)))/Decline!$C$23*Decline!$C$24-Decline!$C$25)</f>
        <v/>
      </c>
    </row>
    <row r="76">
      <c r="A76" s="68" t="inlineStr">
        <is>
          <t>(b) capability before new wells</t>
        </is>
      </c>
      <c r="D76" s="68">
        <f>Decline!$C$19*C$75</f>
        <v/>
      </c>
      <c r="E76" s="68">
        <f>Decline!$C$19*D$75</f>
        <v/>
      </c>
      <c r="F76" s="68">
        <f>Decline!$C$19*E$75+E77*D$75</f>
        <v/>
      </c>
      <c r="G76" s="68">
        <f>Decline!$C$19*F$75+E77*E$75+F77*D$75</f>
        <v/>
      </c>
      <c r="H76" s="68">
        <f>Decline!$C$19*G$75+E77*F$75+F77*E$75+G77*D$75</f>
        <v/>
      </c>
      <c r="I76" s="68">
        <f>Decline!$C$19*H$75+E77*G$75+F77*F$75+G77*E$75+H77*D$75</f>
        <v/>
      </c>
      <c r="J76" s="68">
        <f>Decline!$C$19*I$75+E77*H$75+F77*G$75+G77*F$75+H77*E$75+I77*D$75</f>
        <v/>
      </c>
      <c r="K76" s="68">
        <f>Decline!$C$19*J$75+E77*I$75+F77*H$75+G77*G$75+H77*F$75+I77*E$75+J77*D$75</f>
        <v/>
      </c>
      <c r="L76" s="68">
        <f>Decline!$C$19*K$75+E77*J$75+F77*I$75+G77*H$75+H77*G$75+I77*F$75+J77*E$75+K77*D$75</f>
        <v/>
      </c>
      <c r="M76" s="68">
        <f>Decline!$C$19*L$75+E77*K$75+F77*J$75+G77*I$75+H77*H$75+I77*G$75+J77*F$75+K77*E$75+L77*D$75</f>
        <v/>
      </c>
      <c r="N76" s="68">
        <f>Decline!$C$19*M$75+E77*L$75+F77*K$75+G77*J$75+H77*I$75+I77*H$75+J77*G$75+K77*F$75+L77*E$75+M77*D$75</f>
        <v/>
      </c>
      <c r="O76" s="68">
        <f>Decline!$C$19*N$75+E77*M$75+F77*L$75+G77*K$75+H77*J$75+I77*I$75+J77*H$75+K77*G$75+L77*F$75+M77*E$75+N77*D$75</f>
        <v/>
      </c>
      <c r="P76" s="68">
        <f>Decline!$C$19*O$75+E77*N$75+F77*M$75+G77*L$75+H77*K$75+I77*J$75+J77*I$75+K77*H$75+L77*G$75+M77*F$75+N77*E$75+O77*D$75</f>
        <v/>
      </c>
      <c r="Q76" s="68">
        <f>Decline!$C$19*P$75+E77*O$75+F77*N$75+G77*M$75+H77*L$75+I77*K$75+J77*J$75+K77*I$75+L77*H$75+M77*G$75+N77*F$75+O77*E$75+P77*D$75</f>
        <v/>
      </c>
      <c r="R76" s="68">
        <f>Decline!$C$19*Q$75+E77*P$75+F77*O$75+G77*N$75+H77*M$75+I77*L$75+J77*K$75+K77*J$75+L77*I$75+M77*H$75+N77*G$75+O77*F$75+P77*E$75+Q77*D$75</f>
        <v/>
      </c>
      <c r="S76" s="68">
        <f>Decline!$C$19*R$75+E77*Q$75+F77*P$75+G77*O$75+H77*N$75+I77*M$75+J77*L$75+K77*K$75+L77*J$75+M77*I$75+N77*H$75+O77*G$75+P77*F$75+Q77*E$75+R77*D$75</f>
        <v/>
      </c>
      <c r="T76" s="68">
        <f>Decline!$C$19*S$75+E77*R$75+F77*Q$75+G77*P$75+H77*O$75+I77*N$75+J77*M$75+K77*L$75+L77*K$75+M77*J$75+N77*I$75+O77*H$75+P77*G$75+Q77*F$75+R77*E$75+S77*D$75</f>
        <v/>
      </c>
      <c r="U76" s="68">
        <f>Decline!$C$19*T$75+E77*S$75+F77*R$75+G77*Q$75+H77*P$75+I77*O$75+J77*N$75+K77*M$75+L77*L$75+M77*K$75+N77*J$75+O77*I$75+P77*H$75+Q77*G$75+R77*F$75+S77*E$75+T77*D$75</f>
        <v/>
      </c>
      <c r="V76" s="68">
        <f>Decline!$C$19*U$75+E77*T$75+F77*S$75+G77*R$75+H77*Q$75+I77*P$75+J77*O$75+K77*N$75+L77*M$75+M77*L$75+N77*K$75+O77*J$75+P77*I$75+Q77*H$75+R77*G$75+S77*F$75+T77*E$75+U77*D$75</f>
        <v/>
      </c>
      <c r="W76" s="68">
        <f>Decline!$C$19*V$75+E77*U$75+F77*T$75+G77*S$75+H77*R$75+I77*Q$75+J77*P$75+K77*O$75+L77*N$75+M77*M$75+N77*L$75+O77*K$75+P77*J$75+Q77*I$75+R77*H$75+S77*G$75+T77*F$75+U77*E$75+V77*D$75</f>
        <v/>
      </c>
      <c r="X76" s="68">
        <f>Decline!$C$19*W$75+E77*V$75+F77*U$75+G77*T$75+H77*S$75+I77*R$75+J77*Q$75+K77*P$75+L77*O$75+M77*N$75+N77*M$75+O77*L$75+P77*K$75+Q77*J$75+R77*I$75+S77*H$75+T77*G$75+U77*F$75+V77*E$75+W77*D$75</f>
        <v/>
      </c>
      <c r="Y76" s="68">
        <f>Decline!$C$19*X$75+E77*W$75+F77*V$75+G77*U$75+H77*T$75+I77*S$75+J77*R$75+K77*Q$75+L77*P$75+M77*O$75+N77*N$75+O77*M$75+P77*L$75+Q77*K$75+R77*J$75+S77*I$75+T77*H$75+U77*G$75+V77*F$75+W77*E$75+X77*D$75</f>
        <v/>
      </c>
      <c r="Z76" s="68">
        <f>Decline!$C$19*Y$75+E77*X$75+F77*W$75+G77*V$75+H77*U$75+I77*T$75+J77*S$75+K77*R$75+L77*Q$75+M77*P$75+N77*O$75+O77*N$75+P77*M$75+Q77*L$75+R77*K$75+S77*J$75+T77*I$75+U77*H$75+V77*G$75+W77*F$75+X77*E$75+Y77*D$75</f>
        <v/>
      </c>
      <c r="AA76" s="68">
        <f>Decline!$C$19*Z$75+E77*Y$75+F77*X$75+G77*W$75+H77*V$75+I77*U$75+J77*T$75+K77*S$75+L77*R$75+M77*Q$75+N77*P$75+O77*O$75+P77*N$75+Q77*M$75+R77*L$75+S77*K$75+T77*J$75+U77*I$75+V77*H$75+W77*G$75+X77*F$75+Y77*E$75+Z77*D$75</f>
        <v/>
      </c>
      <c r="AB76" s="68">
        <f>Decline!$C$19*AA$75+E77*Z$75+F77*Y$75+G77*X$75+H77*W$75+I77*V$75+J77*U$75+K77*T$75+L77*S$75+M77*R$75+N77*Q$75+O77*P$75+P77*O$75+Q77*N$75+R77*M$75+S77*L$75+T77*K$75+U77*J$75+V77*I$75+W77*H$75+X77*G$75+Y77*F$75+Z77*E$75+AA77*D$75</f>
        <v/>
      </c>
    </row>
    <row r="77">
      <c r="A77" s="68" t="inlineStr">
        <is>
          <t>(b) doublets online this year</t>
        </is>
      </c>
      <c r="C77" s="68" t="n">
        <v>0</v>
      </c>
      <c r="D77" s="68" t="n">
        <v>0</v>
      </c>
      <c r="E77" s="68">
        <f>IF(E76&lt;Decline!$C$20-1E-9,IF(C$75&lt;=0,0,CEILING((Decline!$C$20-E76)/C$75,1)),0)</f>
        <v/>
      </c>
      <c r="F77" s="68">
        <f>IF(F76&lt;Decline!$C$20-1E-9,IF(C$75&lt;=0,0,CEILING((Decline!$C$20-F76)/C$75,1)),0)</f>
        <v/>
      </c>
      <c r="G77" s="68">
        <f>IF(G76&lt;Decline!$C$20-1E-9,IF(C$75&lt;=0,0,CEILING((Decline!$C$20-G76)/C$75,1)),0)</f>
        <v/>
      </c>
      <c r="H77" s="68">
        <f>IF(H76&lt;Decline!$C$20-1E-9,IF(C$75&lt;=0,0,CEILING((Decline!$C$20-H76)/C$75,1)),0)</f>
        <v/>
      </c>
      <c r="I77" s="68">
        <f>IF(I76&lt;Decline!$C$20-1E-9,IF(C$75&lt;=0,0,CEILING((Decline!$C$20-I76)/C$75,1)),0)</f>
        <v/>
      </c>
      <c r="J77" s="68">
        <f>IF(J76&lt;Decline!$C$20-1E-9,IF(C$75&lt;=0,0,CEILING((Decline!$C$20-J76)/C$75,1)),0)</f>
        <v/>
      </c>
      <c r="K77" s="68">
        <f>IF(K76&lt;Decline!$C$20-1E-9,IF(C$75&lt;=0,0,CEILING((Decline!$C$20-K76)/C$75,1)),0)</f>
        <v/>
      </c>
      <c r="L77" s="68">
        <f>IF(L76&lt;Decline!$C$20-1E-9,IF(C$75&lt;=0,0,CEILING((Decline!$C$20-L76)/C$75,1)),0)</f>
        <v/>
      </c>
      <c r="M77" s="68">
        <f>IF(M76&lt;Decline!$C$20-1E-9,IF(C$75&lt;=0,0,CEILING((Decline!$C$20-M76)/C$75,1)),0)</f>
        <v/>
      </c>
      <c r="N77" s="68">
        <f>IF(N76&lt;Decline!$C$20-1E-9,IF(C$75&lt;=0,0,CEILING((Decline!$C$20-N76)/C$75,1)),0)</f>
        <v/>
      </c>
      <c r="O77" s="68">
        <f>IF(O76&lt;Decline!$C$20-1E-9,IF(C$75&lt;=0,0,CEILING((Decline!$C$20-O76)/C$75,1)),0)</f>
        <v/>
      </c>
      <c r="P77" s="68">
        <f>IF(P76&lt;Decline!$C$20-1E-9,IF(C$75&lt;=0,0,CEILING((Decline!$C$20-P76)/C$75,1)),0)</f>
        <v/>
      </c>
      <c r="Q77" s="68">
        <f>IF(Q76&lt;Decline!$C$20-1E-9,IF(C$75&lt;=0,0,CEILING((Decline!$C$20-Q76)/C$75,1)),0)</f>
        <v/>
      </c>
      <c r="R77" s="68">
        <f>IF(R76&lt;Decline!$C$20-1E-9,IF(C$75&lt;=0,0,CEILING((Decline!$C$20-R76)/C$75,1)),0)</f>
        <v/>
      </c>
      <c r="S77" s="68">
        <f>IF(S76&lt;Decline!$C$20-1E-9,IF(C$75&lt;=0,0,CEILING((Decline!$C$20-S76)/C$75,1)),0)</f>
        <v/>
      </c>
      <c r="T77" s="68">
        <f>IF(T76&lt;Decline!$C$20-1E-9,IF(C$75&lt;=0,0,CEILING((Decline!$C$20-T76)/C$75,1)),0)</f>
        <v/>
      </c>
      <c r="U77" s="68">
        <f>IF(U76&lt;Decline!$C$20-1E-9,IF(C$75&lt;=0,0,CEILING((Decline!$C$20-U76)/C$75,1)),0)</f>
        <v/>
      </c>
      <c r="V77" s="68">
        <f>IF(V76&lt;Decline!$C$20-1E-9,IF(C$75&lt;=0,0,CEILING((Decline!$C$20-V76)/C$75,1)),0)</f>
        <v/>
      </c>
      <c r="W77" s="68">
        <f>IF(W76&lt;Decline!$C$20-1E-9,IF(C$75&lt;=0,0,CEILING((Decline!$C$20-W76)/C$75,1)),0)</f>
        <v/>
      </c>
      <c r="X77" s="68">
        <f>IF(X76&lt;Decline!$C$20-1E-9,IF(C$75&lt;=0,0,CEILING((Decline!$C$20-X76)/C$75,1)),0)</f>
        <v/>
      </c>
      <c r="Y77" s="68">
        <f>IF(Y76&lt;Decline!$C$20-1E-9,IF(C$75&lt;=0,0,CEILING((Decline!$C$20-Y76)/C$75,1)),0)</f>
        <v/>
      </c>
      <c r="Z77" s="68">
        <f>IF(Z76&lt;Decline!$C$20-1E-9,IF(C$75&lt;=0,0,CEILING((Decline!$C$20-Z76)/C$75,1)),0)</f>
        <v/>
      </c>
      <c r="AA77" s="68">
        <f>IF(AA76&lt;Decline!$C$20-1E-9,IF(C$75&lt;=0,0,CEILING((Decline!$C$20-AA76)/C$75,1)),0)</f>
        <v/>
      </c>
      <c r="AB77" s="68">
        <f>IF(AB76&lt;Decline!$C$20-1E-9,IF(C$75&lt;=0,0,CEILING((Decline!$C$20-AB76)/C$75,1)),0)</f>
        <v/>
      </c>
    </row>
    <row r="78">
      <c r="A78" s="68" t="inlineStr">
        <is>
          <t>(b) capability after</t>
        </is>
      </c>
      <c r="D78" s="68">
        <f>D76+D77*C$75</f>
        <v/>
      </c>
      <c r="E78" s="68">
        <f>E76+E77*C$75</f>
        <v/>
      </c>
      <c r="F78" s="68">
        <f>F76+F77*C$75</f>
        <v/>
      </c>
      <c r="G78" s="68">
        <f>G76+G77*C$75</f>
        <v/>
      </c>
      <c r="H78" s="68">
        <f>H76+H77*C$75</f>
        <v/>
      </c>
      <c r="I78" s="68">
        <f>I76+I77*C$75</f>
        <v/>
      </c>
      <c r="J78" s="68">
        <f>J76+J77*C$75</f>
        <v/>
      </c>
      <c r="K78" s="68">
        <f>K76+K77*C$75</f>
        <v/>
      </c>
      <c r="L78" s="68">
        <f>L76+L77*C$75</f>
        <v/>
      </c>
      <c r="M78" s="68">
        <f>M76+M77*C$75</f>
        <v/>
      </c>
      <c r="N78" s="68">
        <f>N76+N77*C$75</f>
        <v/>
      </c>
      <c r="O78" s="68">
        <f>O76+O77*C$75</f>
        <v/>
      </c>
      <c r="P78" s="68">
        <f>P76+P77*C$75</f>
        <v/>
      </c>
      <c r="Q78" s="68">
        <f>Q76+Q77*C$75</f>
        <v/>
      </c>
      <c r="R78" s="68">
        <f>R76+R77*C$75</f>
        <v/>
      </c>
      <c r="S78" s="68">
        <f>S76+S77*C$75</f>
        <v/>
      </c>
      <c r="T78" s="68">
        <f>T76+T77*C$75</f>
        <v/>
      </c>
      <c r="U78" s="68">
        <f>U76+U77*C$75</f>
        <v/>
      </c>
      <c r="V78" s="68">
        <f>V76+V77*C$75</f>
        <v/>
      </c>
      <c r="W78" s="68">
        <f>W76+W77*C$75</f>
        <v/>
      </c>
      <c r="X78" s="68">
        <f>X76+X77*C$75</f>
        <v/>
      </c>
      <c r="Y78" s="68">
        <f>Y76+Y77*C$75</f>
        <v/>
      </c>
      <c r="Z78" s="68">
        <f>Z76+Z77*C$75</f>
        <v/>
      </c>
      <c r="AA78" s="68">
        <f>AA76+AA77*C$75</f>
        <v/>
      </c>
      <c r="AB78" s="68">
        <f>AB76+AB77*C$75</f>
        <v/>
      </c>
    </row>
    <row r="79">
      <c r="A79" s="68" t="inlineStr">
        <is>
          <t>(b) make-up capex (spent the year before)</t>
        </is>
      </c>
      <c r="C79" s="68">
        <f>IF(D77&gt;0,D77*(2*($C$11+$C$12)*(1+$C$14))+($C$13*(1+$C$14)),0)</f>
        <v/>
      </c>
      <c r="D79" s="68">
        <f>IF(E77&gt;0,E77*(2*($C$11+$C$12)*(1+$C$14))+($C$13*(1+$C$14)),0)</f>
        <v/>
      </c>
      <c r="E79" s="68">
        <f>IF(F77&gt;0,F77*(2*($C$11+$C$12)*(1+$C$14))+($C$13*(1+$C$14)),0)</f>
        <v/>
      </c>
      <c r="F79" s="68">
        <f>IF(G77&gt;0,G77*(2*($C$11+$C$12)*(1+$C$14))+($C$13*(1+$C$14)),0)</f>
        <v/>
      </c>
      <c r="G79" s="68">
        <f>IF(H77&gt;0,H77*(2*($C$11+$C$12)*(1+$C$14))+($C$13*(1+$C$14)),0)</f>
        <v/>
      </c>
      <c r="H79" s="68">
        <f>IF(I77&gt;0,I77*(2*($C$11+$C$12)*(1+$C$14))+($C$13*(1+$C$14)),0)</f>
        <v/>
      </c>
      <c r="I79" s="68">
        <f>IF(J77&gt;0,J77*(2*($C$11+$C$12)*(1+$C$14))+($C$13*(1+$C$14)),0)</f>
        <v/>
      </c>
      <c r="J79" s="68">
        <f>IF(K77&gt;0,K77*(2*($C$11+$C$12)*(1+$C$14))+($C$13*(1+$C$14)),0)</f>
        <v/>
      </c>
      <c r="K79" s="68">
        <f>IF(L77&gt;0,L77*(2*($C$11+$C$12)*(1+$C$14))+($C$13*(1+$C$14)),0)</f>
        <v/>
      </c>
      <c r="L79" s="68">
        <f>IF(M77&gt;0,M77*(2*($C$11+$C$12)*(1+$C$14))+($C$13*(1+$C$14)),0)</f>
        <v/>
      </c>
      <c r="M79" s="68">
        <f>IF(N77&gt;0,N77*(2*($C$11+$C$12)*(1+$C$14))+($C$13*(1+$C$14)),0)</f>
        <v/>
      </c>
      <c r="N79" s="68">
        <f>IF(O77&gt;0,O77*(2*($C$11+$C$12)*(1+$C$14))+($C$13*(1+$C$14)),0)</f>
        <v/>
      </c>
      <c r="O79" s="68">
        <f>IF(P77&gt;0,P77*(2*($C$11+$C$12)*(1+$C$14))+($C$13*(1+$C$14)),0)</f>
        <v/>
      </c>
      <c r="P79" s="68">
        <f>IF(Q77&gt;0,Q77*(2*($C$11+$C$12)*(1+$C$14))+($C$13*(1+$C$14)),0)</f>
        <v/>
      </c>
      <c r="Q79" s="68">
        <f>IF(R77&gt;0,R77*(2*($C$11+$C$12)*(1+$C$14))+($C$13*(1+$C$14)),0)</f>
        <v/>
      </c>
      <c r="R79" s="68">
        <f>IF(S77&gt;0,S77*(2*($C$11+$C$12)*(1+$C$14))+($C$13*(1+$C$14)),0)</f>
        <v/>
      </c>
      <c r="S79" s="68">
        <f>IF(T77&gt;0,T77*(2*($C$11+$C$12)*(1+$C$14))+($C$13*(1+$C$14)),0)</f>
        <v/>
      </c>
      <c r="T79" s="68">
        <f>IF(U77&gt;0,U77*(2*($C$11+$C$12)*(1+$C$14))+($C$13*(1+$C$14)),0)</f>
        <v/>
      </c>
      <c r="U79" s="68">
        <f>IF(V77&gt;0,V77*(2*($C$11+$C$12)*(1+$C$14))+($C$13*(1+$C$14)),0)</f>
        <v/>
      </c>
      <c r="V79" s="68">
        <f>IF(W77&gt;0,W77*(2*($C$11+$C$12)*(1+$C$14))+($C$13*(1+$C$14)),0)</f>
        <v/>
      </c>
      <c r="W79" s="68">
        <f>IF(X77&gt;0,X77*(2*($C$11+$C$12)*(1+$C$14))+($C$13*(1+$C$14)),0)</f>
        <v/>
      </c>
      <c r="X79" s="68">
        <f>IF(Y77&gt;0,Y77*(2*($C$11+$C$12)*(1+$C$14))+($C$13*(1+$C$14)),0)</f>
        <v/>
      </c>
      <c r="Y79" s="68">
        <f>IF(Z77&gt;0,Z77*(2*($C$11+$C$12)*(1+$C$14))+($C$13*(1+$C$14)),0)</f>
        <v/>
      </c>
      <c r="Z79" s="68">
        <f>IF(AA77&gt;0,AA77*(2*($C$11+$C$12)*(1+$C$14))+($C$13*(1+$C$14)),0)</f>
        <v/>
      </c>
      <c r="AA79" s="68">
        <f>IF(AB77&gt;0,AB77*(2*($C$11+$C$12)*(1+$C$14))+($C$13*(1+$C$14)),0)</f>
        <v/>
      </c>
      <c r="AB79" s="68" t="n">
        <v>0</v>
      </c>
    </row>
    <row r="80">
      <c r="A80" s="68" t="inlineStr">
        <is>
          <t>do nothing: lit modules</t>
        </is>
      </c>
      <c r="D80" s="68">
        <f>MAX(0,MIN(4,INT(MIN(Decline!$C$20,Decline!$C$19*C$75)*Decline!$C$21/Decline!$C$22+1E-9)))</f>
        <v/>
      </c>
      <c r="E80" s="68">
        <f>MAX(0,MIN(4,INT(MIN(Decline!$C$20,Decline!$C$19*D$75)*Decline!$C$21/Decline!$C$22+1E-9)))</f>
        <v/>
      </c>
      <c r="F80" s="68">
        <f>MAX(0,MIN(4,INT(MIN(Decline!$C$20,Decline!$C$19*E$75)*Decline!$C$21/Decline!$C$22+1E-9)))</f>
        <v/>
      </c>
      <c r="G80" s="68">
        <f>MAX(0,MIN(4,INT(MIN(Decline!$C$20,Decline!$C$19*F$75)*Decline!$C$21/Decline!$C$22+1E-9)))</f>
        <v/>
      </c>
      <c r="H80" s="68">
        <f>MAX(0,MIN(4,INT(MIN(Decline!$C$20,Decline!$C$19*G$75)*Decline!$C$21/Decline!$C$22+1E-9)))</f>
        <v/>
      </c>
      <c r="I80" s="68">
        <f>MAX(0,MIN(4,INT(MIN(Decline!$C$20,Decline!$C$19*H$75)*Decline!$C$21/Decline!$C$22+1E-9)))</f>
        <v/>
      </c>
      <c r="J80" s="68">
        <f>MAX(0,MIN(4,INT(MIN(Decline!$C$20,Decline!$C$19*I$75)*Decline!$C$21/Decline!$C$22+1E-9)))</f>
        <v/>
      </c>
      <c r="K80" s="68">
        <f>MAX(0,MIN(4,INT(MIN(Decline!$C$20,Decline!$C$19*J$75)*Decline!$C$21/Decline!$C$22+1E-9)))</f>
        <v/>
      </c>
      <c r="L80" s="68">
        <f>MAX(0,MIN(4,INT(MIN(Decline!$C$20,Decline!$C$19*K$75)*Decline!$C$21/Decline!$C$22+1E-9)))</f>
        <v/>
      </c>
      <c r="M80" s="68">
        <f>MAX(0,MIN(4,INT(MIN(Decline!$C$20,Decline!$C$19*L$75)*Decline!$C$21/Decline!$C$22+1E-9)))</f>
        <v/>
      </c>
      <c r="N80" s="68">
        <f>MAX(0,MIN(4,INT(MIN(Decline!$C$20,Decline!$C$19*M$75)*Decline!$C$21/Decline!$C$22+1E-9)))</f>
        <v/>
      </c>
      <c r="O80" s="68">
        <f>MAX(0,MIN(4,INT(MIN(Decline!$C$20,Decline!$C$19*N$75)*Decline!$C$21/Decline!$C$22+1E-9)))</f>
        <v/>
      </c>
      <c r="P80" s="68">
        <f>MAX(0,MIN(4,INT(MIN(Decline!$C$20,Decline!$C$19*O$75)*Decline!$C$21/Decline!$C$22+1E-9)))</f>
        <v/>
      </c>
      <c r="Q80" s="68">
        <f>MAX(0,MIN(4,INT(MIN(Decline!$C$20,Decline!$C$19*P$75)*Decline!$C$21/Decline!$C$22+1E-9)))</f>
        <v/>
      </c>
      <c r="R80" s="68">
        <f>MAX(0,MIN(4,INT(MIN(Decline!$C$20,Decline!$C$19*Q$75)*Decline!$C$21/Decline!$C$22+1E-9)))</f>
        <v/>
      </c>
      <c r="S80" s="68">
        <f>MAX(0,MIN(4,INT(MIN(Decline!$C$20,Decline!$C$19*R$75)*Decline!$C$21/Decline!$C$22+1E-9)))</f>
        <v/>
      </c>
      <c r="T80" s="68">
        <f>MAX(0,MIN(4,INT(MIN(Decline!$C$20,Decline!$C$19*S$75)*Decline!$C$21/Decline!$C$22+1E-9)))</f>
        <v/>
      </c>
      <c r="U80" s="68">
        <f>MAX(0,MIN(4,INT(MIN(Decline!$C$20,Decline!$C$19*T$75)*Decline!$C$21/Decline!$C$22+1E-9)))</f>
        <v/>
      </c>
      <c r="V80" s="68">
        <f>MAX(0,MIN(4,INT(MIN(Decline!$C$20,Decline!$C$19*U$75)*Decline!$C$21/Decline!$C$22+1E-9)))</f>
        <v/>
      </c>
      <c r="W80" s="68">
        <f>MAX(0,MIN(4,INT(MIN(Decline!$C$20,Decline!$C$19*V$75)*Decline!$C$21/Decline!$C$22+1E-9)))</f>
        <v/>
      </c>
      <c r="X80" s="68">
        <f>MAX(0,MIN(4,INT(MIN(Decline!$C$20,Decline!$C$19*W$75)*Decline!$C$21/Decline!$C$22+1E-9)))</f>
        <v/>
      </c>
      <c r="Y80" s="68">
        <f>MAX(0,MIN(4,INT(MIN(Decline!$C$20,Decline!$C$19*X$75)*Decline!$C$21/Decline!$C$22+1E-9)))</f>
        <v/>
      </c>
      <c r="Z80" s="68">
        <f>MAX(0,MIN(4,INT(MIN(Decline!$C$20,Decline!$C$19*Y$75)*Decline!$C$21/Decline!$C$22+1E-9)))</f>
        <v/>
      </c>
      <c r="AA80" s="68">
        <f>MAX(0,MIN(4,INT(MIN(Decline!$C$20,Decline!$C$19*Z$75)*Decline!$C$21/Decline!$C$22+1E-9)))</f>
        <v/>
      </c>
      <c r="AB80" s="68">
        <f>MAX(0,MIN(4,INT(MIN(Decline!$C$20,Decline!$C$19*AA$75)*Decline!$C$21/Decline!$C$22+1E-9)))</f>
        <v/>
      </c>
    </row>
    <row r="81">
      <c r="A81" s="68" t="inlineStr">
        <is>
          <t>(a) lit modules</t>
        </is>
      </c>
      <c r="D81" s="68">
        <f>MAX(0,MIN(4,INT(MIN(Decline!$C$20,(Decline!$C$19+IF(ISNUMBER($E$74),$E$74,0))*C$75)*Decline!$C$21/Decline!$C$22+1E-9)))</f>
        <v/>
      </c>
      <c r="E81" s="68">
        <f>MAX(0,MIN(4,INT(MIN(Decline!$C$20,(Decline!$C$19+IF(ISNUMBER($E$74),$E$74,0))*D$75)*Decline!$C$21/Decline!$C$22+1E-9)))</f>
        <v/>
      </c>
      <c r="F81" s="68">
        <f>MAX(0,MIN(4,INT(MIN(Decline!$C$20,(Decline!$C$19+IF(ISNUMBER($E$74),$E$74,0))*E$75)*Decline!$C$21/Decline!$C$22+1E-9)))</f>
        <v/>
      </c>
      <c r="G81" s="68">
        <f>MAX(0,MIN(4,INT(MIN(Decline!$C$20,(Decline!$C$19+IF(ISNUMBER($E$74),$E$74,0))*F$75)*Decline!$C$21/Decline!$C$22+1E-9)))</f>
        <v/>
      </c>
      <c r="H81" s="68">
        <f>MAX(0,MIN(4,INT(MIN(Decline!$C$20,(Decline!$C$19+IF(ISNUMBER($E$74),$E$74,0))*G$75)*Decline!$C$21/Decline!$C$22+1E-9)))</f>
        <v/>
      </c>
      <c r="I81" s="68">
        <f>MAX(0,MIN(4,INT(MIN(Decline!$C$20,(Decline!$C$19+IF(ISNUMBER($E$74),$E$74,0))*H$75)*Decline!$C$21/Decline!$C$22+1E-9)))</f>
        <v/>
      </c>
      <c r="J81" s="68">
        <f>MAX(0,MIN(4,INT(MIN(Decline!$C$20,(Decline!$C$19+IF(ISNUMBER($E$74),$E$74,0))*I$75)*Decline!$C$21/Decline!$C$22+1E-9)))</f>
        <v/>
      </c>
      <c r="K81" s="68">
        <f>MAX(0,MIN(4,INT(MIN(Decline!$C$20,(Decline!$C$19+IF(ISNUMBER($E$74),$E$74,0))*J$75)*Decline!$C$21/Decline!$C$22+1E-9)))</f>
        <v/>
      </c>
      <c r="L81" s="68">
        <f>MAX(0,MIN(4,INT(MIN(Decline!$C$20,(Decline!$C$19+IF(ISNUMBER($E$74),$E$74,0))*K$75)*Decline!$C$21/Decline!$C$22+1E-9)))</f>
        <v/>
      </c>
      <c r="M81" s="68">
        <f>MAX(0,MIN(4,INT(MIN(Decline!$C$20,(Decline!$C$19+IF(ISNUMBER($E$74),$E$74,0))*L$75)*Decline!$C$21/Decline!$C$22+1E-9)))</f>
        <v/>
      </c>
      <c r="N81" s="68">
        <f>MAX(0,MIN(4,INT(MIN(Decline!$C$20,(Decline!$C$19+IF(ISNUMBER($E$74),$E$74,0))*M$75)*Decline!$C$21/Decline!$C$22+1E-9)))</f>
        <v/>
      </c>
      <c r="O81" s="68">
        <f>MAX(0,MIN(4,INT(MIN(Decline!$C$20,(Decline!$C$19+IF(ISNUMBER($E$74),$E$74,0))*N$75)*Decline!$C$21/Decline!$C$22+1E-9)))</f>
        <v/>
      </c>
      <c r="P81" s="68">
        <f>MAX(0,MIN(4,INT(MIN(Decline!$C$20,(Decline!$C$19+IF(ISNUMBER($E$74),$E$74,0))*O$75)*Decline!$C$21/Decline!$C$22+1E-9)))</f>
        <v/>
      </c>
      <c r="Q81" s="68">
        <f>MAX(0,MIN(4,INT(MIN(Decline!$C$20,(Decline!$C$19+IF(ISNUMBER($E$74),$E$74,0))*P$75)*Decline!$C$21/Decline!$C$22+1E-9)))</f>
        <v/>
      </c>
      <c r="R81" s="68">
        <f>MAX(0,MIN(4,INT(MIN(Decline!$C$20,(Decline!$C$19+IF(ISNUMBER($E$74),$E$74,0))*Q$75)*Decline!$C$21/Decline!$C$22+1E-9)))</f>
        <v/>
      </c>
      <c r="S81" s="68">
        <f>MAX(0,MIN(4,INT(MIN(Decline!$C$20,(Decline!$C$19+IF(ISNUMBER($E$74),$E$74,0))*R$75)*Decline!$C$21/Decline!$C$22+1E-9)))</f>
        <v/>
      </c>
      <c r="T81" s="68">
        <f>MAX(0,MIN(4,INT(MIN(Decline!$C$20,(Decline!$C$19+IF(ISNUMBER($E$74),$E$74,0))*S$75)*Decline!$C$21/Decline!$C$22+1E-9)))</f>
        <v/>
      </c>
      <c r="U81" s="68">
        <f>MAX(0,MIN(4,INT(MIN(Decline!$C$20,(Decline!$C$19+IF(ISNUMBER($E$74),$E$74,0))*T$75)*Decline!$C$21/Decline!$C$22+1E-9)))</f>
        <v/>
      </c>
      <c r="V81" s="68">
        <f>MAX(0,MIN(4,INT(MIN(Decline!$C$20,(Decline!$C$19+IF(ISNUMBER($E$74),$E$74,0))*U$75)*Decline!$C$21/Decline!$C$22+1E-9)))</f>
        <v/>
      </c>
      <c r="W81" s="68">
        <f>MAX(0,MIN(4,INT(MIN(Decline!$C$20,(Decline!$C$19+IF(ISNUMBER($E$74),$E$74,0))*V$75)*Decline!$C$21/Decline!$C$22+1E-9)))</f>
        <v/>
      </c>
      <c r="X81" s="68">
        <f>MAX(0,MIN(4,INT(MIN(Decline!$C$20,(Decline!$C$19+IF(ISNUMBER($E$74),$E$74,0))*W$75)*Decline!$C$21/Decline!$C$22+1E-9)))</f>
        <v/>
      </c>
      <c r="Y81" s="68">
        <f>MAX(0,MIN(4,INT(MIN(Decline!$C$20,(Decline!$C$19+IF(ISNUMBER($E$74),$E$74,0))*X$75)*Decline!$C$21/Decline!$C$22+1E-9)))</f>
        <v/>
      </c>
      <c r="Z81" s="68">
        <f>MAX(0,MIN(4,INT(MIN(Decline!$C$20,(Decline!$C$19+IF(ISNUMBER($E$74),$E$74,0))*Y$75)*Decline!$C$21/Decline!$C$22+1E-9)))</f>
        <v/>
      </c>
      <c r="AA81" s="68">
        <f>MAX(0,MIN(4,INT(MIN(Decline!$C$20,(Decline!$C$19+IF(ISNUMBER($E$74),$E$74,0))*Z$75)*Decline!$C$21/Decline!$C$22+1E-9)))</f>
        <v/>
      </c>
      <c r="AB81" s="68">
        <f>MAX(0,MIN(4,INT(MIN(Decline!$C$20,(Decline!$C$19+IF(ISNUMBER($E$74),$E$74,0))*AA$75)*Decline!$C$21/Decline!$C$22+1E-9)))</f>
        <v/>
      </c>
    </row>
    <row r="82">
      <c r="A82" s="68" t="inlineStr">
        <is>
          <t>(b) lit modules</t>
        </is>
      </c>
      <c r="D82" s="68">
        <f>MAX(0,MIN(4,INT(MIN(Decline!$C$20,D78)*Decline!$C$21/Decline!$C$22+1E-9)))</f>
        <v/>
      </c>
      <c r="E82" s="68">
        <f>MAX(0,MIN(4,INT(MIN(Decline!$C$20,E78)*Decline!$C$21/Decline!$C$22+1E-9)))</f>
        <v/>
      </c>
      <c r="F82" s="68">
        <f>MAX(0,MIN(4,INT(MIN(Decline!$C$20,F78)*Decline!$C$21/Decline!$C$22+1E-9)))</f>
        <v/>
      </c>
      <c r="G82" s="68">
        <f>MAX(0,MIN(4,INT(MIN(Decline!$C$20,G78)*Decline!$C$21/Decline!$C$22+1E-9)))</f>
        <v/>
      </c>
      <c r="H82" s="68">
        <f>MAX(0,MIN(4,INT(MIN(Decline!$C$20,H78)*Decline!$C$21/Decline!$C$22+1E-9)))</f>
        <v/>
      </c>
      <c r="I82" s="68">
        <f>MAX(0,MIN(4,INT(MIN(Decline!$C$20,I78)*Decline!$C$21/Decline!$C$22+1E-9)))</f>
        <v/>
      </c>
      <c r="J82" s="68">
        <f>MAX(0,MIN(4,INT(MIN(Decline!$C$20,J78)*Decline!$C$21/Decline!$C$22+1E-9)))</f>
        <v/>
      </c>
      <c r="K82" s="68">
        <f>MAX(0,MIN(4,INT(MIN(Decline!$C$20,K78)*Decline!$C$21/Decline!$C$22+1E-9)))</f>
        <v/>
      </c>
      <c r="L82" s="68">
        <f>MAX(0,MIN(4,INT(MIN(Decline!$C$20,L78)*Decline!$C$21/Decline!$C$22+1E-9)))</f>
        <v/>
      </c>
      <c r="M82" s="68">
        <f>MAX(0,MIN(4,INT(MIN(Decline!$C$20,M78)*Decline!$C$21/Decline!$C$22+1E-9)))</f>
        <v/>
      </c>
      <c r="N82" s="68">
        <f>MAX(0,MIN(4,INT(MIN(Decline!$C$20,N78)*Decline!$C$21/Decline!$C$22+1E-9)))</f>
        <v/>
      </c>
      <c r="O82" s="68">
        <f>MAX(0,MIN(4,INT(MIN(Decline!$C$20,O78)*Decline!$C$21/Decline!$C$22+1E-9)))</f>
        <v/>
      </c>
      <c r="P82" s="68">
        <f>MAX(0,MIN(4,INT(MIN(Decline!$C$20,P78)*Decline!$C$21/Decline!$C$22+1E-9)))</f>
        <v/>
      </c>
      <c r="Q82" s="68">
        <f>MAX(0,MIN(4,INT(MIN(Decline!$C$20,Q78)*Decline!$C$21/Decline!$C$22+1E-9)))</f>
        <v/>
      </c>
      <c r="R82" s="68">
        <f>MAX(0,MIN(4,INT(MIN(Decline!$C$20,R78)*Decline!$C$21/Decline!$C$22+1E-9)))</f>
        <v/>
      </c>
      <c r="S82" s="68">
        <f>MAX(0,MIN(4,INT(MIN(Decline!$C$20,S78)*Decline!$C$21/Decline!$C$22+1E-9)))</f>
        <v/>
      </c>
      <c r="T82" s="68">
        <f>MAX(0,MIN(4,INT(MIN(Decline!$C$20,T78)*Decline!$C$21/Decline!$C$22+1E-9)))</f>
        <v/>
      </c>
      <c r="U82" s="68">
        <f>MAX(0,MIN(4,INT(MIN(Decline!$C$20,U78)*Decline!$C$21/Decline!$C$22+1E-9)))</f>
        <v/>
      </c>
      <c r="V82" s="68">
        <f>MAX(0,MIN(4,INT(MIN(Decline!$C$20,V78)*Decline!$C$21/Decline!$C$22+1E-9)))</f>
        <v/>
      </c>
      <c r="W82" s="68">
        <f>MAX(0,MIN(4,INT(MIN(Decline!$C$20,W78)*Decline!$C$21/Decline!$C$22+1E-9)))</f>
        <v/>
      </c>
      <c r="X82" s="68">
        <f>MAX(0,MIN(4,INT(MIN(Decline!$C$20,X78)*Decline!$C$21/Decline!$C$22+1E-9)))</f>
        <v/>
      </c>
      <c r="Y82" s="68">
        <f>MAX(0,MIN(4,INT(MIN(Decline!$C$20,Y78)*Decline!$C$21/Decline!$C$22+1E-9)))</f>
        <v/>
      </c>
      <c r="Z82" s="68">
        <f>MAX(0,MIN(4,INT(MIN(Decline!$C$20,Z78)*Decline!$C$21/Decline!$C$22+1E-9)))</f>
        <v/>
      </c>
      <c r="AA82" s="68">
        <f>MAX(0,MIN(4,INT(MIN(Decline!$C$20,AA78)*Decline!$C$21/Decline!$C$22+1E-9)))</f>
        <v/>
      </c>
      <c r="AB82" s="68">
        <f>MAX(0,MIN(4,INT(MIN(Decline!$C$20,AB78)*Decline!$C$21/Decline!$C$22+1E-9)))</f>
        <v/>
      </c>
    </row>
    <row r="83">
      <c r="A83" s="68" t="inlineStr">
        <is>
          <t>Do nothing (dark modules stop buying GPUs) | flat</t>
        </is>
      </c>
      <c r="C83" s="68">
        <f>-'Sell-Compute'!$C$36</f>
        <v/>
      </c>
      <c r="D83" s="68">
        <f>IF(D$51&lt;=Rates!$D$71,('Sell-Compute'!$C$40*(1+'Sell-Compute'!$C$50)^MOD(D$51-1,'Sell-Compute'!$C$21)-'Sell-Compute'!$C$42-'Sell-Compute'!$C$43)*(D80/4)-'Sell-Compute'!$C$41-'Sell-Compute'!$C$44-'Sell-Compute'!$C$45-IF(AND(MOD(D$51,'Sell-Compute'!$C$21)=0,D$51&lt;Rates!$D$71),'Sell-Compute'!$C$34*(D80/4),0),0)</f>
        <v/>
      </c>
      <c r="E83" s="68">
        <f>IF(E$51&lt;=Rates!$D$71,('Sell-Compute'!$C$40*(1+'Sell-Compute'!$C$50)^MOD(E$51-1,'Sell-Compute'!$C$21)-'Sell-Compute'!$C$42-'Sell-Compute'!$C$43)*(E80/4)-'Sell-Compute'!$C$41-'Sell-Compute'!$C$44-'Sell-Compute'!$C$45-IF(AND(MOD(E$51,'Sell-Compute'!$C$21)=0,E$51&lt;Rates!$D$71),'Sell-Compute'!$C$34*(E80/4),0),0)</f>
        <v/>
      </c>
      <c r="F83" s="68">
        <f>IF(F$51&lt;=Rates!$D$71,('Sell-Compute'!$C$40*(1+'Sell-Compute'!$C$50)^MOD(F$51-1,'Sell-Compute'!$C$21)-'Sell-Compute'!$C$42-'Sell-Compute'!$C$43)*(F80/4)-'Sell-Compute'!$C$41-'Sell-Compute'!$C$44-'Sell-Compute'!$C$45-IF(AND(MOD(F$51,'Sell-Compute'!$C$21)=0,F$51&lt;Rates!$D$71),'Sell-Compute'!$C$34*(F80/4),0),0)</f>
        <v/>
      </c>
      <c r="G83" s="68">
        <f>IF(G$51&lt;=Rates!$D$71,('Sell-Compute'!$C$40*(1+'Sell-Compute'!$C$50)^MOD(G$51-1,'Sell-Compute'!$C$21)-'Sell-Compute'!$C$42-'Sell-Compute'!$C$43)*(G80/4)-'Sell-Compute'!$C$41-'Sell-Compute'!$C$44-'Sell-Compute'!$C$45-IF(AND(MOD(G$51,'Sell-Compute'!$C$21)=0,G$51&lt;Rates!$D$71),'Sell-Compute'!$C$34*(G80/4),0),0)</f>
        <v/>
      </c>
      <c r="H83" s="68">
        <f>IF(H$51&lt;=Rates!$D$71,('Sell-Compute'!$C$40*(1+'Sell-Compute'!$C$50)^MOD(H$51-1,'Sell-Compute'!$C$21)-'Sell-Compute'!$C$42-'Sell-Compute'!$C$43)*(H80/4)-'Sell-Compute'!$C$41-'Sell-Compute'!$C$44-'Sell-Compute'!$C$45-IF(AND(MOD(H$51,'Sell-Compute'!$C$21)=0,H$51&lt;Rates!$D$71),'Sell-Compute'!$C$34*(H80/4),0),0)</f>
        <v/>
      </c>
      <c r="I83" s="68">
        <f>IF(I$51&lt;=Rates!$D$71,('Sell-Compute'!$C$40*(1+'Sell-Compute'!$C$50)^MOD(I$51-1,'Sell-Compute'!$C$21)-'Sell-Compute'!$C$42-'Sell-Compute'!$C$43)*(I80/4)-'Sell-Compute'!$C$41-'Sell-Compute'!$C$44-'Sell-Compute'!$C$45-IF(AND(MOD(I$51,'Sell-Compute'!$C$21)=0,I$51&lt;Rates!$D$71),'Sell-Compute'!$C$34*(I80/4),0),0)</f>
        <v/>
      </c>
      <c r="J83" s="68">
        <f>IF(J$51&lt;=Rates!$D$71,('Sell-Compute'!$C$40*(1+'Sell-Compute'!$C$50)^MOD(J$51-1,'Sell-Compute'!$C$21)-'Sell-Compute'!$C$42-'Sell-Compute'!$C$43)*(J80/4)-'Sell-Compute'!$C$41-'Sell-Compute'!$C$44-'Sell-Compute'!$C$45-IF(AND(MOD(J$51,'Sell-Compute'!$C$21)=0,J$51&lt;Rates!$D$71),'Sell-Compute'!$C$34*(J80/4),0),0)</f>
        <v/>
      </c>
      <c r="K83" s="68">
        <f>IF(K$51&lt;=Rates!$D$71,('Sell-Compute'!$C$40*(1+'Sell-Compute'!$C$50)^MOD(K$51-1,'Sell-Compute'!$C$21)-'Sell-Compute'!$C$42-'Sell-Compute'!$C$43)*(K80/4)-'Sell-Compute'!$C$41-'Sell-Compute'!$C$44-'Sell-Compute'!$C$45-IF(AND(MOD(K$51,'Sell-Compute'!$C$21)=0,K$51&lt;Rates!$D$71),'Sell-Compute'!$C$34*(K80/4),0),0)</f>
        <v/>
      </c>
      <c r="L83" s="68">
        <f>IF(L$51&lt;=Rates!$D$71,('Sell-Compute'!$C$40*(1+'Sell-Compute'!$C$50)^MOD(L$51-1,'Sell-Compute'!$C$21)-'Sell-Compute'!$C$42-'Sell-Compute'!$C$43)*(L80/4)-'Sell-Compute'!$C$41-'Sell-Compute'!$C$44-'Sell-Compute'!$C$45-IF(AND(MOD(L$51,'Sell-Compute'!$C$21)=0,L$51&lt;Rates!$D$71),'Sell-Compute'!$C$34*(L80/4),0),0)</f>
        <v/>
      </c>
      <c r="M83" s="68">
        <f>IF(M$51&lt;=Rates!$D$71,('Sell-Compute'!$C$40*(1+'Sell-Compute'!$C$50)^MOD(M$51-1,'Sell-Compute'!$C$21)-'Sell-Compute'!$C$42-'Sell-Compute'!$C$43)*(M80/4)-'Sell-Compute'!$C$41-'Sell-Compute'!$C$44-'Sell-Compute'!$C$45-IF(AND(MOD(M$51,'Sell-Compute'!$C$21)=0,M$51&lt;Rates!$D$71),'Sell-Compute'!$C$34*(M80/4),0),0)</f>
        <v/>
      </c>
      <c r="N83" s="68">
        <f>IF(N$51&lt;=Rates!$D$71,('Sell-Compute'!$C$40*(1+'Sell-Compute'!$C$50)^MOD(N$51-1,'Sell-Compute'!$C$21)-'Sell-Compute'!$C$42-'Sell-Compute'!$C$43)*(N80/4)-'Sell-Compute'!$C$41-'Sell-Compute'!$C$44-'Sell-Compute'!$C$45-IF(AND(MOD(N$51,'Sell-Compute'!$C$21)=0,N$51&lt;Rates!$D$71),'Sell-Compute'!$C$34*(N80/4),0),0)</f>
        <v/>
      </c>
      <c r="O83" s="68">
        <f>IF(O$51&lt;=Rates!$D$71,('Sell-Compute'!$C$40*(1+'Sell-Compute'!$C$50)^MOD(O$51-1,'Sell-Compute'!$C$21)-'Sell-Compute'!$C$42-'Sell-Compute'!$C$43)*(O80/4)-'Sell-Compute'!$C$41-'Sell-Compute'!$C$44-'Sell-Compute'!$C$45-IF(AND(MOD(O$51,'Sell-Compute'!$C$21)=0,O$51&lt;Rates!$D$71),'Sell-Compute'!$C$34*(O80/4),0),0)</f>
        <v/>
      </c>
      <c r="P83" s="68">
        <f>IF(P$51&lt;=Rates!$D$71,('Sell-Compute'!$C$40*(1+'Sell-Compute'!$C$50)^MOD(P$51-1,'Sell-Compute'!$C$21)-'Sell-Compute'!$C$42-'Sell-Compute'!$C$43)*(P80/4)-'Sell-Compute'!$C$41-'Sell-Compute'!$C$44-'Sell-Compute'!$C$45-IF(AND(MOD(P$51,'Sell-Compute'!$C$21)=0,P$51&lt;Rates!$D$71),'Sell-Compute'!$C$34*(P80/4),0),0)</f>
        <v/>
      </c>
      <c r="Q83" s="68">
        <f>IF(Q$51&lt;=Rates!$D$71,('Sell-Compute'!$C$40*(1+'Sell-Compute'!$C$50)^MOD(Q$51-1,'Sell-Compute'!$C$21)-'Sell-Compute'!$C$42-'Sell-Compute'!$C$43)*(Q80/4)-'Sell-Compute'!$C$41-'Sell-Compute'!$C$44-'Sell-Compute'!$C$45-IF(AND(MOD(Q$51,'Sell-Compute'!$C$21)=0,Q$51&lt;Rates!$D$71),'Sell-Compute'!$C$34*(Q80/4),0),0)</f>
        <v/>
      </c>
      <c r="R83" s="68">
        <f>IF(R$51&lt;=Rates!$D$71,('Sell-Compute'!$C$40*(1+'Sell-Compute'!$C$50)^MOD(R$51-1,'Sell-Compute'!$C$21)-'Sell-Compute'!$C$42-'Sell-Compute'!$C$43)*(R80/4)-'Sell-Compute'!$C$41-'Sell-Compute'!$C$44-'Sell-Compute'!$C$45-IF(AND(MOD(R$51,'Sell-Compute'!$C$21)=0,R$51&lt;Rates!$D$71),'Sell-Compute'!$C$34*(R80/4),0),0)</f>
        <v/>
      </c>
      <c r="S83" s="68">
        <f>IF(S$51&lt;=Rates!$D$71,('Sell-Compute'!$C$40*(1+'Sell-Compute'!$C$50)^MOD(S$51-1,'Sell-Compute'!$C$21)-'Sell-Compute'!$C$42-'Sell-Compute'!$C$43)*(S80/4)-'Sell-Compute'!$C$41-'Sell-Compute'!$C$44-'Sell-Compute'!$C$45-IF(AND(MOD(S$51,'Sell-Compute'!$C$21)=0,S$51&lt;Rates!$D$71),'Sell-Compute'!$C$34*(S80/4),0),0)</f>
        <v/>
      </c>
      <c r="T83" s="68">
        <f>IF(T$51&lt;=Rates!$D$71,('Sell-Compute'!$C$40*(1+'Sell-Compute'!$C$50)^MOD(T$51-1,'Sell-Compute'!$C$21)-'Sell-Compute'!$C$42-'Sell-Compute'!$C$43)*(T80/4)-'Sell-Compute'!$C$41-'Sell-Compute'!$C$44-'Sell-Compute'!$C$45-IF(AND(MOD(T$51,'Sell-Compute'!$C$21)=0,T$51&lt;Rates!$D$71),'Sell-Compute'!$C$34*(T80/4),0),0)</f>
        <v/>
      </c>
      <c r="U83" s="68">
        <f>IF(U$51&lt;=Rates!$D$71,('Sell-Compute'!$C$40*(1+'Sell-Compute'!$C$50)^MOD(U$51-1,'Sell-Compute'!$C$21)-'Sell-Compute'!$C$42-'Sell-Compute'!$C$43)*(U80/4)-'Sell-Compute'!$C$41-'Sell-Compute'!$C$44-'Sell-Compute'!$C$45-IF(AND(MOD(U$51,'Sell-Compute'!$C$21)=0,U$51&lt;Rates!$D$71),'Sell-Compute'!$C$34*(U80/4),0),0)</f>
        <v/>
      </c>
      <c r="V83" s="68">
        <f>IF(V$51&lt;=Rates!$D$71,('Sell-Compute'!$C$40*(1+'Sell-Compute'!$C$50)^MOD(V$51-1,'Sell-Compute'!$C$21)-'Sell-Compute'!$C$42-'Sell-Compute'!$C$43)*(V80/4)-'Sell-Compute'!$C$41-'Sell-Compute'!$C$44-'Sell-Compute'!$C$45-IF(AND(MOD(V$51,'Sell-Compute'!$C$21)=0,V$51&lt;Rates!$D$71),'Sell-Compute'!$C$34*(V80/4),0),0)</f>
        <v/>
      </c>
      <c r="W83" s="68">
        <f>IF(W$51&lt;=Rates!$D$71,('Sell-Compute'!$C$40*(1+'Sell-Compute'!$C$50)^MOD(W$51-1,'Sell-Compute'!$C$21)-'Sell-Compute'!$C$42-'Sell-Compute'!$C$43)*(W80/4)-'Sell-Compute'!$C$41-'Sell-Compute'!$C$44-'Sell-Compute'!$C$45-IF(AND(MOD(W$51,'Sell-Compute'!$C$21)=0,W$51&lt;Rates!$D$71),'Sell-Compute'!$C$34*(W80/4),0),0)</f>
        <v/>
      </c>
      <c r="X83" s="68">
        <f>IF(X$51&lt;=Rates!$D$71,('Sell-Compute'!$C$40*(1+'Sell-Compute'!$C$50)^MOD(X$51-1,'Sell-Compute'!$C$21)-'Sell-Compute'!$C$42-'Sell-Compute'!$C$43)*(X80/4)-'Sell-Compute'!$C$41-'Sell-Compute'!$C$44-'Sell-Compute'!$C$45-IF(AND(MOD(X$51,'Sell-Compute'!$C$21)=0,X$51&lt;Rates!$D$71),'Sell-Compute'!$C$34*(X80/4),0),0)</f>
        <v/>
      </c>
      <c r="Y83" s="68">
        <f>IF(Y$51&lt;=Rates!$D$71,('Sell-Compute'!$C$40*(1+'Sell-Compute'!$C$50)^MOD(Y$51-1,'Sell-Compute'!$C$21)-'Sell-Compute'!$C$42-'Sell-Compute'!$C$43)*(Y80/4)-'Sell-Compute'!$C$41-'Sell-Compute'!$C$44-'Sell-Compute'!$C$45-IF(AND(MOD(Y$51,'Sell-Compute'!$C$21)=0,Y$51&lt;Rates!$D$71),'Sell-Compute'!$C$34*(Y80/4),0),0)</f>
        <v/>
      </c>
      <c r="Z83" s="68">
        <f>IF(Z$51&lt;=Rates!$D$71,('Sell-Compute'!$C$40*(1+'Sell-Compute'!$C$50)^MOD(Z$51-1,'Sell-Compute'!$C$21)-'Sell-Compute'!$C$42-'Sell-Compute'!$C$43)*(Z80/4)-'Sell-Compute'!$C$41-'Sell-Compute'!$C$44-'Sell-Compute'!$C$45-IF(AND(MOD(Z$51,'Sell-Compute'!$C$21)=0,Z$51&lt;Rates!$D$71),'Sell-Compute'!$C$34*(Z80/4),0),0)</f>
        <v/>
      </c>
      <c r="AA83" s="68">
        <f>IF(AA$51&lt;=Rates!$D$71,('Sell-Compute'!$C$40*(1+'Sell-Compute'!$C$50)^MOD(AA$51-1,'Sell-Compute'!$C$21)-'Sell-Compute'!$C$42-'Sell-Compute'!$C$43)*(AA80/4)-'Sell-Compute'!$C$41-'Sell-Compute'!$C$44-'Sell-Compute'!$C$45-IF(AND(MOD(AA$51,'Sell-Compute'!$C$21)=0,AA$51&lt;Rates!$D$71),'Sell-Compute'!$C$34*(AA80/4),0),0)</f>
        <v/>
      </c>
      <c r="AB83" s="68">
        <f>IF(AB$51&lt;=Rates!$D$71,('Sell-Compute'!$C$40*(1+'Sell-Compute'!$C$50)^MOD(AB$51-1,'Sell-Compute'!$C$21)-'Sell-Compute'!$C$42-'Sell-Compute'!$C$43)*(AB80/4)-'Sell-Compute'!$C$41-'Sell-Compute'!$C$44-'Sell-Compute'!$C$45-IF(AND(MOD(AB$51,'Sell-Compute'!$C$21)=0,AB$51&lt;Rates!$D$71),'Sell-Compute'!$C$34*(AB80/4),0),0)</f>
        <v/>
      </c>
    </row>
    <row r="84">
      <c r="A84" s="68" t="inlineStr">
        <is>
          <t>Do nothing (dark modules stop buying GPUs) | dec</t>
        </is>
      </c>
      <c r="C84" s="68">
        <f>-'Sell-Compute'!$B$36</f>
        <v/>
      </c>
      <c r="D84" s="68">
        <f>IF(D$51&lt;=Rates!$D$71,('Sell-Compute'!$B$40*(1+'Sell-Compute'!$B$50)^MOD(D$51-1,'Sell-Compute'!$C$21)-'Sell-Compute'!$B$42-'Sell-Compute'!$B$43)*(D80/4)-'Sell-Compute'!$B$41-'Sell-Compute'!$B$44-'Sell-Compute'!$B$45-IF(AND(MOD(D$51,'Sell-Compute'!$C$21)=0,D$51&lt;Rates!$D$71),'Sell-Compute'!$B$34*(D80/4),0),0)</f>
        <v/>
      </c>
      <c r="E84" s="68">
        <f>IF(E$51&lt;=Rates!$D$71,('Sell-Compute'!$B$40*(1+'Sell-Compute'!$B$50)^MOD(E$51-1,'Sell-Compute'!$C$21)-'Sell-Compute'!$B$42-'Sell-Compute'!$B$43)*(E80/4)-'Sell-Compute'!$B$41-'Sell-Compute'!$B$44-'Sell-Compute'!$B$45-IF(AND(MOD(E$51,'Sell-Compute'!$C$21)=0,E$51&lt;Rates!$D$71),'Sell-Compute'!$B$34*(E80/4),0),0)</f>
        <v/>
      </c>
      <c r="F84" s="68">
        <f>IF(F$51&lt;=Rates!$D$71,('Sell-Compute'!$B$40*(1+'Sell-Compute'!$B$50)^MOD(F$51-1,'Sell-Compute'!$C$21)-'Sell-Compute'!$B$42-'Sell-Compute'!$B$43)*(F80/4)-'Sell-Compute'!$B$41-'Sell-Compute'!$B$44-'Sell-Compute'!$B$45-IF(AND(MOD(F$51,'Sell-Compute'!$C$21)=0,F$51&lt;Rates!$D$71),'Sell-Compute'!$B$34*(F80/4),0),0)</f>
        <v/>
      </c>
      <c r="G84" s="68">
        <f>IF(G$51&lt;=Rates!$D$71,('Sell-Compute'!$B$40*(1+'Sell-Compute'!$B$50)^MOD(G$51-1,'Sell-Compute'!$C$21)-'Sell-Compute'!$B$42-'Sell-Compute'!$B$43)*(G80/4)-'Sell-Compute'!$B$41-'Sell-Compute'!$B$44-'Sell-Compute'!$B$45-IF(AND(MOD(G$51,'Sell-Compute'!$C$21)=0,G$51&lt;Rates!$D$71),'Sell-Compute'!$B$34*(G80/4),0),0)</f>
        <v/>
      </c>
      <c r="H84" s="68">
        <f>IF(H$51&lt;=Rates!$D$71,('Sell-Compute'!$B$40*(1+'Sell-Compute'!$B$50)^MOD(H$51-1,'Sell-Compute'!$C$21)-'Sell-Compute'!$B$42-'Sell-Compute'!$B$43)*(H80/4)-'Sell-Compute'!$B$41-'Sell-Compute'!$B$44-'Sell-Compute'!$B$45-IF(AND(MOD(H$51,'Sell-Compute'!$C$21)=0,H$51&lt;Rates!$D$71),'Sell-Compute'!$B$34*(H80/4),0),0)</f>
        <v/>
      </c>
      <c r="I84" s="68">
        <f>IF(I$51&lt;=Rates!$D$71,('Sell-Compute'!$B$40*(1+'Sell-Compute'!$B$50)^MOD(I$51-1,'Sell-Compute'!$C$21)-'Sell-Compute'!$B$42-'Sell-Compute'!$B$43)*(I80/4)-'Sell-Compute'!$B$41-'Sell-Compute'!$B$44-'Sell-Compute'!$B$45-IF(AND(MOD(I$51,'Sell-Compute'!$C$21)=0,I$51&lt;Rates!$D$71),'Sell-Compute'!$B$34*(I80/4),0),0)</f>
        <v/>
      </c>
      <c r="J84" s="68">
        <f>IF(J$51&lt;=Rates!$D$71,('Sell-Compute'!$B$40*(1+'Sell-Compute'!$B$50)^MOD(J$51-1,'Sell-Compute'!$C$21)-'Sell-Compute'!$B$42-'Sell-Compute'!$B$43)*(J80/4)-'Sell-Compute'!$B$41-'Sell-Compute'!$B$44-'Sell-Compute'!$B$45-IF(AND(MOD(J$51,'Sell-Compute'!$C$21)=0,J$51&lt;Rates!$D$71),'Sell-Compute'!$B$34*(J80/4),0),0)</f>
        <v/>
      </c>
      <c r="K84" s="68">
        <f>IF(K$51&lt;=Rates!$D$71,('Sell-Compute'!$B$40*(1+'Sell-Compute'!$B$50)^MOD(K$51-1,'Sell-Compute'!$C$21)-'Sell-Compute'!$B$42-'Sell-Compute'!$B$43)*(K80/4)-'Sell-Compute'!$B$41-'Sell-Compute'!$B$44-'Sell-Compute'!$B$45-IF(AND(MOD(K$51,'Sell-Compute'!$C$21)=0,K$51&lt;Rates!$D$71),'Sell-Compute'!$B$34*(K80/4),0),0)</f>
        <v/>
      </c>
      <c r="L84" s="68">
        <f>IF(L$51&lt;=Rates!$D$71,('Sell-Compute'!$B$40*(1+'Sell-Compute'!$B$50)^MOD(L$51-1,'Sell-Compute'!$C$21)-'Sell-Compute'!$B$42-'Sell-Compute'!$B$43)*(L80/4)-'Sell-Compute'!$B$41-'Sell-Compute'!$B$44-'Sell-Compute'!$B$45-IF(AND(MOD(L$51,'Sell-Compute'!$C$21)=0,L$51&lt;Rates!$D$71),'Sell-Compute'!$B$34*(L80/4),0),0)</f>
        <v/>
      </c>
      <c r="M84" s="68">
        <f>IF(M$51&lt;=Rates!$D$71,('Sell-Compute'!$B$40*(1+'Sell-Compute'!$B$50)^MOD(M$51-1,'Sell-Compute'!$C$21)-'Sell-Compute'!$B$42-'Sell-Compute'!$B$43)*(M80/4)-'Sell-Compute'!$B$41-'Sell-Compute'!$B$44-'Sell-Compute'!$B$45-IF(AND(MOD(M$51,'Sell-Compute'!$C$21)=0,M$51&lt;Rates!$D$71),'Sell-Compute'!$B$34*(M80/4),0),0)</f>
        <v/>
      </c>
      <c r="N84" s="68">
        <f>IF(N$51&lt;=Rates!$D$71,('Sell-Compute'!$B$40*(1+'Sell-Compute'!$B$50)^MOD(N$51-1,'Sell-Compute'!$C$21)-'Sell-Compute'!$B$42-'Sell-Compute'!$B$43)*(N80/4)-'Sell-Compute'!$B$41-'Sell-Compute'!$B$44-'Sell-Compute'!$B$45-IF(AND(MOD(N$51,'Sell-Compute'!$C$21)=0,N$51&lt;Rates!$D$71),'Sell-Compute'!$B$34*(N80/4),0),0)</f>
        <v/>
      </c>
      <c r="O84" s="68">
        <f>IF(O$51&lt;=Rates!$D$71,('Sell-Compute'!$B$40*(1+'Sell-Compute'!$B$50)^MOD(O$51-1,'Sell-Compute'!$C$21)-'Sell-Compute'!$B$42-'Sell-Compute'!$B$43)*(O80/4)-'Sell-Compute'!$B$41-'Sell-Compute'!$B$44-'Sell-Compute'!$B$45-IF(AND(MOD(O$51,'Sell-Compute'!$C$21)=0,O$51&lt;Rates!$D$71),'Sell-Compute'!$B$34*(O80/4),0),0)</f>
        <v/>
      </c>
      <c r="P84" s="68">
        <f>IF(P$51&lt;=Rates!$D$71,('Sell-Compute'!$B$40*(1+'Sell-Compute'!$B$50)^MOD(P$51-1,'Sell-Compute'!$C$21)-'Sell-Compute'!$B$42-'Sell-Compute'!$B$43)*(P80/4)-'Sell-Compute'!$B$41-'Sell-Compute'!$B$44-'Sell-Compute'!$B$45-IF(AND(MOD(P$51,'Sell-Compute'!$C$21)=0,P$51&lt;Rates!$D$71),'Sell-Compute'!$B$34*(P80/4),0),0)</f>
        <v/>
      </c>
      <c r="Q84" s="68">
        <f>IF(Q$51&lt;=Rates!$D$71,('Sell-Compute'!$B$40*(1+'Sell-Compute'!$B$50)^MOD(Q$51-1,'Sell-Compute'!$C$21)-'Sell-Compute'!$B$42-'Sell-Compute'!$B$43)*(Q80/4)-'Sell-Compute'!$B$41-'Sell-Compute'!$B$44-'Sell-Compute'!$B$45-IF(AND(MOD(Q$51,'Sell-Compute'!$C$21)=0,Q$51&lt;Rates!$D$71),'Sell-Compute'!$B$34*(Q80/4),0),0)</f>
        <v/>
      </c>
      <c r="R84" s="68">
        <f>IF(R$51&lt;=Rates!$D$71,('Sell-Compute'!$B$40*(1+'Sell-Compute'!$B$50)^MOD(R$51-1,'Sell-Compute'!$C$21)-'Sell-Compute'!$B$42-'Sell-Compute'!$B$43)*(R80/4)-'Sell-Compute'!$B$41-'Sell-Compute'!$B$44-'Sell-Compute'!$B$45-IF(AND(MOD(R$51,'Sell-Compute'!$C$21)=0,R$51&lt;Rates!$D$71),'Sell-Compute'!$B$34*(R80/4),0),0)</f>
        <v/>
      </c>
      <c r="S84" s="68">
        <f>IF(S$51&lt;=Rates!$D$71,('Sell-Compute'!$B$40*(1+'Sell-Compute'!$B$50)^MOD(S$51-1,'Sell-Compute'!$C$21)-'Sell-Compute'!$B$42-'Sell-Compute'!$B$43)*(S80/4)-'Sell-Compute'!$B$41-'Sell-Compute'!$B$44-'Sell-Compute'!$B$45-IF(AND(MOD(S$51,'Sell-Compute'!$C$21)=0,S$51&lt;Rates!$D$71),'Sell-Compute'!$B$34*(S80/4),0),0)</f>
        <v/>
      </c>
      <c r="T84" s="68">
        <f>IF(T$51&lt;=Rates!$D$71,('Sell-Compute'!$B$40*(1+'Sell-Compute'!$B$50)^MOD(T$51-1,'Sell-Compute'!$C$21)-'Sell-Compute'!$B$42-'Sell-Compute'!$B$43)*(T80/4)-'Sell-Compute'!$B$41-'Sell-Compute'!$B$44-'Sell-Compute'!$B$45-IF(AND(MOD(T$51,'Sell-Compute'!$C$21)=0,T$51&lt;Rates!$D$71),'Sell-Compute'!$B$34*(T80/4),0),0)</f>
        <v/>
      </c>
      <c r="U84" s="68">
        <f>IF(U$51&lt;=Rates!$D$71,('Sell-Compute'!$B$40*(1+'Sell-Compute'!$B$50)^MOD(U$51-1,'Sell-Compute'!$C$21)-'Sell-Compute'!$B$42-'Sell-Compute'!$B$43)*(U80/4)-'Sell-Compute'!$B$41-'Sell-Compute'!$B$44-'Sell-Compute'!$B$45-IF(AND(MOD(U$51,'Sell-Compute'!$C$21)=0,U$51&lt;Rates!$D$71),'Sell-Compute'!$B$34*(U80/4),0),0)</f>
        <v/>
      </c>
      <c r="V84" s="68">
        <f>IF(V$51&lt;=Rates!$D$71,('Sell-Compute'!$B$40*(1+'Sell-Compute'!$B$50)^MOD(V$51-1,'Sell-Compute'!$C$21)-'Sell-Compute'!$B$42-'Sell-Compute'!$B$43)*(V80/4)-'Sell-Compute'!$B$41-'Sell-Compute'!$B$44-'Sell-Compute'!$B$45-IF(AND(MOD(V$51,'Sell-Compute'!$C$21)=0,V$51&lt;Rates!$D$71),'Sell-Compute'!$B$34*(V80/4),0),0)</f>
        <v/>
      </c>
      <c r="W84" s="68">
        <f>IF(W$51&lt;=Rates!$D$71,('Sell-Compute'!$B$40*(1+'Sell-Compute'!$B$50)^MOD(W$51-1,'Sell-Compute'!$C$21)-'Sell-Compute'!$B$42-'Sell-Compute'!$B$43)*(W80/4)-'Sell-Compute'!$B$41-'Sell-Compute'!$B$44-'Sell-Compute'!$B$45-IF(AND(MOD(W$51,'Sell-Compute'!$C$21)=0,W$51&lt;Rates!$D$71),'Sell-Compute'!$B$34*(W80/4),0),0)</f>
        <v/>
      </c>
      <c r="X84" s="68">
        <f>IF(X$51&lt;=Rates!$D$71,('Sell-Compute'!$B$40*(1+'Sell-Compute'!$B$50)^MOD(X$51-1,'Sell-Compute'!$C$21)-'Sell-Compute'!$B$42-'Sell-Compute'!$B$43)*(X80/4)-'Sell-Compute'!$B$41-'Sell-Compute'!$B$44-'Sell-Compute'!$B$45-IF(AND(MOD(X$51,'Sell-Compute'!$C$21)=0,X$51&lt;Rates!$D$71),'Sell-Compute'!$B$34*(X80/4),0),0)</f>
        <v/>
      </c>
      <c r="Y84" s="68">
        <f>IF(Y$51&lt;=Rates!$D$71,('Sell-Compute'!$B$40*(1+'Sell-Compute'!$B$50)^MOD(Y$51-1,'Sell-Compute'!$C$21)-'Sell-Compute'!$B$42-'Sell-Compute'!$B$43)*(Y80/4)-'Sell-Compute'!$B$41-'Sell-Compute'!$B$44-'Sell-Compute'!$B$45-IF(AND(MOD(Y$51,'Sell-Compute'!$C$21)=0,Y$51&lt;Rates!$D$71),'Sell-Compute'!$B$34*(Y80/4),0),0)</f>
        <v/>
      </c>
      <c r="Z84" s="68">
        <f>IF(Z$51&lt;=Rates!$D$71,('Sell-Compute'!$B$40*(1+'Sell-Compute'!$B$50)^MOD(Z$51-1,'Sell-Compute'!$C$21)-'Sell-Compute'!$B$42-'Sell-Compute'!$B$43)*(Z80/4)-'Sell-Compute'!$B$41-'Sell-Compute'!$B$44-'Sell-Compute'!$B$45-IF(AND(MOD(Z$51,'Sell-Compute'!$C$21)=0,Z$51&lt;Rates!$D$71),'Sell-Compute'!$B$34*(Z80/4),0),0)</f>
        <v/>
      </c>
      <c r="AA84" s="68">
        <f>IF(AA$51&lt;=Rates!$D$71,('Sell-Compute'!$B$40*(1+'Sell-Compute'!$B$50)^MOD(AA$51-1,'Sell-Compute'!$C$21)-'Sell-Compute'!$B$42-'Sell-Compute'!$B$43)*(AA80/4)-'Sell-Compute'!$B$41-'Sell-Compute'!$B$44-'Sell-Compute'!$B$45-IF(AND(MOD(AA$51,'Sell-Compute'!$C$21)=0,AA$51&lt;Rates!$D$71),'Sell-Compute'!$B$34*(AA80/4),0),0)</f>
        <v/>
      </c>
      <c r="AB84" s="68">
        <f>IF(AB$51&lt;=Rates!$D$71,('Sell-Compute'!$B$40*(1+'Sell-Compute'!$B$50)^MOD(AB$51-1,'Sell-Compute'!$C$21)-'Sell-Compute'!$B$42-'Sell-Compute'!$B$43)*(AB80/4)-'Sell-Compute'!$B$41-'Sell-Compute'!$B$44-'Sell-Compute'!$B$45-IF(AND(MOD(AB$51,'Sell-Compute'!$C$21)=0,AB$51&lt;Rates!$D$71),'Sell-Compute'!$B$34*(AB80/4),0),0)</f>
        <v/>
      </c>
    </row>
    <row r="85">
      <c r="A85" s="68" t="inlineStr">
        <is>
          <t>Do nothing (dark modules stop buying GPUs) | colo</t>
        </is>
      </c>
      <c r="C85" s="68">
        <f>-'Sell-Compute'!$I$36</f>
        <v/>
      </c>
      <c r="D85" s="68">
        <f>IF(D$51&lt;=Rates!$D$71,'Sell-Compute'!$I$46-'Sell-Compute'!$I$40*(1-(D80/4)),0)</f>
        <v/>
      </c>
      <c r="E85" s="68">
        <f>IF(E$51&lt;=Rates!$D$71,'Sell-Compute'!$I$46-'Sell-Compute'!$I$40*(1-(E80/4)),0)</f>
        <v/>
      </c>
      <c r="F85" s="68">
        <f>IF(F$51&lt;=Rates!$D$71,'Sell-Compute'!$I$46-'Sell-Compute'!$I$40*(1-(F80/4)),0)</f>
        <v/>
      </c>
      <c r="G85" s="68">
        <f>IF(G$51&lt;=Rates!$D$71,'Sell-Compute'!$I$46-'Sell-Compute'!$I$40*(1-(G80/4)),0)</f>
        <v/>
      </c>
      <c r="H85" s="68">
        <f>IF(H$51&lt;=Rates!$D$71,'Sell-Compute'!$I$46-'Sell-Compute'!$I$40*(1-(H80/4)),0)</f>
        <v/>
      </c>
      <c r="I85" s="68">
        <f>IF(I$51&lt;=Rates!$D$71,'Sell-Compute'!$I$46-'Sell-Compute'!$I$40*(1-(I80/4)),0)</f>
        <v/>
      </c>
      <c r="J85" s="68">
        <f>IF(J$51&lt;=Rates!$D$71,'Sell-Compute'!$I$46-'Sell-Compute'!$I$40*(1-(J80/4)),0)</f>
        <v/>
      </c>
      <c r="K85" s="68">
        <f>IF(K$51&lt;=Rates!$D$71,'Sell-Compute'!$I$46-'Sell-Compute'!$I$40*(1-(K80/4)),0)</f>
        <v/>
      </c>
      <c r="L85" s="68">
        <f>IF(L$51&lt;=Rates!$D$71,'Sell-Compute'!$I$46-'Sell-Compute'!$I$40*(1-(L80/4)),0)</f>
        <v/>
      </c>
      <c r="M85" s="68">
        <f>IF(M$51&lt;=Rates!$D$71,'Sell-Compute'!$I$46-'Sell-Compute'!$I$40*(1-(M80/4)),0)</f>
        <v/>
      </c>
      <c r="N85" s="68">
        <f>IF(N$51&lt;=Rates!$D$71,'Sell-Compute'!$I$46-'Sell-Compute'!$I$40*(1-(N80/4)),0)</f>
        <v/>
      </c>
      <c r="O85" s="68">
        <f>IF(O$51&lt;=Rates!$D$71,'Sell-Compute'!$I$46-'Sell-Compute'!$I$40*(1-(O80/4)),0)</f>
        <v/>
      </c>
      <c r="P85" s="68">
        <f>IF(P$51&lt;=Rates!$D$71,'Sell-Compute'!$I$46-'Sell-Compute'!$I$40*(1-(P80/4)),0)</f>
        <v/>
      </c>
      <c r="Q85" s="68">
        <f>IF(Q$51&lt;=Rates!$D$71,'Sell-Compute'!$I$46-'Sell-Compute'!$I$40*(1-(Q80/4)),0)</f>
        <v/>
      </c>
      <c r="R85" s="68">
        <f>IF(R$51&lt;=Rates!$D$71,'Sell-Compute'!$I$46-'Sell-Compute'!$I$40*(1-(R80/4)),0)</f>
        <v/>
      </c>
      <c r="S85" s="68">
        <f>IF(S$51&lt;=Rates!$D$71,'Sell-Compute'!$I$46-'Sell-Compute'!$I$40*(1-(S80/4)),0)</f>
        <v/>
      </c>
      <c r="T85" s="68">
        <f>IF(T$51&lt;=Rates!$D$71,'Sell-Compute'!$I$46-'Sell-Compute'!$I$40*(1-(T80/4)),0)</f>
        <v/>
      </c>
      <c r="U85" s="68">
        <f>IF(U$51&lt;=Rates!$D$71,'Sell-Compute'!$I$46-'Sell-Compute'!$I$40*(1-(U80/4)),0)</f>
        <v/>
      </c>
      <c r="V85" s="68">
        <f>IF(V$51&lt;=Rates!$D$71,'Sell-Compute'!$I$46-'Sell-Compute'!$I$40*(1-(V80/4)),0)</f>
        <v/>
      </c>
      <c r="W85" s="68">
        <f>IF(W$51&lt;=Rates!$D$71,'Sell-Compute'!$I$46-'Sell-Compute'!$I$40*(1-(W80/4)),0)</f>
        <v/>
      </c>
      <c r="X85" s="68">
        <f>IF(X$51&lt;=Rates!$D$71,'Sell-Compute'!$I$46-'Sell-Compute'!$I$40*(1-(X80/4)),0)</f>
        <v/>
      </c>
      <c r="Y85" s="68">
        <f>IF(Y$51&lt;=Rates!$D$71,'Sell-Compute'!$I$46-'Sell-Compute'!$I$40*(1-(Y80/4)),0)</f>
        <v/>
      </c>
      <c r="Z85" s="68">
        <f>IF(Z$51&lt;=Rates!$D$71,'Sell-Compute'!$I$46-'Sell-Compute'!$I$40*(1-(Z80/4)),0)</f>
        <v/>
      </c>
      <c r="AA85" s="68">
        <f>IF(AA$51&lt;=Rates!$D$71,'Sell-Compute'!$I$46-'Sell-Compute'!$I$40*(1-(AA80/4)),0)</f>
        <v/>
      </c>
      <c r="AB85" s="68">
        <f>IF(AB$51&lt;=Rates!$D$71,'Sell-Compute'!$I$46-'Sell-Compute'!$I$40*(1-(AB80/4)),0)</f>
        <v/>
      </c>
    </row>
    <row r="86">
      <c r="A86" s="68" t="inlineStr">
        <is>
          <t>(a) Extra doublets at start | flat</t>
        </is>
      </c>
      <c r="C86" s="68">
        <f>-'Sell-Compute'!$C$36-IF(ISNUMBER($E$74),$E$74*(2*($C$11+$C$12)*(1+$C$14)),0)</f>
        <v/>
      </c>
      <c r="D86" s="68">
        <f>IF(D$51&lt;=Rates!$D$71,('Sell-Compute'!$C$40*(1+'Sell-Compute'!$C$50)^MOD(D$51-1,'Sell-Compute'!$C$21)-'Sell-Compute'!$C$42-'Sell-Compute'!$C$43)*(D81/4)-'Sell-Compute'!$C$41-'Sell-Compute'!$C$44-'Sell-Compute'!$C$45-IF(AND(MOD(D$51,'Sell-Compute'!$C$21)=0,D$51&lt;Rates!$D$71),'Sell-Compute'!$C$34*(D81/4),0),0)</f>
        <v/>
      </c>
      <c r="E86" s="68">
        <f>IF(E$51&lt;=Rates!$D$71,('Sell-Compute'!$C$40*(1+'Sell-Compute'!$C$50)^MOD(E$51-1,'Sell-Compute'!$C$21)-'Sell-Compute'!$C$42-'Sell-Compute'!$C$43)*(E81/4)-'Sell-Compute'!$C$41-'Sell-Compute'!$C$44-'Sell-Compute'!$C$45-IF(AND(MOD(E$51,'Sell-Compute'!$C$21)=0,E$51&lt;Rates!$D$71),'Sell-Compute'!$C$34*(E81/4),0),0)</f>
        <v/>
      </c>
      <c r="F86" s="68">
        <f>IF(F$51&lt;=Rates!$D$71,('Sell-Compute'!$C$40*(1+'Sell-Compute'!$C$50)^MOD(F$51-1,'Sell-Compute'!$C$21)-'Sell-Compute'!$C$42-'Sell-Compute'!$C$43)*(F81/4)-'Sell-Compute'!$C$41-'Sell-Compute'!$C$44-'Sell-Compute'!$C$45-IF(AND(MOD(F$51,'Sell-Compute'!$C$21)=0,F$51&lt;Rates!$D$71),'Sell-Compute'!$C$34*(F81/4),0),0)</f>
        <v/>
      </c>
      <c r="G86" s="68">
        <f>IF(G$51&lt;=Rates!$D$71,('Sell-Compute'!$C$40*(1+'Sell-Compute'!$C$50)^MOD(G$51-1,'Sell-Compute'!$C$21)-'Sell-Compute'!$C$42-'Sell-Compute'!$C$43)*(G81/4)-'Sell-Compute'!$C$41-'Sell-Compute'!$C$44-'Sell-Compute'!$C$45-IF(AND(MOD(G$51,'Sell-Compute'!$C$21)=0,G$51&lt;Rates!$D$71),'Sell-Compute'!$C$34*(G81/4),0),0)</f>
        <v/>
      </c>
      <c r="H86" s="68">
        <f>IF(H$51&lt;=Rates!$D$71,('Sell-Compute'!$C$40*(1+'Sell-Compute'!$C$50)^MOD(H$51-1,'Sell-Compute'!$C$21)-'Sell-Compute'!$C$42-'Sell-Compute'!$C$43)*(H81/4)-'Sell-Compute'!$C$41-'Sell-Compute'!$C$44-'Sell-Compute'!$C$45-IF(AND(MOD(H$51,'Sell-Compute'!$C$21)=0,H$51&lt;Rates!$D$71),'Sell-Compute'!$C$34*(H81/4),0),0)</f>
        <v/>
      </c>
      <c r="I86" s="68">
        <f>IF(I$51&lt;=Rates!$D$71,('Sell-Compute'!$C$40*(1+'Sell-Compute'!$C$50)^MOD(I$51-1,'Sell-Compute'!$C$21)-'Sell-Compute'!$C$42-'Sell-Compute'!$C$43)*(I81/4)-'Sell-Compute'!$C$41-'Sell-Compute'!$C$44-'Sell-Compute'!$C$45-IF(AND(MOD(I$51,'Sell-Compute'!$C$21)=0,I$51&lt;Rates!$D$71),'Sell-Compute'!$C$34*(I81/4),0),0)</f>
        <v/>
      </c>
      <c r="J86" s="68">
        <f>IF(J$51&lt;=Rates!$D$71,('Sell-Compute'!$C$40*(1+'Sell-Compute'!$C$50)^MOD(J$51-1,'Sell-Compute'!$C$21)-'Sell-Compute'!$C$42-'Sell-Compute'!$C$43)*(J81/4)-'Sell-Compute'!$C$41-'Sell-Compute'!$C$44-'Sell-Compute'!$C$45-IF(AND(MOD(J$51,'Sell-Compute'!$C$21)=0,J$51&lt;Rates!$D$71),'Sell-Compute'!$C$34*(J81/4),0),0)</f>
        <v/>
      </c>
      <c r="K86" s="68">
        <f>IF(K$51&lt;=Rates!$D$71,('Sell-Compute'!$C$40*(1+'Sell-Compute'!$C$50)^MOD(K$51-1,'Sell-Compute'!$C$21)-'Sell-Compute'!$C$42-'Sell-Compute'!$C$43)*(K81/4)-'Sell-Compute'!$C$41-'Sell-Compute'!$C$44-'Sell-Compute'!$C$45-IF(AND(MOD(K$51,'Sell-Compute'!$C$21)=0,K$51&lt;Rates!$D$71),'Sell-Compute'!$C$34*(K81/4),0),0)</f>
        <v/>
      </c>
      <c r="L86" s="68">
        <f>IF(L$51&lt;=Rates!$D$71,('Sell-Compute'!$C$40*(1+'Sell-Compute'!$C$50)^MOD(L$51-1,'Sell-Compute'!$C$21)-'Sell-Compute'!$C$42-'Sell-Compute'!$C$43)*(L81/4)-'Sell-Compute'!$C$41-'Sell-Compute'!$C$44-'Sell-Compute'!$C$45-IF(AND(MOD(L$51,'Sell-Compute'!$C$21)=0,L$51&lt;Rates!$D$71),'Sell-Compute'!$C$34*(L81/4),0),0)</f>
        <v/>
      </c>
      <c r="M86" s="68">
        <f>IF(M$51&lt;=Rates!$D$71,('Sell-Compute'!$C$40*(1+'Sell-Compute'!$C$50)^MOD(M$51-1,'Sell-Compute'!$C$21)-'Sell-Compute'!$C$42-'Sell-Compute'!$C$43)*(M81/4)-'Sell-Compute'!$C$41-'Sell-Compute'!$C$44-'Sell-Compute'!$C$45-IF(AND(MOD(M$51,'Sell-Compute'!$C$21)=0,M$51&lt;Rates!$D$71),'Sell-Compute'!$C$34*(M81/4),0),0)</f>
        <v/>
      </c>
      <c r="N86" s="68">
        <f>IF(N$51&lt;=Rates!$D$71,('Sell-Compute'!$C$40*(1+'Sell-Compute'!$C$50)^MOD(N$51-1,'Sell-Compute'!$C$21)-'Sell-Compute'!$C$42-'Sell-Compute'!$C$43)*(N81/4)-'Sell-Compute'!$C$41-'Sell-Compute'!$C$44-'Sell-Compute'!$C$45-IF(AND(MOD(N$51,'Sell-Compute'!$C$21)=0,N$51&lt;Rates!$D$71),'Sell-Compute'!$C$34*(N81/4),0),0)</f>
        <v/>
      </c>
      <c r="O86" s="68">
        <f>IF(O$51&lt;=Rates!$D$71,('Sell-Compute'!$C$40*(1+'Sell-Compute'!$C$50)^MOD(O$51-1,'Sell-Compute'!$C$21)-'Sell-Compute'!$C$42-'Sell-Compute'!$C$43)*(O81/4)-'Sell-Compute'!$C$41-'Sell-Compute'!$C$44-'Sell-Compute'!$C$45-IF(AND(MOD(O$51,'Sell-Compute'!$C$21)=0,O$51&lt;Rates!$D$71),'Sell-Compute'!$C$34*(O81/4),0),0)</f>
        <v/>
      </c>
      <c r="P86" s="68">
        <f>IF(P$51&lt;=Rates!$D$71,('Sell-Compute'!$C$40*(1+'Sell-Compute'!$C$50)^MOD(P$51-1,'Sell-Compute'!$C$21)-'Sell-Compute'!$C$42-'Sell-Compute'!$C$43)*(P81/4)-'Sell-Compute'!$C$41-'Sell-Compute'!$C$44-'Sell-Compute'!$C$45-IF(AND(MOD(P$51,'Sell-Compute'!$C$21)=0,P$51&lt;Rates!$D$71),'Sell-Compute'!$C$34*(P81/4),0),0)</f>
        <v/>
      </c>
      <c r="Q86" s="68">
        <f>IF(Q$51&lt;=Rates!$D$71,('Sell-Compute'!$C$40*(1+'Sell-Compute'!$C$50)^MOD(Q$51-1,'Sell-Compute'!$C$21)-'Sell-Compute'!$C$42-'Sell-Compute'!$C$43)*(Q81/4)-'Sell-Compute'!$C$41-'Sell-Compute'!$C$44-'Sell-Compute'!$C$45-IF(AND(MOD(Q$51,'Sell-Compute'!$C$21)=0,Q$51&lt;Rates!$D$71),'Sell-Compute'!$C$34*(Q81/4),0),0)</f>
        <v/>
      </c>
      <c r="R86" s="68">
        <f>IF(R$51&lt;=Rates!$D$71,('Sell-Compute'!$C$40*(1+'Sell-Compute'!$C$50)^MOD(R$51-1,'Sell-Compute'!$C$21)-'Sell-Compute'!$C$42-'Sell-Compute'!$C$43)*(R81/4)-'Sell-Compute'!$C$41-'Sell-Compute'!$C$44-'Sell-Compute'!$C$45-IF(AND(MOD(R$51,'Sell-Compute'!$C$21)=0,R$51&lt;Rates!$D$71),'Sell-Compute'!$C$34*(R81/4),0),0)</f>
        <v/>
      </c>
      <c r="S86" s="68">
        <f>IF(S$51&lt;=Rates!$D$71,('Sell-Compute'!$C$40*(1+'Sell-Compute'!$C$50)^MOD(S$51-1,'Sell-Compute'!$C$21)-'Sell-Compute'!$C$42-'Sell-Compute'!$C$43)*(S81/4)-'Sell-Compute'!$C$41-'Sell-Compute'!$C$44-'Sell-Compute'!$C$45-IF(AND(MOD(S$51,'Sell-Compute'!$C$21)=0,S$51&lt;Rates!$D$71),'Sell-Compute'!$C$34*(S81/4),0),0)</f>
        <v/>
      </c>
      <c r="T86" s="68">
        <f>IF(T$51&lt;=Rates!$D$71,('Sell-Compute'!$C$40*(1+'Sell-Compute'!$C$50)^MOD(T$51-1,'Sell-Compute'!$C$21)-'Sell-Compute'!$C$42-'Sell-Compute'!$C$43)*(T81/4)-'Sell-Compute'!$C$41-'Sell-Compute'!$C$44-'Sell-Compute'!$C$45-IF(AND(MOD(T$51,'Sell-Compute'!$C$21)=0,T$51&lt;Rates!$D$71),'Sell-Compute'!$C$34*(T81/4),0),0)</f>
        <v/>
      </c>
      <c r="U86" s="68">
        <f>IF(U$51&lt;=Rates!$D$71,('Sell-Compute'!$C$40*(1+'Sell-Compute'!$C$50)^MOD(U$51-1,'Sell-Compute'!$C$21)-'Sell-Compute'!$C$42-'Sell-Compute'!$C$43)*(U81/4)-'Sell-Compute'!$C$41-'Sell-Compute'!$C$44-'Sell-Compute'!$C$45-IF(AND(MOD(U$51,'Sell-Compute'!$C$21)=0,U$51&lt;Rates!$D$71),'Sell-Compute'!$C$34*(U81/4),0),0)</f>
        <v/>
      </c>
      <c r="V86" s="68">
        <f>IF(V$51&lt;=Rates!$D$71,('Sell-Compute'!$C$40*(1+'Sell-Compute'!$C$50)^MOD(V$51-1,'Sell-Compute'!$C$21)-'Sell-Compute'!$C$42-'Sell-Compute'!$C$43)*(V81/4)-'Sell-Compute'!$C$41-'Sell-Compute'!$C$44-'Sell-Compute'!$C$45-IF(AND(MOD(V$51,'Sell-Compute'!$C$21)=0,V$51&lt;Rates!$D$71),'Sell-Compute'!$C$34*(V81/4),0),0)</f>
        <v/>
      </c>
      <c r="W86" s="68">
        <f>IF(W$51&lt;=Rates!$D$71,('Sell-Compute'!$C$40*(1+'Sell-Compute'!$C$50)^MOD(W$51-1,'Sell-Compute'!$C$21)-'Sell-Compute'!$C$42-'Sell-Compute'!$C$43)*(W81/4)-'Sell-Compute'!$C$41-'Sell-Compute'!$C$44-'Sell-Compute'!$C$45-IF(AND(MOD(W$51,'Sell-Compute'!$C$21)=0,W$51&lt;Rates!$D$71),'Sell-Compute'!$C$34*(W81/4),0),0)</f>
        <v/>
      </c>
      <c r="X86" s="68">
        <f>IF(X$51&lt;=Rates!$D$71,('Sell-Compute'!$C$40*(1+'Sell-Compute'!$C$50)^MOD(X$51-1,'Sell-Compute'!$C$21)-'Sell-Compute'!$C$42-'Sell-Compute'!$C$43)*(X81/4)-'Sell-Compute'!$C$41-'Sell-Compute'!$C$44-'Sell-Compute'!$C$45-IF(AND(MOD(X$51,'Sell-Compute'!$C$21)=0,X$51&lt;Rates!$D$71),'Sell-Compute'!$C$34*(X81/4),0),0)</f>
        <v/>
      </c>
      <c r="Y86" s="68">
        <f>IF(Y$51&lt;=Rates!$D$71,('Sell-Compute'!$C$40*(1+'Sell-Compute'!$C$50)^MOD(Y$51-1,'Sell-Compute'!$C$21)-'Sell-Compute'!$C$42-'Sell-Compute'!$C$43)*(Y81/4)-'Sell-Compute'!$C$41-'Sell-Compute'!$C$44-'Sell-Compute'!$C$45-IF(AND(MOD(Y$51,'Sell-Compute'!$C$21)=0,Y$51&lt;Rates!$D$71),'Sell-Compute'!$C$34*(Y81/4),0),0)</f>
        <v/>
      </c>
      <c r="Z86" s="68">
        <f>IF(Z$51&lt;=Rates!$D$71,('Sell-Compute'!$C$40*(1+'Sell-Compute'!$C$50)^MOD(Z$51-1,'Sell-Compute'!$C$21)-'Sell-Compute'!$C$42-'Sell-Compute'!$C$43)*(Z81/4)-'Sell-Compute'!$C$41-'Sell-Compute'!$C$44-'Sell-Compute'!$C$45-IF(AND(MOD(Z$51,'Sell-Compute'!$C$21)=0,Z$51&lt;Rates!$D$71),'Sell-Compute'!$C$34*(Z81/4),0),0)</f>
        <v/>
      </c>
      <c r="AA86" s="68">
        <f>IF(AA$51&lt;=Rates!$D$71,('Sell-Compute'!$C$40*(1+'Sell-Compute'!$C$50)^MOD(AA$51-1,'Sell-Compute'!$C$21)-'Sell-Compute'!$C$42-'Sell-Compute'!$C$43)*(AA81/4)-'Sell-Compute'!$C$41-'Sell-Compute'!$C$44-'Sell-Compute'!$C$45-IF(AND(MOD(AA$51,'Sell-Compute'!$C$21)=0,AA$51&lt;Rates!$D$71),'Sell-Compute'!$C$34*(AA81/4),0),0)</f>
        <v/>
      </c>
      <c r="AB86" s="68">
        <f>IF(AB$51&lt;=Rates!$D$71,('Sell-Compute'!$C$40*(1+'Sell-Compute'!$C$50)^MOD(AB$51-1,'Sell-Compute'!$C$21)-'Sell-Compute'!$C$42-'Sell-Compute'!$C$43)*(AB81/4)-'Sell-Compute'!$C$41-'Sell-Compute'!$C$44-'Sell-Compute'!$C$45-IF(AND(MOD(AB$51,'Sell-Compute'!$C$21)=0,AB$51&lt;Rates!$D$71),'Sell-Compute'!$C$34*(AB81/4),0),0)</f>
        <v/>
      </c>
    </row>
    <row r="87">
      <c r="A87" s="68" t="inlineStr">
        <is>
          <t>(a) Extra doublets at start | dec</t>
        </is>
      </c>
      <c r="C87" s="68">
        <f>-'Sell-Compute'!$B$36-IF(ISNUMBER($E$74),$E$74*(2*($C$11+$C$12)*(1+$C$14)),0)</f>
        <v/>
      </c>
      <c r="D87" s="68">
        <f>IF(D$51&lt;=Rates!$D$71,('Sell-Compute'!$B$40*(1+'Sell-Compute'!$B$50)^MOD(D$51-1,'Sell-Compute'!$C$21)-'Sell-Compute'!$B$42-'Sell-Compute'!$B$43)*(D81/4)-'Sell-Compute'!$B$41-'Sell-Compute'!$B$44-'Sell-Compute'!$B$45-IF(AND(MOD(D$51,'Sell-Compute'!$C$21)=0,D$51&lt;Rates!$D$71),'Sell-Compute'!$B$34*(D81/4),0),0)</f>
        <v/>
      </c>
      <c r="E87" s="68">
        <f>IF(E$51&lt;=Rates!$D$71,('Sell-Compute'!$B$40*(1+'Sell-Compute'!$B$50)^MOD(E$51-1,'Sell-Compute'!$C$21)-'Sell-Compute'!$B$42-'Sell-Compute'!$B$43)*(E81/4)-'Sell-Compute'!$B$41-'Sell-Compute'!$B$44-'Sell-Compute'!$B$45-IF(AND(MOD(E$51,'Sell-Compute'!$C$21)=0,E$51&lt;Rates!$D$71),'Sell-Compute'!$B$34*(E81/4),0),0)</f>
        <v/>
      </c>
      <c r="F87" s="68">
        <f>IF(F$51&lt;=Rates!$D$71,('Sell-Compute'!$B$40*(1+'Sell-Compute'!$B$50)^MOD(F$51-1,'Sell-Compute'!$C$21)-'Sell-Compute'!$B$42-'Sell-Compute'!$B$43)*(F81/4)-'Sell-Compute'!$B$41-'Sell-Compute'!$B$44-'Sell-Compute'!$B$45-IF(AND(MOD(F$51,'Sell-Compute'!$C$21)=0,F$51&lt;Rates!$D$71),'Sell-Compute'!$B$34*(F81/4),0),0)</f>
        <v/>
      </c>
      <c r="G87" s="68">
        <f>IF(G$51&lt;=Rates!$D$71,('Sell-Compute'!$B$40*(1+'Sell-Compute'!$B$50)^MOD(G$51-1,'Sell-Compute'!$C$21)-'Sell-Compute'!$B$42-'Sell-Compute'!$B$43)*(G81/4)-'Sell-Compute'!$B$41-'Sell-Compute'!$B$44-'Sell-Compute'!$B$45-IF(AND(MOD(G$51,'Sell-Compute'!$C$21)=0,G$51&lt;Rates!$D$71),'Sell-Compute'!$B$34*(G81/4),0),0)</f>
        <v/>
      </c>
      <c r="H87" s="68">
        <f>IF(H$51&lt;=Rates!$D$71,('Sell-Compute'!$B$40*(1+'Sell-Compute'!$B$50)^MOD(H$51-1,'Sell-Compute'!$C$21)-'Sell-Compute'!$B$42-'Sell-Compute'!$B$43)*(H81/4)-'Sell-Compute'!$B$41-'Sell-Compute'!$B$44-'Sell-Compute'!$B$45-IF(AND(MOD(H$51,'Sell-Compute'!$C$21)=0,H$51&lt;Rates!$D$71),'Sell-Compute'!$B$34*(H81/4),0),0)</f>
        <v/>
      </c>
      <c r="I87" s="68">
        <f>IF(I$51&lt;=Rates!$D$71,('Sell-Compute'!$B$40*(1+'Sell-Compute'!$B$50)^MOD(I$51-1,'Sell-Compute'!$C$21)-'Sell-Compute'!$B$42-'Sell-Compute'!$B$43)*(I81/4)-'Sell-Compute'!$B$41-'Sell-Compute'!$B$44-'Sell-Compute'!$B$45-IF(AND(MOD(I$51,'Sell-Compute'!$C$21)=0,I$51&lt;Rates!$D$71),'Sell-Compute'!$B$34*(I81/4),0),0)</f>
        <v/>
      </c>
      <c r="J87" s="68">
        <f>IF(J$51&lt;=Rates!$D$71,('Sell-Compute'!$B$40*(1+'Sell-Compute'!$B$50)^MOD(J$51-1,'Sell-Compute'!$C$21)-'Sell-Compute'!$B$42-'Sell-Compute'!$B$43)*(J81/4)-'Sell-Compute'!$B$41-'Sell-Compute'!$B$44-'Sell-Compute'!$B$45-IF(AND(MOD(J$51,'Sell-Compute'!$C$21)=0,J$51&lt;Rates!$D$71),'Sell-Compute'!$B$34*(J81/4),0),0)</f>
        <v/>
      </c>
      <c r="K87" s="68">
        <f>IF(K$51&lt;=Rates!$D$71,('Sell-Compute'!$B$40*(1+'Sell-Compute'!$B$50)^MOD(K$51-1,'Sell-Compute'!$C$21)-'Sell-Compute'!$B$42-'Sell-Compute'!$B$43)*(K81/4)-'Sell-Compute'!$B$41-'Sell-Compute'!$B$44-'Sell-Compute'!$B$45-IF(AND(MOD(K$51,'Sell-Compute'!$C$21)=0,K$51&lt;Rates!$D$71),'Sell-Compute'!$B$34*(K81/4),0),0)</f>
        <v/>
      </c>
      <c r="L87" s="68">
        <f>IF(L$51&lt;=Rates!$D$71,('Sell-Compute'!$B$40*(1+'Sell-Compute'!$B$50)^MOD(L$51-1,'Sell-Compute'!$C$21)-'Sell-Compute'!$B$42-'Sell-Compute'!$B$43)*(L81/4)-'Sell-Compute'!$B$41-'Sell-Compute'!$B$44-'Sell-Compute'!$B$45-IF(AND(MOD(L$51,'Sell-Compute'!$C$21)=0,L$51&lt;Rates!$D$71),'Sell-Compute'!$B$34*(L81/4),0),0)</f>
        <v/>
      </c>
      <c r="M87" s="68">
        <f>IF(M$51&lt;=Rates!$D$71,('Sell-Compute'!$B$40*(1+'Sell-Compute'!$B$50)^MOD(M$51-1,'Sell-Compute'!$C$21)-'Sell-Compute'!$B$42-'Sell-Compute'!$B$43)*(M81/4)-'Sell-Compute'!$B$41-'Sell-Compute'!$B$44-'Sell-Compute'!$B$45-IF(AND(MOD(M$51,'Sell-Compute'!$C$21)=0,M$51&lt;Rates!$D$71),'Sell-Compute'!$B$34*(M81/4),0),0)</f>
        <v/>
      </c>
      <c r="N87" s="68">
        <f>IF(N$51&lt;=Rates!$D$71,('Sell-Compute'!$B$40*(1+'Sell-Compute'!$B$50)^MOD(N$51-1,'Sell-Compute'!$C$21)-'Sell-Compute'!$B$42-'Sell-Compute'!$B$43)*(N81/4)-'Sell-Compute'!$B$41-'Sell-Compute'!$B$44-'Sell-Compute'!$B$45-IF(AND(MOD(N$51,'Sell-Compute'!$C$21)=0,N$51&lt;Rates!$D$71),'Sell-Compute'!$B$34*(N81/4),0),0)</f>
        <v/>
      </c>
      <c r="O87" s="68">
        <f>IF(O$51&lt;=Rates!$D$71,('Sell-Compute'!$B$40*(1+'Sell-Compute'!$B$50)^MOD(O$51-1,'Sell-Compute'!$C$21)-'Sell-Compute'!$B$42-'Sell-Compute'!$B$43)*(O81/4)-'Sell-Compute'!$B$41-'Sell-Compute'!$B$44-'Sell-Compute'!$B$45-IF(AND(MOD(O$51,'Sell-Compute'!$C$21)=0,O$51&lt;Rates!$D$71),'Sell-Compute'!$B$34*(O81/4),0),0)</f>
        <v/>
      </c>
      <c r="P87" s="68">
        <f>IF(P$51&lt;=Rates!$D$71,('Sell-Compute'!$B$40*(1+'Sell-Compute'!$B$50)^MOD(P$51-1,'Sell-Compute'!$C$21)-'Sell-Compute'!$B$42-'Sell-Compute'!$B$43)*(P81/4)-'Sell-Compute'!$B$41-'Sell-Compute'!$B$44-'Sell-Compute'!$B$45-IF(AND(MOD(P$51,'Sell-Compute'!$C$21)=0,P$51&lt;Rates!$D$71),'Sell-Compute'!$B$34*(P81/4),0),0)</f>
        <v/>
      </c>
      <c r="Q87" s="68">
        <f>IF(Q$51&lt;=Rates!$D$71,('Sell-Compute'!$B$40*(1+'Sell-Compute'!$B$50)^MOD(Q$51-1,'Sell-Compute'!$C$21)-'Sell-Compute'!$B$42-'Sell-Compute'!$B$43)*(Q81/4)-'Sell-Compute'!$B$41-'Sell-Compute'!$B$44-'Sell-Compute'!$B$45-IF(AND(MOD(Q$51,'Sell-Compute'!$C$21)=0,Q$51&lt;Rates!$D$71),'Sell-Compute'!$B$34*(Q81/4),0),0)</f>
        <v/>
      </c>
      <c r="R87" s="68">
        <f>IF(R$51&lt;=Rates!$D$71,('Sell-Compute'!$B$40*(1+'Sell-Compute'!$B$50)^MOD(R$51-1,'Sell-Compute'!$C$21)-'Sell-Compute'!$B$42-'Sell-Compute'!$B$43)*(R81/4)-'Sell-Compute'!$B$41-'Sell-Compute'!$B$44-'Sell-Compute'!$B$45-IF(AND(MOD(R$51,'Sell-Compute'!$C$21)=0,R$51&lt;Rates!$D$71),'Sell-Compute'!$B$34*(R81/4),0),0)</f>
        <v/>
      </c>
      <c r="S87" s="68">
        <f>IF(S$51&lt;=Rates!$D$71,('Sell-Compute'!$B$40*(1+'Sell-Compute'!$B$50)^MOD(S$51-1,'Sell-Compute'!$C$21)-'Sell-Compute'!$B$42-'Sell-Compute'!$B$43)*(S81/4)-'Sell-Compute'!$B$41-'Sell-Compute'!$B$44-'Sell-Compute'!$B$45-IF(AND(MOD(S$51,'Sell-Compute'!$C$21)=0,S$51&lt;Rates!$D$71),'Sell-Compute'!$B$34*(S81/4),0),0)</f>
        <v/>
      </c>
      <c r="T87" s="68">
        <f>IF(T$51&lt;=Rates!$D$71,('Sell-Compute'!$B$40*(1+'Sell-Compute'!$B$50)^MOD(T$51-1,'Sell-Compute'!$C$21)-'Sell-Compute'!$B$42-'Sell-Compute'!$B$43)*(T81/4)-'Sell-Compute'!$B$41-'Sell-Compute'!$B$44-'Sell-Compute'!$B$45-IF(AND(MOD(T$51,'Sell-Compute'!$C$21)=0,T$51&lt;Rates!$D$71),'Sell-Compute'!$B$34*(T81/4),0),0)</f>
        <v/>
      </c>
      <c r="U87" s="68">
        <f>IF(U$51&lt;=Rates!$D$71,('Sell-Compute'!$B$40*(1+'Sell-Compute'!$B$50)^MOD(U$51-1,'Sell-Compute'!$C$21)-'Sell-Compute'!$B$42-'Sell-Compute'!$B$43)*(U81/4)-'Sell-Compute'!$B$41-'Sell-Compute'!$B$44-'Sell-Compute'!$B$45-IF(AND(MOD(U$51,'Sell-Compute'!$C$21)=0,U$51&lt;Rates!$D$71),'Sell-Compute'!$B$34*(U81/4),0),0)</f>
        <v/>
      </c>
      <c r="V87" s="68">
        <f>IF(V$51&lt;=Rates!$D$71,('Sell-Compute'!$B$40*(1+'Sell-Compute'!$B$50)^MOD(V$51-1,'Sell-Compute'!$C$21)-'Sell-Compute'!$B$42-'Sell-Compute'!$B$43)*(V81/4)-'Sell-Compute'!$B$41-'Sell-Compute'!$B$44-'Sell-Compute'!$B$45-IF(AND(MOD(V$51,'Sell-Compute'!$C$21)=0,V$51&lt;Rates!$D$71),'Sell-Compute'!$B$34*(V81/4),0),0)</f>
        <v/>
      </c>
      <c r="W87" s="68">
        <f>IF(W$51&lt;=Rates!$D$71,('Sell-Compute'!$B$40*(1+'Sell-Compute'!$B$50)^MOD(W$51-1,'Sell-Compute'!$C$21)-'Sell-Compute'!$B$42-'Sell-Compute'!$B$43)*(W81/4)-'Sell-Compute'!$B$41-'Sell-Compute'!$B$44-'Sell-Compute'!$B$45-IF(AND(MOD(W$51,'Sell-Compute'!$C$21)=0,W$51&lt;Rates!$D$71),'Sell-Compute'!$B$34*(W81/4),0),0)</f>
        <v/>
      </c>
      <c r="X87" s="68">
        <f>IF(X$51&lt;=Rates!$D$71,('Sell-Compute'!$B$40*(1+'Sell-Compute'!$B$50)^MOD(X$51-1,'Sell-Compute'!$C$21)-'Sell-Compute'!$B$42-'Sell-Compute'!$B$43)*(X81/4)-'Sell-Compute'!$B$41-'Sell-Compute'!$B$44-'Sell-Compute'!$B$45-IF(AND(MOD(X$51,'Sell-Compute'!$C$21)=0,X$51&lt;Rates!$D$71),'Sell-Compute'!$B$34*(X81/4),0),0)</f>
        <v/>
      </c>
      <c r="Y87" s="68">
        <f>IF(Y$51&lt;=Rates!$D$71,('Sell-Compute'!$B$40*(1+'Sell-Compute'!$B$50)^MOD(Y$51-1,'Sell-Compute'!$C$21)-'Sell-Compute'!$B$42-'Sell-Compute'!$B$43)*(Y81/4)-'Sell-Compute'!$B$41-'Sell-Compute'!$B$44-'Sell-Compute'!$B$45-IF(AND(MOD(Y$51,'Sell-Compute'!$C$21)=0,Y$51&lt;Rates!$D$71),'Sell-Compute'!$B$34*(Y81/4),0),0)</f>
        <v/>
      </c>
      <c r="Z87" s="68">
        <f>IF(Z$51&lt;=Rates!$D$71,('Sell-Compute'!$B$40*(1+'Sell-Compute'!$B$50)^MOD(Z$51-1,'Sell-Compute'!$C$21)-'Sell-Compute'!$B$42-'Sell-Compute'!$B$43)*(Z81/4)-'Sell-Compute'!$B$41-'Sell-Compute'!$B$44-'Sell-Compute'!$B$45-IF(AND(MOD(Z$51,'Sell-Compute'!$C$21)=0,Z$51&lt;Rates!$D$71),'Sell-Compute'!$B$34*(Z81/4),0),0)</f>
        <v/>
      </c>
      <c r="AA87" s="68">
        <f>IF(AA$51&lt;=Rates!$D$71,('Sell-Compute'!$B$40*(1+'Sell-Compute'!$B$50)^MOD(AA$51-1,'Sell-Compute'!$C$21)-'Sell-Compute'!$B$42-'Sell-Compute'!$B$43)*(AA81/4)-'Sell-Compute'!$B$41-'Sell-Compute'!$B$44-'Sell-Compute'!$B$45-IF(AND(MOD(AA$51,'Sell-Compute'!$C$21)=0,AA$51&lt;Rates!$D$71),'Sell-Compute'!$B$34*(AA81/4),0),0)</f>
        <v/>
      </c>
      <c r="AB87" s="68">
        <f>IF(AB$51&lt;=Rates!$D$71,('Sell-Compute'!$B$40*(1+'Sell-Compute'!$B$50)^MOD(AB$51-1,'Sell-Compute'!$C$21)-'Sell-Compute'!$B$42-'Sell-Compute'!$B$43)*(AB81/4)-'Sell-Compute'!$B$41-'Sell-Compute'!$B$44-'Sell-Compute'!$B$45-IF(AND(MOD(AB$51,'Sell-Compute'!$C$21)=0,AB$51&lt;Rates!$D$71),'Sell-Compute'!$B$34*(AB81/4),0),0)</f>
        <v/>
      </c>
    </row>
    <row r="88">
      <c r="A88" s="68" t="inlineStr">
        <is>
          <t>(a) Extra doublets at start | colo</t>
        </is>
      </c>
      <c r="C88" s="68">
        <f>-'Sell-Compute'!$I$36-IF(ISNUMBER($E$74),$E$74*(2*($C$11+$C$12)*(1+$C$14)),0)</f>
        <v/>
      </c>
      <c r="D88" s="68">
        <f>IF(D$51&lt;=Rates!$D$71,'Sell-Compute'!$I$46-'Sell-Compute'!$I$40*(1-(D81/4)),0)</f>
        <v/>
      </c>
      <c r="E88" s="68">
        <f>IF(E$51&lt;=Rates!$D$71,'Sell-Compute'!$I$46-'Sell-Compute'!$I$40*(1-(E81/4)),0)</f>
        <v/>
      </c>
      <c r="F88" s="68">
        <f>IF(F$51&lt;=Rates!$D$71,'Sell-Compute'!$I$46-'Sell-Compute'!$I$40*(1-(F81/4)),0)</f>
        <v/>
      </c>
      <c r="G88" s="68">
        <f>IF(G$51&lt;=Rates!$D$71,'Sell-Compute'!$I$46-'Sell-Compute'!$I$40*(1-(G81/4)),0)</f>
        <v/>
      </c>
      <c r="H88" s="68">
        <f>IF(H$51&lt;=Rates!$D$71,'Sell-Compute'!$I$46-'Sell-Compute'!$I$40*(1-(H81/4)),0)</f>
        <v/>
      </c>
      <c r="I88" s="68">
        <f>IF(I$51&lt;=Rates!$D$71,'Sell-Compute'!$I$46-'Sell-Compute'!$I$40*(1-(I81/4)),0)</f>
        <v/>
      </c>
      <c r="J88" s="68">
        <f>IF(J$51&lt;=Rates!$D$71,'Sell-Compute'!$I$46-'Sell-Compute'!$I$40*(1-(J81/4)),0)</f>
        <v/>
      </c>
      <c r="K88" s="68">
        <f>IF(K$51&lt;=Rates!$D$71,'Sell-Compute'!$I$46-'Sell-Compute'!$I$40*(1-(K81/4)),0)</f>
        <v/>
      </c>
      <c r="L88" s="68">
        <f>IF(L$51&lt;=Rates!$D$71,'Sell-Compute'!$I$46-'Sell-Compute'!$I$40*(1-(L81/4)),0)</f>
        <v/>
      </c>
      <c r="M88" s="68">
        <f>IF(M$51&lt;=Rates!$D$71,'Sell-Compute'!$I$46-'Sell-Compute'!$I$40*(1-(M81/4)),0)</f>
        <v/>
      </c>
      <c r="N88" s="68">
        <f>IF(N$51&lt;=Rates!$D$71,'Sell-Compute'!$I$46-'Sell-Compute'!$I$40*(1-(N81/4)),0)</f>
        <v/>
      </c>
      <c r="O88" s="68">
        <f>IF(O$51&lt;=Rates!$D$71,'Sell-Compute'!$I$46-'Sell-Compute'!$I$40*(1-(O81/4)),0)</f>
        <v/>
      </c>
      <c r="P88" s="68">
        <f>IF(P$51&lt;=Rates!$D$71,'Sell-Compute'!$I$46-'Sell-Compute'!$I$40*(1-(P81/4)),0)</f>
        <v/>
      </c>
      <c r="Q88" s="68">
        <f>IF(Q$51&lt;=Rates!$D$71,'Sell-Compute'!$I$46-'Sell-Compute'!$I$40*(1-(Q81/4)),0)</f>
        <v/>
      </c>
      <c r="R88" s="68">
        <f>IF(R$51&lt;=Rates!$D$71,'Sell-Compute'!$I$46-'Sell-Compute'!$I$40*(1-(R81/4)),0)</f>
        <v/>
      </c>
      <c r="S88" s="68">
        <f>IF(S$51&lt;=Rates!$D$71,'Sell-Compute'!$I$46-'Sell-Compute'!$I$40*(1-(S81/4)),0)</f>
        <v/>
      </c>
      <c r="T88" s="68">
        <f>IF(T$51&lt;=Rates!$D$71,'Sell-Compute'!$I$46-'Sell-Compute'!$I$40*(1-(T81/4)),0)</f>
        <v/>
      </c>
      <c r="U88" s="68">
        <f>IF(U$51&lt;=Rates!$D$71,'Sell-Compute'!$I$46-'Sell-Compute'!$I$40*(1-(U81/4)),0)</f>
        <v/>
      </c>
      <c r="V88" s="68">
        <f>IF(V$51&lt;=Rates!$D$71,'Sell-Compute'!$I$46-'Sell-Compute'!$I$40*(1-(V81/4)),0)</f>
        <v/>
      </c>
      <c r="W88" s="68">
        <f>IF(W$51&lt;=Rates!$D$71,'Sell-Compute'!$I$46-'Sell-Compute'!$I$40*(1-(W81/4)),0)</f>
        <v/>
      </c>
      <c r="X88" s="68">
        <f>IF(X$51&lt;=Rates!$D$71,'Sell-Compute'!$I$46-'Sell-Compute'!$I$40*(1-(X81/4)),0)</f>
        <v/>
      </c>
      <c r="Y88" s="68">
        <f>IF(Y$51&lt;=Rates!$D$71,'Sell-Compute'!$I$46-'Sell-Compute'!$I$40*(1-(Y81/4)),0)</f>
        <v/>
      </c>
      <c r="Z88" s="68">
        <f>IF(Z$51&lt;=Rates!$D$71,'Sell-Compute'!$I$46-'Sell-Compute'!$I$40*(1-(Z81/4)),0)</f>
        <v/>
      </c>
      <c r="AA88" s="68">
        <f>IF(AA$51&lt;=Rates!$D$71,'Sell-Compute'!$I$46-'Sell-Compute'!$I$40*(1-(AA81/4)),0)</f>
        <v/>
      </c>
      <c r="AB88" s="68">
        <f>IF(AB$51&lt;=Rates!$D$71,'Sell-Compute'!$I$46-'Sell-Compute'!$I$40*(1-(AB81/4)),0)</f>
        <v/>
      </c>
    </row>
    <row r="89">
      <c r="A89" s="68" t="inlineStr">
        <is>
          <t>(b) Make-up doublets on a monitored trigger | flat</t>
        </is>
      </c>
      <c r="C89" s="68">
        <f>-'Sell-Compute'!$C$36-C79</f>
        <v/>
      </c>
      <c r="D89" s="68">
        <f>IF(D$51&lt;=Rates!$D$71,('Sell-Compute'!$C$40*(1+'Sell-Compute'!$C$50)^MOD(D$51-1,'Sell-Compute'!$C$21)-'Sell-Compute'!$C$42-'Sell-Compute'!$C$43)*(D82/4)-'Sell-Compute'!$C$41-'Sell-Compute'!$C$44-'Sell-Compute'!$C$45-IF(AND(MOD(D$51,'Sell-Compute'!$C$21)=0,D$51&lt;Rates!$D$71),'Sell-Compute'!$C$34*(D82/4),0),0)-D79</f>
        <v/>
      </c>
      <c r="E89" s="68">
        <f>IF(E$51&lt;=Rates!$D$71,('Sell-Compute'!$C$40*(1+'Sell-Compute'!$C$50)^MOD(E$51-1,'Sell-Compute'!$C$21)-'Sell-Compute'!$C$42-'Sell-Compute'!$C$43)*(E82/4)-'Sell-Compute'!$C$41-'Sell-Compute'!$C$44-'Sell-Compute'!$C$45-IF(AND(MOD(E$51,'Sell-Compute'!$C$21)=0,E$51&lt;Rates!$D$71),'Sell-Compute'!$C$34*(E82/4),0),0)-E79</f>
        <v/>
      </c>
      <c r="F89" s="68">
        <f>IF(F$51&lt;=Rates!$D$71,('Sell-Compute'!$C$40*(1+'Sell-Compute'!$C$50)^MOD(F$51-1,'Sell-Compute'!$C$21)-'Sell-Compute'!$C$42-'Sell-Compute'!$C$43)*(F82/4)-'Sell-Compute'!$C$41-'Sell-Compute'!$C$44-'Sell-Compute'!$C$45-IF(AND(MOD(F$51,'Sell-Compute'!$C$21)=0,F$51&lt;Rates!$D$71),'Sell-Compute'!$C$34*(F82/4),0),0)-F79</f>
        <v/>
      </c>
      <c r="G89" s="68">
        <f>IF(G$51&lt;=Rates!$D$71,('Sell-Compute'!$C$40*(1+'Sell-Compute'!$C$50)^MOD(G$51-1,'Sell-Compute'!$C$21)-'Sell-Compute'!$C$42-'Sell-Compute'!$C$43)*(G82/4)-'Sell-Compute'!$C$41-'Sell-Compute'!$C$44-'Sell-Compute'!$C$45-IF(AND(MOD(G$51,'Sell-Compute'!$C$21)=0,G$51&lt;Rates!$D$71),'Sell-Compute'!$C$34*(G82/4),0),0)-G79</f>
        <v/>
      </c>
      <c r="H89" s="68">
        <f>IF(H$51&lt;=Rates!$D$71,('Sell-Compute'!$C$40*(1+'Sell-Compute'!$C$50)^MOD(H$51-1,'Sell-Compute'!$C$21)-'Sell-Compute'!$C$42-'Sell-Compute'!$C$43)*(H82/4)-'Sell-Compute'!$C$41-'Sell-Compute'!$C$44-'Sell-Compute'!$C$45-IF(AND(MOD(H$51,'Sell-Compute'!$C$21)=0,H$51&lt;Rates!$D$71),'Sell-Compute'!$C$34*(H82/4),0),0)-H79</f>
        <v/>
      </c>
      <c r="I89" s="68">
        <f>IF(I$51&lt;=Rates!$D$71,('Sell-Compute'!$C$40*(1+'Sell-Compute'!$C$50)^MOD(I$51-1,'Sell-Compute'!$C$21)-'Sell-Compute'!$C$42-'Sell-Compute'!$C$43)*(I82/4)-'Sell-Compute'!$C$41-'Sell-Compute'!$C$44-'Sell-Compute'!$C$45-IF(AND(MOD(I$51,'Sell-Compute'!$C$21)=0,I$51&lt;Rates!$D$71),'Sell-Compute'!$C$34*(I82/4),0),0)-I79</f>
        <v/>
      </c>
      <c r="J89" s="68">
        <f>IF(J$51&lt;=Rates!$D$71,('Sell-Compute'!$C$40*(1+'Sell-Compute'!$C$50)^MOD(J$51-1,'Sell-Compute'!$C$21)-'Sell-Compute'!$C$42-'Sell-Compute'!$C$43)*(J82/4)-'Sell-Compute'!$C$41-'Sell-Compute'!$C$44-'Sell-Compute'!$C$45-IF(AND(MOD(J$51,'Sell-Compute'!$C$21)=0,J$51&lt;Rates!$D$71),'Sell-Compute'!$C$34*(J82/4),0),0)-J79</f>
        <v/>
      </c>
      <c r="K89" s="68">
        <f>IF(K$51&lt;=Rates!$D$71,('Sell-Compute'!$C$40*(1+'Sell-Compute'!$C$50)^MOD(K$51-1,'Sell-Compute'!$C$21)-'Sell-Compute'!$C$42-'Sell-Compute'!$C$43)*(K82/4)-'Sell-Compute'!$C$41-'Sell-Compute'!$C$44-'Sell-Compute'!$C$45-IF(AND(MOD(K$51,'Sell-Compute'!$C$21)=0,K$51&lt;Rates!$D$71),'Sell-Compute'!$C$34*(K82/4),0),0)-K79</f>
        <v/>
      </c>
      <c r="L89" s="68">
        <f>IF(L$51&lt;=Rates!$D$71,('Sell-Compute'!$C$40*(1+'Sell-Compute'!$C$50)^MOD(L$51-1,'Sell-Compute'!$C$21)-'Sell-Compute'!$C$42-'Sell-Compute'!$C$43)*(L82/4)-'Sell-Compute'!$C$41-'Sell-Compute'!$C$44-'Sell-Compute'!$C$45-IF(AND(MOD(L$51,'Sell-Compute'!$C$21)=0,L$51&lt;Rates!$D$71),'Sell-Compute'!$C$34*(L82/4),0),0)-L79</f>
        <v/>
      </c>
      <c r="M89" s="68">
        <f>IF(M$51&lt;=Rates!$D$71,('Sell-Compute'!$C$40*(1+'Sell-Compute'!$C$50)^MOD(M$51-1,'Sell-Compute'!$C$21)-'Sell-Compute'!$C$42-'Sell-Compute'!$C$43)*(M82/4)-'Sell-Compute'!$C$41-'Sell-Compute'!$C$44-'Sell-Compute'!$C$45-IF(AND(MOD(M$51,'Sell-Compute'!$C$21)=0,M$51&lt;Rates!$D$71),'Sell-Compute'!$C$34*(M82/4),0),0)-M79</f>
        <v/>
      </c>
      <c r="N89" s="68">
        <f>IF(N$51&lt;=Rates!$D$71,('Sell-Compute'!$C$40*(1+'Sell-Compute'!$C$50)^MOD(N$51-1,'Sell-Compute'!$C$21)-'Sell-Compute'!$C$42-'Sell-Compute'!$C$43)*(N82/4)-'Sell-Compute'!$C$41-'Sell-Compute'!$C$44-'Sell-Compute'!$C$45-IF(AND(MOD(N$51,'Sell-Compute'!$C$21)=0,N$51&lt;Rates!$D$71),'Sell-Compute'!$C$34*(N82/4),0),0)-N79</f>
        <v/>
      </c>
      <c r="O89" s="68">
        <f>IF(O$51&lt;=Rates!$D$71,('Sell-Compute'!$C$40*(1+'Sell-Compute'!$C$50)^MOD(O$51-1,'Sell-Compute'!$C$21)-'Sell-Compute'!$C$42-'Sell-Compute'!$C$43)*(O82/4)-'Sell-Compute'!$C$41-'Sell-Compute'!$C$44-'Sell-Compute'!$C$45-IF(AND(MOD(O$51,'Sell-Compute'!$C$21)=0,O$51&lt;Rates!$D$71),'Sell-Compute'!$C$34*(O82/4),0),0)-O79</f>
        <v/>
      </c>
      <c r="P89" s="68">
        <f>IF(P$51&lt;=Rates!$D$71,('Sell-Compute'!$C$40*(1+'Sell-Compute'!$C$50)^MOD(P$51-1,'Sell-Compute'!$C$21)-'Sell-Compute'!$C$42-'Sell-Compute'!$C$43)*(P82/4)-'Sell-Compute'!$C$41-'Sell-Compute'!$C$44-'Sell-Compute'!$C$45-IF(AND(MOD(P$51,'Sell-Compute'!$C$21)=0,P$51&lt;Rates!$D$71),'Sell-Compute'!$C$34*(P82/4),0),0)-P79</f>
        <v/>
      </c>
      <c r="Q89" s="68">
        <f>IF(Q$51&lt;=Rates!$D$71,('Sell-Compute'!$C$40*(1+'Sell-Compute'!$C$50)^MOD(Q$51-1,'Sell-Compute'!$C$21)-'Sell-Compute'!$C$42-'Sell-Compute'!$C$43)*(Q82/4)-'Sell-Compute'!$C$41-'Sell-Compute'!$C$44-'Sell-Compute'!$C$45-IF(AND(MOD(Q$51,'Sell-Compute'!$C$21)=0,Q$51&lt;Rates!$D$71),'Sell-Compute'!$C$34*(Q82/4),0),0)-Q79</f>
        <v/>
      </c>
      <c r="R89" s="68">
        <f>IF(R$51&lt;=Rates!$D$71,('Sell-Compute'!$C$40*(1+'Sell-Compute'!$C$50)^MOD(R$51-1,'Sell-Compute'!$C$21)-'Sell-Compute'!$C$42-'Sell-Compute'!$C$43)*(R82/4)-'Sell-Compute'!$C$41-'Sell-Compute'!$C$44-'Sell-Compute'!$C$45-IF(AND(MOD(R$51,'Sell-Compute'!$C$21)=0,R$51&lt;Rates!$D$71),'Sell-Compute'!$C$34*(R82/4),0),0)-R79</f>
        <v/>
      </c>
      <c r="S89" s="68">
        <f>IF(S$51&lt;=Rates!$D$71,('Sell-Compute'!$C$40*(1+'Sell-Compute'!$C$50)^MOD(S$51-1,'Sell-Compute'!$C$21)-'Sell-Compute'!$C$42-'Sell-Compute'!$C$43)*(S82/4)-'Sell-Compute'!$C$41-'Sell-Compute'!$C$44-'Sell-Compute'!$C$45-IF(AND(MOD(S$51,'Sell-Compute'!$C$21)=0,S$51&lt;Rates!$D$71),'Sell-Compute'!$C$34*(S82/4),0),0)-S79</f>
        <v/>
      </c>
      <c r="T89" s="68">
        <f>IF(T$51&lt;=Rates!$D$71,('Sell-Compute'!$C$40*(1+'Sell-Compute'!$C$50)^MOD(T$51-1,'Sell-Compute'!$C$21)-'Sell-Compute'!$C$42-'Sell-Compute'!$C$43)*(T82/4)-'Sell-Compute'!$C$41-'Sell-Compute'!$C$44-'Sell-Compute'!$C$45-IF(AND(MOD(T$51,'Sell-Compute'!$C$21)=0,T$51&lt;Rates!$D$71),'Sell-Compute'!$C$34*(T82/4),0),0)-T79</f>
        <v/>
      </c>
      <c r="U89" s="68">
        <f>IF(U$51&lt;=Rates!$D$71,('Sell-Compute'!$C$40*(1+'Sell-Compute'!$C$50)^MOD(U$51-1,'Sell-Compute'!$C$21)-'Sell-Compute'!$C$42-'Sell-Compute'!$C$43)*(U82/4)-'Sell-Compute'!$C$41-'Sell-Compute'!$C$44-'Sell-Compute'!$C$45-IF(AND(MOD(U$51,'Sell-Compute'!$C$21)=0,U$51&lt;Rates!$D$71),'Sell-Compute'!$C$34*(U82/4),0),0)-U79</f>
        <v/>
      </c>
      <c r="V89" s="68">
        <f>IF(V$51&lt;=Rates!$D$71,('Sell-Compute'!$C$40*(1+'Sell-Compute'!$C$50)^MOD(V$51-1,'Sell-Compute'!$C$21)-'Sell-Compute'!$C$42-'Sell-Compute'!$C$43)*(V82/4)-'Sell-Compute'!$C$41-'Sell-Compute'!$C$44-'Sell-Compute'!$C$45-IF(AND(MOD(V$51,'Sell-Compute'!$C$21)=0,V$51&lt;Rates!$D$71),'Sell-Compute'!$C$34*(V82/4),0),0)-V79</f>
        <v/>
      </c>
      <c r="W89" s="68">
        <f>IF(W$51&lt;=Rates!$D$71,('Sell-Compute'!$C$40*(1+'Sell-Compute'!$C$50)^MOD(W$51-1,'Sell-Compute'!$C$21)-'Sell-Compute'!$C$42-'Sell-Compute'!$C$43)*(W82/4)-'Sell-Compute'!$C$41-'Sell-Compute'!$C$44-'Sell-Compute'!$C$45-IF(AND(MOD(W$51,'Sell-Compute'!$C$21)=0,W$51&lt;Rates!$D$71),'Sell-Compute'!$C$34*(W82/4),0),0)-W79</f>
        <v/>
      </c>
      <c r="X89" s="68">
        <f>IF(X$51&lt;=Rates!$D$71,('Sell-Compute'!$C$40*(1+'Sell-Compute'!$C$50)^MOD(X$51-1,'Sell-Compute'!$C$21)-'Sell-Compute'!$C$42-'Sell-Compute'!$C$43)*(X82/4)-'Sell-Compute'!$C$41-'Sell-Compute'!$C$44-'Sell-Compute'!$C$45-IF(AND(MOD(X$51,'Sell-Compute'!$C$21)=0,X$51&lt;Rates!$D$71),'Sell-Compute'!$C$34*(X82/4),0),0)-X79</f>
        <v/>
      </c>
      <c r="Y89" s="68">
        <f>IF(Y$51&lt;=Rates!$D$71,('Sell-Compute'!$C$40*(1+'Sell-Compute'!$C$50)^MOD(Y$51-1,'Sell-Compute'!$C$21)-'Sell-Compute'!$C$42-'Sell-Compute'!$C$43)*(Y82/4)-'Sell-Compute'!$C$41-'Sell-Compute'!$C$44-'Sell-Compute'!$C$45-IF(AND(MOD(Y$51,'Sell-Compute'!$C$21)=0,Y$51&lt;Rates!$D$71),'Sell-Compute'!$C$34*(Y82/4),0),0)-Y79</f>
        <v/>
      </c>
      <c r="Z89" s="68">
        <f>IF(Z$51&lt;=Rates!$D$71,('Sell-Compute'!$C$40*(1+'Sell-Compute'!$C$50)^MOD(Z$51-1,'Sell-Compute'!$C$21)-'Sell-Compute'!$C$42-'Sell-Compute'!$C$43)*(Z82/4)-'Sell-Compute'!$C$41-'Sell-Compute'!$C$44-'Sell-Compute'!$C$45-IF(AND(MOD(Z$51,'Sell-Compute'!$C$21)=0,Z$51&lt;Rates!$D$71),'Sell-Compute'!$C$34*(Z82/4),0),0)-Z79</f>
        <v/>
      </c>
      <c r="AA89" s="68">
        <f>IF(AA$51&lt;=Rates!$D$71,('Sell-Compute'!$C$40*(1+'Sell-Compute'!$C$50)^MOD(AA$51-1,'Sell-Compute'!$C$21)-'Sell-Compute'!$C$42-'Sell-Compute'!$C$43)*(AA82/4)-'Sell-Compute'!$C$41-'Sell-Compute'!$C$44-'Sell-Compute'!$C$45-IF(AND(MOD(AA$51,'Sell-Compute'!$C$21)=0,AA$51&lt;Rates!$D$71),'Sell-Compute'!$C$34*(AA82/4),0),0)-AA79</f>
        <v/>
      </c>
      <c r="AB89" s="68">
        <f>IF(AB$51&lt;=Rates!$D$71,('Sell-Compute'!$C$40*(1+'Sell-Compute'!$C$50)^MOD(AB$51-1,'Sell-Compute'!$C$21)-'Sell-Compute'!$C$42-'Sell-Compute'!$C$43)*(AB82/4)-'Sell-Compute'!$C$41-'Sell-Compute'!$C$44-'Sell-Compute'!$C$45-IF(AND(MOD(AB$51,'Sell-Compute'!$C$21)=0,AB$51&lt;Rates!$D$71),'Sell-Compute'!$C$34*(AB82/4),0),0)-AB79</f>
        <v/>
      </c>
    </row>
    <row r="90">
      <c r="A90" s="68" t="inlineStr">
        <is>
          <t>(b) Make-up doublets on a monitored trigger | dec</t>
        </is>
      </c>
      <c r="C90" s="68">
        <f>-'Sell-Compute'!$B$36-C79</f>
        <v/>
      </c>
      <c r="D90" s="68">
        <f>IF(D$51&lt;=Rates!$D$71,('Sell-Compute'!$B$40*(1+'Sell-Compute'!$B$50)^MOD(D$51-1,'Sell-Compute'!$C$21)-'Sell-Compute'!$B$42-'Sell-Compute'!$B$43)*(D82/4)-'Sell-Compute'!$B$41-'Sell-Compute'!$B$44-'Sell-Compute'!$B$45-IF(AND(MOD(D$51,'Sell-Compute'!$C$21)=0,D$51&lt;Rates!$D$71),'Sell-Compute'!$B$34*(D82/4),0),0)-D79</f>
        <v/>
      </c>
      <c r="E90" s="68">
        <f>IF(E$51&lt;=Rates!$D$71,('Sell-Compute'!$B$40*(1+'Sell-Compute'!$B$50)^MOD(E$51-1,'Sell-Compute'!$C$21)-'Sell-Compute'!$B$42-'Sell-Compute'!$B$43)*(E82/4)-'Sell-Compute'!$B$41-'Sell-Compute'!$B$44-'Sell-Compute'!$B$45-IF(AND(MOD(E$51,'Sell-Compute'!$C$21)=0,E$51&lt;Rates!$D$71),'Sell-Compute'!$B$34*(E82/4),0),0)-E79</f>
        <v/>
      </c>
      <c r="F90" s="68">
        <f>IF(F$51&lt;=Rates!$D$71,('Sell-Compute'!$B$40*(1+'Sell-Compute'!$B$50)^MOD(F$51-1,'Sell-Compute'!$C$21)-'Sell-Compute'!$B$42-'Sell-Compute'!$B$43)*(F82/4)-'Sell-Compute'!$B$41-'Sell-Compute'!$B$44-'Sell-Compute'!$B$45-IF(AND(MOD(F$51,'Sell-Compute'!$C$21)=0,F$51&lt;Rates!$D$71),'Sell-Compute'!$B$34*(F82/4),0),0)-F79</f>
        <v/>
      </c>
      <c r="G90" s="68">
        <f>IF(G$51&lt;=Rates!$D$71,('Sell-Compute'!$B$40*(1+'Sell-Compute'!$B$50)^MOD(G$51-1,'Sell-Compute'!$C$21)-'Sell-Compute'!$B$42-'Sell-Compute'!$B$43)*(G82/4)-'Sell-Compute'!$B$41-'Sell-Compute'!$B$44-'Sell-Compute'!$B$45-IF(AND(MOD(G$51,'Sell-Compute'!$C$21)=0,G$51&lt;Rates!$D$71),'Sell-Compute'!$B$34*(G82/4),0),0)-G79</f>
        <v/>
      </c>
      <c r="H90" s="68">
        <f>IF(H$51&lt;=Rates!$D$71,('Sell-Compute'!$B$40*(1+'Sell-Compute'!$B$50)^MOD(H$51-1,'Sell-Compute'!$C$21)-'Sell-Compute'!$B$42-'Sell-Compute'!$B$43)*(H82/4)-'Sell-Compute'!$B$41-'Sell-Compute'!$B$44-'Sell-Compute'!$B$45-IF(AND(MOD(H$51,'Sell-Compute'!$C$21)=0,H$51&lt;Rates!$D$71),'Sell-Compute'!$B$34*(H82/4),0),0)-H79</f>
        <v/>
      </c>
      <c r="I90" s="68">
        <f>IF(I$51&lt;=Rates!$D$71,('Sell-Compute'!$B$40*(1+'Sell-Compute'!$B$50)^MOD(I$51-1,'Sell-Compute'!$C$21)-'Sell-Compute'!$B$42-'Sell-Compute'!$B$43)*(I82/4)-'Sell-Compute'!$B$41-'Sell-Compute'!$B$44-'Sell-Compute'!$B$45-IF(AND(MOD(I$51,'Sell-Compute'!$C$21)=0,I$51&lt;Rates!$D$71),'Sell-Compute'!$B$34*(I82/4),0),0)-I79</f>
        <v/>
      </c>
      <c r="J90" s="68">
        <f>IF(J$51&lt;=Rates!$D$71,('Sell-Compute'!$B$40*(1+'Sell-Compute'!$B$50)^MOD(J$51-1,'Sell-Compute'!$C$21)-'Sell-Compute'!$B$42-'Sell-Compute'!$B$43)*(J82/4)-'Sell-Compute'!$B$41-'Sell-Compute'!$B$44-'Sell-Compute'!$B$45-IF(AND(MOD(J$51,'Sell-Compute'!$C$21)=0,J$51&lt;Rates!$D$71),'Sell-Compute'!$B$34*(J82/4),0),0)-J79</f>
        <v/>
      </c>
      <c r="K90" s="68">
        <f>IF(K$51&lt;=Rates!$D$71,('Sell-Compute'!$B$40*(1+'Sell-Compute'!$B$50)^MOD(K$51-1,'Sell-Compute'!$C$21)-'Sell-Compute'!$B$42-'Sell-Compute'!$B$43)*(K82/4)-'Sell-Compute'!$B$41-'Sell-Compute'!$B$44-'Sell-Compute'!$B$45-IF(AND(MOD(K$51,'Sell-Compute'!$C$21)=0,K$51&lt;Rates!$D$71),'Sell-Compute'!$B$34*(K82/4),0),0)-K79</f>
        <v/>
      </c>
      <c r="L90" s="68">
        <f>IF(L$51&lt;=Rates!$D$71,('Sell-Compute'!$B$40*(1+'Sell-Compute'!$B$50)^MOD(L$51-1,'Sell-Compute'!$C$21)-'Sell-Compute'!$B$42-'Sell-Compute'!$B$43)*(L82/4)-'Sell-Compute'!$B$41-'Sell-Compute'!$B$44-'Sell-Compute'!$B$45-IF(AND(MOD(L$51,'Sell-Compute'!$C$21)=0,L$51&lt;Rates!$D$71),'Sell-Compute'!$B$34*(L82/4),0),0)-L79</f>
        <v/>
      </c>
      <c r="M90" s="68">
        <f>IF(M$51&lt;=Rates!$D$71,('Sell-Compute'!$B$40*(1+'Sell-Compute'!$B$50)^MOD(M$51-1,'Sell-Compute'!$C$21)-'Sell-Compute'!$B$42-'Sell-Compute'!$B$43)*(M82/4)-'Sell-Compute'!$B$41-'Sell-Compute'!$B$44-'Sell-Compute'!$B$45-IF(AND(MOD(M$51,'Sell-Compute'!$C$21)=0,M$51&lt;Rates!$D$71),'Sell-Compute'!$B$34*(M82/4),0),0)-M79</f>
        <v/>
      </c>
      <c r="N90" s="68">
        <f>IF(N$51&lt;=Rates!$D$71,('Sell-Compute'!$B$40*(1+'Sell-Compute'!$B$50)^MOD(N$51-1,'Sell-Compute'!$C$21)-'Sell-Compute'!$B$42-'Sell-Compute'!$B$43)*(N82/4)-'Sell-Compute'!$B$41-'Sell-Compute'!$B$44-'Sell-Compute'!$B$45-IF(AND(MOD(N$51,'Sell-Compute'!$C$21)=0,N$51&lt;Rates!$D$71),'Sell-Compute'!$B$34*(N82/4),0),0)-N79</f>
        <v/>
      </c>
      <c r="O90" s="68">
        <f>IF(O$51&lt;=Rates!$D$71,('Sell-Compute'!$B$40*(1+'Sell-Compute'!$B$50)^MOD(O$51-1,'Sell-Compute'!$C$21)-'Sell-Compute'!$B$42-'Sell-Compute'!$B$43)*(O82/4)-'Sell-Compute'!$B$41-'Sell-Compute'!$B$44-'Sell-Compute'!$B$45-IF(AND(MOD(O$51,'Sell-Compute'!$C$21)=0,O$51&lt;Rates!$D$71),'Sell-Compute'!$B$34*(O82/4),0),0)-O79</f>
        <v/>
      </c>
      <c r="P90" s="68">
        <f>IF(P$51&lt;=Rates!$D$71,('Sell-Compute'!$B$40*(1+'Sell-Compute'!$B$50)^MOD(P$51-1,'Sell-Compute'!$C$21)-'Sell-Compute'!$B$42-'Sell-Compute'!$B$43)*(P82/4)-'Sell-Compute'!$B$41-'Sell-Compute'!$B$44-'Sell-Compute'!$B$45-IF(AND(MOD(P$51,'Sell-Compute'!$C$21)=0,P$51&lt;Rates!$D$71),'Sell-Compute'!$B$34*(P82/4),0),0)-P79</f>
        <v/>
      </c>
      <c r="Q90" s="68">
        <f>IF(Q$51&lt;=Rates!$D$71,('Sell-Compute'!$B$40*(1+'Sell-Compute'!$B$50)^MOD(Q$51-1,'Sell-Compute'!$C$21)-'Sell-Compute'!$B$42-'Sell-Compute'!$B$43)*(Q82/4)-'Sell-Compute'!$B$41-'Sell-Compute'!$B$44-'Sell-Compute'!$B$45-IF(AND(MOD(Q$51,'Sell-Compute'!$C$21)=0,Q$51&lt;Rates!$D$71),'Sell-Compute'!$B$34*(Q82/4),0),0)-Q79</f>
        <v/>
      </c>
      <c r="R90" s="68">
        <f>IF(R$51&lt;=Rates!$D$71,('Sell-Compute'!$B$40*(1+'Sell-Compute'!$B$50)^MOD(R$51-1,'Sell-Compute'!$C$21)-'Sell-Compute'!$B$42-'Sell-Compute'!$B$43)*(R82/4)-'Sell-Compute'!$B$41-'Sell-Compute'!$B$44-'Sell-Compute'!$B$45-IF(AND(MOD(R$51,'Sell-Compute'!$C$21)=0,R$51&lt;Rates!$D$71),'Sell-Compute'!$B$34*(R82/4),0),0)-R79</f>
        <v/>
      </c>
      <c r="S90" s="68">
        <f>IF(S$51&lt;=Rates!$D$71,('Sell-Compute'!$B$40*(1+'Sell-Compute'!$B$50)^MOD(S$51-1,'Sell-Compute'!$C$21)-'Sell-Compute'!$B$42-'Sell-Compute'!$B$43)*(S82/4)-'Sell-Compute'!$B$41-'Sell-Compute'!$B$44-'Sell-Compute'!$B$45-IF(AND(MOD(S$51,'Sell-Compute'!$C$21)=0,S$51&lt;Rates!$D$71),'Sell-Compute'!$B$34*(S82/4),0),0)-S79</f>
        <v/>
      </c>
      <c r="T90" s="68">
        <f>IF(T$51&lt;=Rates!$D$71,('Sell-Compute'!$B$40*(1+'Sell-Compute'!$B$50)^MOD(T$51-1,'Sell-Compute'!$C$21)-'Sell-Compute'!$B$42-'Sell-Compute'!$B$43)*(T82/4)-'Sell-Compute'!$B$41-'Sell-Compute'!$B$44-'Sell-Compute'!$B$45-IF(AND(MOD(T$51,'Sell-Compute'!$C$21)=0,T$51&lt;Rates!$D$71),'Sell-Compute'!$B$34*(T82/4),0),0)-T79</f>
        <v/>
      </c>
      <c r="U90" s="68">
        <f>IF(U$51&lt;=Rates!$D$71,('Sell-Compute'!$B$40*(1+'Sell-Compute'!$B$50)^MOD(U$51-1,'Sell-Compute'!$C$21)-'Sell-Compute'!$B$42-'Sell-Compute'!$B$43)*(U82/4)-'Sell-Compute'!$B$41-'Sell-Compute'!$B$44-'Sell-Compute'!$B$45-IF(AND(MOD(U$51,'Sell-Compute'!$C$21)=0,U$51&lt;Rates!$D$71),'Sell-Compute'!$B$34*(U82/4),0),0)-U79</f>
        <v/>
      </c>
      <c r="V90" s="68">
        <f>IF(V$51&lt;=Rates!$D$71,('Sell-Compute'!$B$40*(1+'Sell-Compute'!$B$50)^MOD(V$51-1,'Sell-Compute'!$C$21)-'Sell-Compute'!$B$42-'Sell-Compute'!$B$43)*(V82/4)-'Sell-Compute'!$B$41-'Sell-Compute'!$B$44-'Sell-Compute'!$B$45-IF(AND(MOD(V$51,'Sell-Compute'!$C$21)=0,V$51&lt;Rates!$D$71),'Sell-Compute'!$B$34*(V82/4),0),0)-V79</f>
        <v/>
      </c>
      <c r="W90" s="68">
        <f>IF(W$51&lt;=Rates!$D$71,('Sell-Compute'!$B$40*(1+'Sell-Compute'!$B$50)^MOD(W$51-1,'Sell-Compute'!$C$21)-'Sell-Compute'!$B$42-'Sell-Compute'!$B$43)*(W82/4)-'Sell-Compute'!$B$41-'Sell-Compute'!$B$44-'Sell-Compute'!$B$45-IF(AND(MOD(W$51,'Sell-Compute'!$C$21)=0,W$51&lt;Rates!$D$71),'Sell-Compute'!$B$34*(W82/4),0),0)-W79</f>
        <v/>
      </c>
      <c r="X90" s="68">
        <f>IF(X$51&lt;=Rates!$D$71,('Sell-Compute'!$B$40*(1+'Sell-Compute'!$B$50)^MOD(X$51-1,'Sell-Compute'!$C$21)-'Sell-Compute'!$B$42-'Sell-Compute'!$B$43)*(X82/4)-'Sell-Compute'!$B$41-'Sell-Compute'!$B$44-'Sell-Compute'!$B$45-IF(AND(MOD(X$51,'Sell-Compute'!$C$21)=0,X$51&lt;Rates!$D$71),'Sell-Compute'!$B$34*(X82/4),0),0)-X79</f>
        <v/>
      </c>
      <c r="Y90" s="68">
        <f>IF(Y$51&lt;=Rates!$D$71,('Sell-Compute'!$B$40*(1+'Sell-Compute'!$B$50)^MOD(Y$51-1,'Sell-Compute'!$C$21)-'Sell-Compute'!$B$42-'Sell-Compute'!$B$43)*(Y82/4)-'Sell-Compute'!$B$41-'Sell-Compute'!$B$44-'Sell-Compute'!$B$45-IF(AND(MOD(Y$51,'Sell-Compute'!$C$21)=0,Y$51&lt;Rates!$D$71),'Sell-Compute'!$B$34*(Y82/4),0),0)-Y79</f>
        <v/>
      </c>
      <c r="Z90" s="68">
        <f>IF(Z$51&lt;=Rates!$D$71,('Sell-Compute'!$B$40*(1+'Sell-Compute'!$B$50)^MOD(Z$51-1,'Sell-Compute'!$C$21)-'Sell-Compute'!$B$42-'Sell-Compute'!$B$43)*(Z82/4)-'Sell-Compute'!$B$41-'Sell-Compute'!$B$44-'Sell-Compute'!$B$45-IF(AND(MOD(Z$51,'Sell-Compute'!$C$21)=0,Z$51&lt;Rates!$D$71),'Sell-Compute'!$B$34*(Z82/4),0),0)-Z79</f>
        <v/>
      </c>
      <c r="AA90" s="68">
        <f>IF(AA$51&lt;=Rates!$D$71,('Sell-Compute'!$B$40*(1+'Sell-Compute'!$B$50)^MOD(AA$51-1,'Sell-Compute'!$C$21)-'Sell-Compute'!$B$42-'Sell-Compute'!$B$43)*(AA82/4)-'Sell-Compute'!$B$41-'Sell-Compute'!$B$44-'Sell-Compute'!$B$45-IF(AND(MOD(AA$51,'Sell-Compute'!$C$21)=0,AA$51&lt;Rates!$D$71),'Sell-Compute'!$B$34*(AA82/4),0),0)-AA79</f>
        <v/>
      </c>
      <c r="AB90" s="68">
        <f>IF(AB$51&lt;=Rates!$D$71,('Sell-Compute'!$B$40*(1+'Sell-Compute'!$B$50)^MOD(AB$51-1,'Sell-Compute'!$C$21)-'Sell-Compute'!$B$42-'Sell-Compute'!$B$43)*(AB82/4)-'Sell-Compute'!$B$41-'Sell-Compute'!$B$44-'Sell-Compute'!$B$45-IF(AND(MOD(AB$51,'Sell-Compute'!$C$21)=0,AB$51&lt;Rates!$D$71),'Sell-Compute'!$B$34*(AB82/4),0),0)-AB79</f>
        <v/>
      </c>
    </row>
    <row r="91">
      <c r="A91" s="68" t="inlineStr">
        <is>
          <t>(b) Make-up doublets on a monitored trigger | colo</t>
        </is>
      </c>
      <c r="C91" s="68">
        <f>-'Sell-Compute'!$I$36-C79</f>
        <v/>
      </c>
      <c r="D91" s="68">
        <f>IF(D$51&lt;=Rates!$D$71,'Sell-Compute'!$I$46-'Sell-Compute'!$I$40*(1-(D82/4)),0)-D79</f>
        <v/>
      </c>
      <c r="E91" s="68">
        <f>IF(E$51&lt;=Rates!$D$71,'Sell-Compute'!$I$46-'Sell-Compute'!$I$40*(1-(E82/4)),0)-E79</f>
        <v/>
      </c>
      <c r="F91" s="68">
        <f>IF(F$51&lt;=Rates!$D$71,'Sell-Compute'!$I$46-'Sell-Compute'!$I$40*(1-(F82/4)),0)-F79</f>
        <v/>
      </c>
      <c r="G91" s="68">
        <f>IF(G$51&lt;=Rates!$D$71,'Sell-Compute'!$I$46-'Sell-Compute'!$I$40*(1-(G82/4)),0)-G79</f>
        <v/>
      </c>
      <c r="H91" s="68">
        <f>IF(H$51&lt;=Rates!$D$71,'Sell-Compute'!$I$46-'Sell-Compute'!$I$40*(1-(H82/4)),0)-H79</f>
        <v/>
      </c>
      <c r="I91" s="68">
        <f>IF(I$51&lt;=Rates!$D$71,'Sell-Compute'!$I$46-'Sell-Compute'!$I$40*(1-(I82/4)),0)-I79</f>
        <v/>
      </c>
      <c r="J91" s="68">
        <f>IF(J$51&lt;=Rates!$D$71,'Sell-Compute'!$I$46-'Sell-Compute'!$I$40*(1-(J82/4)),0)-J79</f>
        <v/>
      </c>
      <c r="K91" s="68">
        <f>IF(K$51&lt;=Rates!$D$71,'Sell-Compute'!$I$46-'Sell-Compute'!$I$40*(1-(K82/4)),0)-K79</f>
        <v/>
      </c>
      <c r="L91" s="68">
        <f>IF(L$51&lt;=Rates!$D$71,'Sell-Compute'!$I$46-'Sell-Compute'!$I$40*(1-(L82/4)),0)-L79</f>
        <v/>
      </c>
      <c r="M91" s="68">
        <f>IF(M$51&lt;=Rates!$D$71,'Sell-Compute'!$I$46-'Sell-Compute'!$I$40*(1-(M82/4)),0)-M79</f>
        <v/>
      </c>
      <c r="N91" s="68">
        <f>IF(N$51&lt;=Rates!$D$71,'Sell-Compute'!$I$46-'Sell-Compute'!$I$40*(1-(N82/4)),0)-N79</f>
        <v/>
      </c>
      <c r="O91" s="68">
        <f>IF(O$51&lt;=Rates!$D$71,'Sell-Compute'!$I$46-'Sell-Compute'!$I$40*(1-(O82/4)),0)-O79</f>
        <v/>
      </c>
      <c r="P91" s="68">
        <f>IF(P$51&lt;=Rates!$D$71,'Sell-Compute'!$I$46-'Sell-Compute'!$I$40*(1-(P82/4)),0)-P79</f>
        <v/>
      </c>
      <c r="Q91" s="68">
        <f>IF(Q$51&lt;=Rates!$D$71,'Sell-Compute'!$I$46-'Sell-Compute'!$I$40*(1-(Q82/4)),0)-Q79</f>
        <v/>
      </c>
      <c r="R91" s="68">
        <f>IF(R$51&lt;=Rates!$D$71,'Sell-Compute'!$I$46-'Sell-Compute'!$I$40*(1-(R82/4)),0)-R79</f>
        <v/>
      </c>
      <c r="S91" s="68">
        <f>IF(S$51&lt;=Rates!$D$71,'Sell-Compute'!$I$46-'Sell-Compute'!$I$40*(1-(S82/4)),0)-S79</f>
        <v/>
      </c>
      <c r="T91" s="68">
        <f>IF(T$51&lt;=Rates!$D$71,'Sell-Compute'!$I$46-'Sell-Compute'!$I$40*(1-(T82/4)),0)-T79</f>
        <v/>
      </c>
      <c r="U91" s="68">
        <f>IF(U$51&lt;=Rates!$D$71,'Sell-Compute'!$I$46-'Sell-Compute'!$I$40*(1-(U82/4)),0)-U79</f>
        <v/>
      </c>
      <c r="V91" s="68">
        <f>IF(V$51&lt;=Rates!$D$71,'Sell-Compute'!$I$46-'Sell-Compute'!$I$40*(1-(V82/4)),0)-V79</f>
        <v/>
      </c>
      <c r="W91" s="68">
        <f>IF(W$51&lt;=Rates!$D$71,'Sell-Compute'!$I$46-'Sell-Compute'!$I$40*(1-(W82/4)),0)-W79</f>
        <v/>
      </c>
      <c r="X91" s="68">
        <f>IF(X$51&lt;=Rates!$D$71,'Sell-Compute'!$I$46-'Sell-Compute'!$I$40*(1-(X82/4)),0)-X79</f>
        <v/>
      </c>
      <c r="Y91" s="68">
        <f>IF(Y$51&lt;=Rates!$D$71,'Sell-Compute'!$I$46-'Sell-Compute'!$I$40*(1-(Y82/4)),0)-Y79</f>
        <v/>
      </c>
      <c r="Z91" s="68">
        <f>IF(Z$51&lt;=Rates!$D$71,'Sell-Compute'!$I$46-'Sell-Compute'!$I$40*(1-(Z82/4)),0)-Z79</f>
        <v/>
      </c>
      <c r="AA91" s="68">
        <f>IF(AA$51&lt;=Rates!$D$71,'Sell-Compute'!$I$46-'Sell-Compute'!$I$40*(1-(AA82/4)),0)-AA79</f>
        <v/>
      </c>
      <c r="AB91" s="68">
        <f>IF(AB$51&lt;=Rates!$D$71,'Sell-Compute'!$I$46-'Sell-Compute'!$I$40*(1-(AB82/4)),0)-AB79</f>
        <v/>
      </c>
    </row>
    <row r="92">
      <c r="A92" s="68" t="inlineStr">
        <is>
          <t>(c) Build fewer modules | flat</t>
        </is>
      </c>
      <c r="C92" s="68">
        <f>-'Sell-Compute'!$C$36+(1-($G$74/4))*('Sell-Compute'!$C$34+('AU-Route'!$B$31*(1+Control!$B$13)))</f>
        <v/>
      </c>
      <c r="D92" s="68">
        <f>IF(D$51&lt;=Rates!$D$71,('Sell-Compute'!$C$40*(1+'Sell-Compute'!$C$50)^MOD(D$51-1,'Sell-Compute'!$C$21)-'Sell-Compute'!$C$42-'Sell-Compute'!$C$43)*($G$74/4)-'Sell-Compute'!$C$41-'Sell-Compute'!$C$44-'Sell-Compute'!$C$45-IF(AND(MOD(D$51,'Sell-Compute'!$C$21)=0,D$51&lt;Rates!$D$71),'Sell-Compute'!$C$34*($G$74/4),0),0)</f>
        <v/>
      </c>
      <c r="E92" s="68">
        <f>IF(E$51&lt;=Rates!$D$71,('Sell-Compute'!$C$40*(1+'Sell-Compute'!$C$50)^MOD(E$51-1,'Sell-Compute'!$C$21)-'Sell-Compute'!$C$42-'Sell-Compute'!$C$43)*($G$74/4)-'Sell-Compute'!$C$41-'Sell-Compute'!$C$44-'Sell-Compute'!$C$45-IF(AND(MOD(E$51,'Sell-Compute'!$C$21)=0,E$51&lt;Rates!$D$71),'Sell-Compute'!$C$34*($G$74/4),0),0)</f>
        <v/>
      </c>
      <c r="F92" s="68">
        <f>IF(F$51&lt;=Rates!$D$71,('Sell-Compute'!$C$40*(1+'Sell-Compute'!$C$50)^MOD(F$51-1,'Sell-Compute'!$C$21)-'Sell-Compute'!$C$42-'Sell-Compute'!$C$43)*($G$74/4)-'Sell-Compute'!$C$41-'Sell-Compute'!$C$44-'Sell-Compute'!$C$45-IF(AND(MOD(F$51,'Sell-Compute'!$C$21)=0,F$51&lt;Rates!$D$71),'Sell-Compute'!$C$34*($G$74/4),0),0)</f>
        <v/>
      </c>
      <c r="G92" s="68">
        <f>IF(G$51&lt;=Rates!$D$71,('Sell-Compute'!$C$40*(1+'Sell-Compute'!$C$50)^MOD(G$51-1,'Sell-Compute'!$C$21)-'Sell-Compute'!$C$42-'Sell-Compute'!$C$43)*($G$74/4)-'Sell-Compute'!$C$41-'Sell-Compute'!$C$44-'Sell-Compute'!$C$45-IF(AND(MOD(G$51,'Sell-Compute'!$C$21)=0,G$51&lt;Rates!$D$71),'Sell-Compute'!$C$34*($G$74/4),0),0)</f>
        <v/>
      </c>
      <c r="H92" s="68">
        <f>IF(H$51&lt;=Rates!$D$71,('Sell-Compute'!$C$40*(1+'Sell-Compute'!$C$50)^MOD(H$51-1,'Sell-Compute'!$C$21)-'Sell-Compute'!$C$42-'Sell-Compute'!$C$43)*($G$74/4)-'Sell-Compute'!$C$41-'Sell-Compute'!$C$44-'Sell-Compute'!$C$45-IF(AND(MOD(H$51,'Sell-Compute'!$C$21)=0,H$51&lt;Rates!$D$71),'Sell-Compute'!$C$34*($G$74/4),0),0)</f>
        <v/>
      </c>
      <c r="I92" s="68">
        <f>IF(I$51&lt;=Rates!$D$71,('Sell-Compute'!$C$40*(1+'Sell-Compute'!$C$50)^MOD(I$51-1,'Sell-Compute'!$C$21)-'Sell-Compute'!$C$42-'Sell-Compute'!$C$43)*($G$74/4)-'Sell-Compute'!$C$41-'Sell-Compute'!$C$44-'Sell-Compute'!$C$45-IF(AND(MOD(I$51,'Sell-Compute'!$C$21)=0,I$51&lt;Rates!$D$71),'Sell-Compute'!$C$34*($G$74/4),0),0)</f>
        <v/>
      </c>
      <c r="J92" s="68">
        <f>IF(J$51&lt;=Rates!$D$71,('Sell-Compute'!$C$40*(1+'Sell-Compute'!$C$50)^MOD(J$51-1,'Sell-Compute'!$C$21)-'Sell-Compute'!$C$42-'Sell-Compute'!$C$43)*($G$74/4)-'Sell-Compute'!$C$41-'Sell-Compute'!$C$44-'Sell-Compute'!$C$45-IF(AND(MOD(J$51,'Sell-Compute'!$C$21)=0,J$51&lt;Rates!$D$71),'Sell-Compute'!$C$34*($G$74/4),0),0)</f>
        <v/>
      </c>
      <c r="K92" s="68">
        <f>IF(K$51&lt;=Rates!$D$71,('Sell-Compute'!$C$40*(1+'Sell-Compute'!$C$50)^MOD(K$51-1,'Sell-Compute'!$C$21)-'Sell-Compute'!$C$42-'Sell-Compute'!$C$43)*($G$74/4)-'Sell-Compute'!$C$41-'Sell-Compute'!$C$44-'Sell-Compute'!$C$45-IF(AND(MOD(K$51,'Sell-Compute'!$C$21)=0,K$51&lt;Rates!$D$71),'Sell-Compute'!$C$34*($G$74/4),0),0)</f>
        <v/>
      </c>
      <c r="L92" s="68">
        <f>IF(L$51&lt;=Rates!$D$71,('Sell-Compute'!$C$40*(1+'Sell-Compute'!$C$50)^MOD(L$51-1,'Sell-Compute'!$C$21)-'Sell-Compute'!$C$42-'Sell-Compute'!$C$43)*($G$74/4)-'Sell-Compute'!$C$41-'Sell-Compute'!$C$44-'Sell-Compute'!$C$45-IF(AND(MOD(L$51,'Sell-Compute'!$C$21)=0,L$51&lt;Rates!$D$71),'Sell-Compute'!$C$34*($G$74/4),0),0)</f>
        <v/>
      </c>
      <c r="M92" s="68">
        <f>IF(M$51&lt;=Rates!$D$71,('Sell-Compute'!$C$40*(1+'Sell-Compute'!$C$50)^MOD(M$51-1,'Sell-Compute'!$C$21)-'Sell-Compute'!$C$42-'Sell-Compute'!$C$43)*($G$74/4)-'Sell-Compute'!$C$41-'Sell-Compute'!$C$44-'Sell-Compute'!$C$45-IF(AND(MOD(M$51,'Sell-Compute'!$C$21)=0,M$51&lt;Rates!$D$71),'Sell-Compute'!$C$34*($G$74/4),0),0)</f>
        <v/>
      </c>
      <c r="N92" s="68">
        <f>IF(N$51&lt;=Rates!$D$71,('Sell-Compute'!$C$40*(1+'Sell-Compute'!$C$50)^MOD(N$51-1,'Sell-Compute'!$C$21)-'Sell-Compute'!$C$42-'Sell-Compute'!$C$43)*($G$74/4)-'Sell-Compute'!$C$41-'Sell-Compute'!$C$44-'Sell-Compute'!$C$45-IF(AND(MOD(N$51,'Sell-Compute'!$C$21)=0,N$51&lt;Rates!$D$71),'Sell-Compute'!$C$34*($G$74/4),0),0)</f>
        <v/>
      </c>
      <c r="O92" s="68">
        <f>IF(O$51&lt;=Rates!$D$71,('Sell-Compute'!$C$40*(1+'Sell-Compute'!$C$50)^MOD(O$51-1,'Sell-Compute'!$C$21)-'Sell-Compute'!$C$42-'Sell-Compute'!$C$43)*($G$74/4)-'Sell-Compute'!$C$41-'Sell-Compute'!$C$44-'Sell-Compute'!$C$45-IF(AND(MOD(O$51,'Sell-Compute'!$C$21)=0,O$51&lt;Rates!$D$71),'Sell-Compute'!$C$34*($G$74/4),0),0)</f>
        <v/>
      </c>
      <c r="P92" s="68">
        <f>IF(P$51&lt;=Rates!$D$71,('Sell-Compute'!$C$40*(1+'Sell-Compute'!$C$50)^MOD(P$51-1,'Sell-Compute'!$C$21)-'Sell-Compute'!$C$42-'Sell-Compute'!$C$43)*($G$74/4)-'Sell-Compute'!$C$41-'Sell-Compute'!$C$44-'Sell-Compute'!$C$45-IF(AND(MOD(P$51,'Sell-Compute'!$C$21)=0,P$51&lt;Rates!$D$71),'Sell-Compute'!$C$34*($G$74/4),0),0)</f>
        <v/>
      </c>
      <c r="Q92" s="68">
        <f>IF(Q$51&lt;=Rates!$D$71,('Sell-Compute'!$C$40*(1+'Sell-Compute'!$C$50)^MOD(Q$51-1,'Sell-Compute'!$C$21)-'Sell-Compute'!$C$42-'Sell-Compute'!$C$43)*($G$74/4)-'Sell-Compute'!$C$41-'Sell-Compute'!$C$44-'Sell-Compute'!$C$45-IF(AND(MOD(Q$51,'Sell-Compute'!$C$21)=0,Q$51&lt;Rates!$D$71),'Sell-Compute'!$C$34*($G$74/4),0),0)</f>
        <v/>
      </c>
      <c r="R92" s="68">
        <f>IF(R$51&lt;=Rates!$D$71,('Sell-Compute'!$C$40*(1+'Sell-Compute'!$C$50)^MOD(R$51-1,'Sell-Compute'!$C$21)-'Sell-Compute'!$C$42-'Sell-Compute'!$C$43)*($G$74/4)-'Sell-Compute'!$C$41-'Sell-Compute'!$C$44-'Sell-Compute'!$C$45-IF(AND(MOD(R$51,'Sell-Compute'!$C$21)=0,R$51&lt;Rates!$D$71),'Sell-Compute'!$C$34*($G$74/4),0),0)</f>
        <v/>
      </c>
      <c r="S92" s="68">
        <f>IF(S$51&lt;=Rates!$D$71,('Sell-Compute'!$C$40*(1+'Sell-Compute'!$C$50)^MOD(S$51-1,'Sell-Compute'!$C$21)-'Sell-Compute'!$C$42-'Sell-Compute'!$C$43)*($G$74/4)-'Sell-Compute'!$C$41-'Sell-Compute'!$C$44-'Sell-Compute'!$C$45-IF(AND(MOD(S$51,'Sell-Compute'!$C$21)=0,S$51&lt;Rates!$D$71),'Sell-Compute'!$C$34*($G$74/4),0),0)</f>
        <v/>
      </c>
      <c r="T92" s="68">
        <f>IF(T$51&lt;=Rates!$D$71,('Sell-Compute'!$C$40*(1+'Sell-Compute'!$C$50)^MOD(T$51-1,'Sell-Compute'!$C$21)-'Sell-Compute'!$C$42-'Sell-Compute'!$C$43)*($G$74/4)-'Sell-Compute'!$C$41-'Sell-Compute'!$C$44-'Sell-Compute'!$C$45-IF(AND(MOD(T$51,'Sell-Compute'!$C$21)=0,T$51&lt;Rates!$D$71),'Sell-Compute'!$C$34*($G$74/4),0),0)</f>
        <v/>
      </c>
      <c r="U92" s="68">
        <f>IF(U$51&lt;=Rates!$D$71,('Sell-Compute'!$C$40*(1+'Sell-Compute'!$C$50)^MOD(U$51-1,'Sell-Compute'!$C$21)-'Sell-Compute'!$C$42-'Sell-Compute'!$C$43)*($G$74/4)-'Sell-Compute'!$C$41-'Sell-Compute'!$C$44-'Sell-Compute'!$C$45-IF(AND(MOD(U$51,'Sell-Compute'!$C$21)=0,U$51&lt;Rates!$D$71),'Sell-Compute'!$C$34*($G$74/4),0),0)</f>
        <v/>
      </c>
      <c r="V92" s="68">
        <f>IF(V$51&lt;=Rates!$D$71,('Sell-Compute'!$C$40*(1+'Sell-Compute'!$C$50)^MOD(V$51-1,'Sell-Compute'!$C$21)-'Sell-Compute'!$C$42-'Sell-Compute'!$C$43)*($G$74/4)-'Sell-Compute'!$C$41-'Sell-Compute'!$C$44-'Sell-Compute'!$C$45-IF(AND(MOD(V$51,'Sell-Compute'!$C$21)=0,V$51&lt;Rates!$D$71),'Sell-Compute'!$C$34*($G$74/4),0),0)</f>
        <v/>
      </c>
      <c r="W92" s="68">
        <f>IF(W$51&lt;=Rates!$D$71,('Sell-Compute'!$C$40*(1+'Sell-Compute'!$C$50)^MOD(W$51-1,'Sell-Compute'!$C$21)-'Sell-Compute'!$C$42-'Sell-Compute'!$C$43)*($G$74/4)-'Sell-Compute'!$C$41-'Sell-Compute'!$C$44-'Sell-Compute'!$C$45-IF(AND(MOD(W$51,'Sell-Compute'!$C$21)=0,W$51&lt;Rates!$D$71),'Sell-Compute'!$C$34*($G$74/4),0),0)</f>
        <v/>
      </c>
      <c r="X92" s="68">
        <f>IF(X$51&lt;=Rates!$D$71,('Sell-Compute'!$C$40*(1+'Sell-Compute'!$C$50)^MOD(X$51-1,'Sell-Compute'!$C$21)-'Sell-Compute'!$C$42-'Sell-Compute'!$C$43)*($G$74/4)-'Sell-Compute'!$C$41-'Sell-Compute'!$C$44-'Sell-Compute'!$C$45-IF(AND(MOD(X$51,'Sell-Compute'!$C$21)=0,X$51&lt;Rates!$D$71),'Sell-Compute'!$C$34*($G$74/4),0),0)</f>
        <v/>
      </c>
      <c r="Y92" s="68">
        <f>IF(Y$51&lt;=Rates!$D$71,('Sell-Compute'!$C$40*(1+'Sell-Compute'!$C$50)^MOD(Y$51-1,'Sell-Compute'!$C$21)-'Sell-Compute'!$C$42-'Sell-Compute'!$C$43)*($G$74/4)-'Sell-Compute'!$C$41-'Sell-Compute'!$C$44-'Sell-Compute'!$C$45-IF(AND(MOD(Y$51,'Sell-Compute'!$C$21)=0,Y$51&lt;Rates!$D$71),'Sell-Compute'!$C$34*($G$74/4),0),0)</f>
        <v/>
      </c>
      <c r="Z92" s="68">
        <f>IF(Z$51&lt;=Rates!$D$71,('Sell-Compute'!$C$40*(1+'Sell-Compute'!$C$50)^MOD(Z$51-1,'Sell-Compute'!$C$21)-'Sell-Compute'!$C$42-'Sell-Compute'!$C$43)*($G$74/4)-'Sell-Compute'!$C$41-'Sell-Compute'!$C$44-'Sell-Compute'!$C$45-IF(AND(MOD(Z$51,'Sell-Compute'!$C$21)=0,Z$51&lt;Rates!$D$71),'Sell-Compute'!$C$34*($G$74/4),0),0)</f>
        <v/>
      </c>
      <c r="AA92" s="68">
        <f>IF(AA$51&lt;=Rates!$D$71,('Sell-Compute'!$C$40*(1+'Sell-Compute'!$C$50)^MOD(AA$51-1,'Sell-Compute'!$C$21)-'Sell-Compute'!$C$42-'Sell-Compute'!$C$43)*($G$74/4)-'Sell-Compute'!$C$41-'Sell-Compute'!$C$44-'Sell-Compute'!$C$45-IF(AND(MOD(AA$51,'Sell-Compute'!$C$21)=0,AA$51&lt;Rates!$D$71),'Sell-Compute'!$C$34*($G$74/4),0),0)</f>
        <v/>
      </c>
      <c r="AB92" s="68">
        <f>IF(AB$51&lt;=Rates!$D$71,('Sell-Compute'!$C$40*(1+'Sell-Compute'!$C$50)^MOD(AB$51-1,'Sell-Compute'!$C$21)-'Sell-Compute'!$C$42-'Sell-Compute'!$C$43)*($G$74/4)-'Sell-Compute'!$C$41-'Sell-Compute'!$C$44-'Sell-Compute'!$C$45-IF(AND(MOD(AB$51,'Sell-Compute'!$C$21)=0,AB$51&lt;Rates!$D$71),'Sell-Compute'!$C$34*($G$74/4),0),0)</f>
        <v/>
      </c>
    </row>
    <row r="93">
      <c r="A93" s="68" t="inlineStr">
        <is>
          <t>(c) Build fewer modules | dec</t>
        </is>
      </c>
      <c r="C93" s="68">
        <f>-'Sell-Compute'!$B$36+(1-($G$74/4))*('Sell-Compute'!$B$34+('AU-Route'!$B$31*(1+Control!$B$13)))</f>
        <v/>
      </c>
      <c r="D93" s="68">
        <f>IF(D$51&lt;=Rates!$D$71,('Sell-Compute'!$B$40*(1+'Sell-Compute'!$B$50)^MOD(D$51-1,'Sell-Compute'!$C$21)-'Sell-Compute'!$B$42-'Sell-Compute'!$B$43)*($G$74/4)-'Sell-Compute'!$B$41-'Sell-Compute'!$B$44-'Sell-Compute'!$B$45-IF(AND(MOD(D$51,'Sell-Compute'!$C$21)=0,D$51&lt;Rates!$D$71),'Sell-Compute'!$B$34*($G$74/4),0),0)</f>
        <v/>
      </c>
      <c r="E93" s="68">
        <f>IF(E$51&lt;=Rates!$D$71,('Sell-Compute'!$B$40*(1+'Sell-Compute'!$B$50)^MOD(E$51-1,'Sell-Compute'!$C$21)-'Sell-Compute'!$B$42-'Sell-Compute'!$B$43)*($G$74/4)-'Sell-Compute'!$B$41-'Sell-Compute'!$B$44-'Sell-Compute'!$B$45-IF(AND(MOD(E$51,'Sell-Compute'!$C$21)=0,E$51&lt;Rates!$D$71),'Sell-Compute'!$B$34*($G$74/4),0),0)</f>
        <v/>
      </c>
      <c r="F93" s="68">
        <f>IF(F$51&lt;=Rates!$D$71,('Sell-Compute'!$B$40*(1+'Sell-Compute'!$B$50)^MOD(F$51-1,'Sell-Compute'!$C$21)-'Sell-Compute'!$B$42-'Sell-Compute'!$B$43)*($G$74/4)-'Sell-Compute'!$B$41-'Sell-Compute'!$B$44-'Sell-Compute'!$B$45-IF(AND(MOD(F$51,'Sell-Compute'!$C$21)=0,F$51&lt;Rates!$D$71),'Sell-Compute'!$B$34*($G$74/4),0),0)</f>
        <v/>
      </c>
      <c r="G93" s="68">
        <f>IF(G$51&lt;=Rates!$D$71,('Sell-Compute'!$B$40*(1+'Sell-Compute'!$B$50)^MOD(G$51-1,'Sell-Compute'!$C$21)-'Sell-Compute'!$B$42-'Sell-Compute'!$B$43)*($G$74/4)-'Sell-Compute'!$B$41-'Sell-Compute'!$B$44-'Sell-Compute'!$B$45-IF(AND(MOD(G$51,'Sell-Compute'!$C$21)=0,G$51&lt;Rates!$D$71),'Sell-Compute'!$B$34*($G$74/4),0),0)</f>
        <v/>
      </c>
      <c r="H93" s="68">
        <f>IF(H$51&lt;=Rates!$D$71,('Sell-Compute'!$B$40*(1+'Sell-Compute'!$B$50)^MOD(H$51-1,'Sell-Compute'!$C$21)-'Sell-Compute'!$B$42-'Sell-Compute'!$B$43)*($G$74/4)-'Sell-Compute'!$B$41-'Sell-Compute'!$B$44-'Sell-Compute'!$B$45-IF(AND(MOD(H$51,'Sell-Compute'!$C$21)=0,H$51&lt;Rates!$D$71),'Sell-Compute'!$B$34*($G$74/4),0),0)</f>
        <v/>
      </c>
      <c r="I93" s="68">
        <f>IF(I$51&lt;=Rates!$D$71,('Sell-Compute'!$B$40*(1+'Sell-Compute'!$B$50)^MOD(I$51-1,'Sell-Compute'!$C$21)-'Sell-Compute'!$B$42-'Sell-Compute'!$B$43)*($G$74/4)-'Sell-Compute'!$B$41-'Sell-Compute'!$B$44-'Sell-Compute'!$B$45-IF(AND(MOD(I$51,'Sell-Compute'!$C$21)=0,I$51&lt;Rates!$D$71),'Sell-Compute'!$B$34*($G$74/4),0),0)</f>
        <v/>
      </c>
      <c r="J93" s="68">
        <f>IF(J$51&lt;=Rates!$D$71,('Sell-Compute'!$B$40*(1+'Sell-Compute'!$B$50)^MOD(J$51-1,'Sell-Compute'!$C$21)-'Sell-Compute'!$B$42-'Sell-Compute'!$B$43)*($G$74/4)-'Sell-Compute'!$B$41-'Sell-Compute'!$B$44-'Sell-Compute'!$B$45-IF(AND(MOD(J$51,'Sell-Compute'!$C$21)=0,J$51&lt;Rates!$D$71),'Sell-Compute'!$B$34*($G$74/4),0),0)</f>
        <v/>
      </c>
      <c r="K93" s="68">
        <f>IF(K$51&lt;=Rates!$D$71,('Sell-Compute'!$B$40*(1+'Sell-Compute'!$B$50)^MOD(K$51-1,'Sell-Compute'!$C$21)-'Sell-Compute'!$B$42-'Sell-Compute'!$B$43)*($G$74/4)-'Sell-Compute'!$B$41-'Sell-Compute'!$B$44-'Sell-Compute'!$B$45-IF(AND(MOD(K$51,'Sell-Compute'!$C$21)=0,K$51&lt;Rates!$D$71),'Sell-Compute'!$B$34*($G$74/4),0),0)</f>
        <v/>
      </c>
      <c r="L93" s="68">
        <f>IF(L$51&lt;=Rates!$D$71,('Sell-Compute'!$B$40*(1+'Sell-Compute'!$B$50)^MOD(L$51-1,'Sell-Compute'!$C$21)-'Sell-Compute'!$B$42-'Sell-Compute'!$B$43)*($G$74/4)-'Sell-Compute'!$B$41-'Sell-Compute'!$B$44-'Sell-Compute'!$B$45-IF(AND(MOD(L$51,'Sell-Compute'!$C$21)=0,L$51&lt;Rates!$D$71),'Sell-Compute'!$B$34*($G$74/4),0),0)</f>
        <v/>
      </c>
      <c r="M93" s="68">
        <f>IF(M$51&lt;=Rates!$D$71,('Sell-Compute'!$B$40*(1+'Sell-Compute'!$B$50)^MOD(M$51-1,'Sell-Compute'!$C$21)-'Sell-Compute'!$B$42-'Sell-Compute'!$B$43)*($G$74/4)-'Sell-Compute'!$B$41-'Sell-Compute'!$B$44-'Sell-Compute'!$B$45-IF(AND(MOD(M$51,'Sell-Compute'!$C$21)=0,M$51&lt;Rates!$D$71),'Sell-Compute'!$B$34*($G$74/4),0),0)</f>
        <v/>
      </c>
      <c r="N93" s="68">
        <f>IF(N$51&lt;=Rates!$D$71,('Sell-Compute'!$B$40*(1+'Sell-Compute'!$B$50)^MOD(N$51-1,'Sell-Compute'!$C$21)-'Sell-Compute'!$B$42-'Sell-Compute'!$B$43)*($G$74/4)-'Sell-Compute'!$B$41-'Sell-Compute'!$B$44-'Sell-Compute'!$B$45-IF(AND(MOD(N$51,'Sell-Compute'!$C$21)=0,N$51&lt;Rates!$D$71),'Sell-Compute'!$B$34*($G$74/4),0),0)</f>
        <v/>
      </c>
      <c r="O93" s="68">
        <f>IF(O$51&lt;=Rates!$D$71,('Sell-Compute'!$B$40*(1+'Sell-Compute'!$B$50)^MOD(O$51-1,'Sell-Compute'!$C$21)-'Sell-Compute'!$B$42-'Sell-Compute'!$B$43)*($G$74/4)-'Sell-Compute'!$B$41-'Sell-Compute'!$B$44-'Sell-Compute'!$B$45-IF(AND(MOD(O$51,'Sell-Compute'!$C$21)=0,O$51&lt;Rates!$D$71),'Sell-Compute'!$B$34*($G$74/4),0),0)</f>
        <v/>
      </c>
      <c r="P93" s="68">
        <f>IF(P$51&lt;=Rates!$D$71,('Sell-Compute'!$B$40*(1+'Sell-Compute'!$B$50)^MOD(P$51-1,'Sell-Compute'!$C$21)-'Sell-Compute'!$B$42-'Sell-Compute'!$B$43)*($G$74/4)-'Sell-Compute'!$B$41-'Sell-Compute'!$B$44-'Sell-Compute'!$B$45-IF(AND(MOD(P$51,'Sell-Compute'!$C$21)=0,P$51&lt;Rates!$D$71),'Sell-Compute'!$B$34*($G$74/4),0),0)</f>
        <v/>
      </c>
      <c r="Q93" s="68">
        <f>IF(Q$51&lt;=Rates!$D$71,('Sell-Compute'!$B$40*(1+'Sell-Compute'!$B$50)^MOD(Q$51-1,'Sell-Compute'!$C$21)-'Sell-Compute'!$B$42-'Sell-Compute'!$B$43)*($G$74/4)-'Sell-Compute'!$B$41-'Sell-Compute'!$B$44-'Sell-Compute'!$B$45-IF(AND(MOD(Q$51,'Sell-Compute'!$C$21)=0,Q$51&lt;Rates!$D$71),'Sell-Compute'!$B$34*($G$74/4),0),0)</f>
        <v/>
      </c>
      <c r="R93" s="68">
        <f>IF(R$51&lt;=Rates!$D$71,('Sell-Compute'!$B$40*(1+'Sell-Compute'!$B$50)^MOD(R$51-1,'Sell-Compute'!$C$21)-'Sell-Compute'!$B$42-'Sell-Compute'!$B$43)*($G$74/4)-'Sell-Compute'!$B$41-'Sell-Compute'!$B$44-'Sell-Compute'!$B$45-IF(AND(MOD(R$51,'Sell-Compute'!$C$21)=0,R$51&lt;Rates!$D$71),'Sell-Compute'!$B$34*($G$74/4),0),0)</f>
        <v/>
      </c>
      <c r="S93" s="68">
        <f>IF(S$51&lt;=Rates!$D$71,('Sell-Compute'!$B$40*(1+'Sell-Compute'!$B$50)^MOD(S$51-1,'Sell-Compute'!$C$21)-'Sell-Compute'!$B$42-'Sell-Compute'!$B$43)*($G$74/4)-'Sell-Compute'!$B$41-'Sell-Compute'!$B$44-'Sell-Compute'!$B$45-IF(AND(MOD(S$51,'Sell-Compute'!$C$21)=0,S$51&lt;Rates!$D$71),'Sell-Compute'!$B$34*($G$74/4),0),0)</f>
        <v/>
      </c>
      <c r="T93" s="68">
        <f>IF(T$51&lt;=Rates!$D$71,('Sell-Compute'!$B$40*(1+'Sell-Compute'!$B$50)^MOD(T$51-1,'Sell-Compute'!$C$21)-'Sell-Compute'!$B$42-'Sell-Compute'!$B$43)*($G$74/4)-'Sell-Compute'!$B$41-'Sell-Compute'!$B$44-'Sell-Compute'!$B$45-IF(AND(MOD(T$51,'Sell-Compute'!$C$21)=0,T$51&lt;Rates!$D$71),'Sell-Compute'!$B$34*($G$74/4),0),0)</f>
        <v/>
      </c>
      <c r="U93" s="68">
        <f>IF(U$51&lt;=Rates!$D$71,('Sell-Compute'!$B$40*(1+'Sell-Compute'!$B$50)^MOD(U$51-1,'Sell-Compute'!$C$21)-'Sell-Compute'!$B$42-'Sell-Compute'!$B$43)*($G$74/4)-'Sell-Compute'!$B$41-'Sell-Compute'!$B$44-'Sell-Compute'!$B$45-IF(AND(MOD(U$51,'Sell-Compute'!$C$21)=0,U$51&lt;Rates!$D$71),'Sell-Compute'!$B$34*($G$74/4),0),0)</f>
        <v/>
      </c>
      <c r="V93" s="68">
        <f>IF(V$51&lt;=Rates!$D$71,('Sell-Compute'!$B$40*(1+'Sell-Compute'!$B$50)^MOD(V$51-1,'Sell-Compute'!$C$21)-'Sell-Compute'!$B$42-'Sell-Compute'!$B$43)*($G$74/4)-'Sell-Compute'!$B$41-'Sell-Compute'!$B$44-'Sell-Compute'!$B$45-IF(AND(MOD(V$51,'Sell-Compute'!$C$21)=0,V$51&lt;Rates!$D$71),'Sell-Compute'!$B$34*($G$74/4),0),0)</f>
        <v/>
      </c>
      <c r="W93" s="68">
        <f>IF(W$51&lt;=Rates!$D$71,('Sell-Compute'!$B$40*(1+'Sell-Compute'!$B$50)^MOD(W$51-1,'Sell-Compute'!$C$21)-'Sell-Compute'!$B$42-'Sell-Compute'!$B$43)*($G$74/4)-'Sell-Compute'!$B$41-'Sell-Compute'!$B$44-'Sell-Compute'!$B$45-IF(AND(MOD(W$51,'Sell-Compute'!$C$21)=0,W$51&lt;Rates!$D$71),'Sell-Compute'!$B$34*($G$74/4),0),0)</f>
        <v/>
      </c>
      <c r="X93" s="68">
        <f>IF(X$51&lt;=Rates!$D$71,('Sell-Compute'!$B$40*(1+'Sell-Compute'!$B$50)^MOD(X$51-1,'Sell-Compute'!$C$21)-'Sell-Compute'!$B$42-'Sell-Compute'!$B$43)*($G$74/4)-'Sell-Compute'!$B$41-'Sell-Compute'!$B$44-'Sell-Compute'!$B$45-IF(AND(MOD(X$51,'Sell-Compute'!$C$21)=0,X$51&lt;Rates!$D$71),'Sell-Compute'!$B$34*($G$74/4),0),0)</f>
        <v/>
      </c>
      <c r="Y93" s="68">
        <f>IF(Y$51&lt;=Rates!$D$71,('Sell-Compute'!$B$40*(1+'Sell-Compute'!$B$50)^MOD(Y$51-1,'Sell-Compute'!$C$21)-'Sell-Compute'!$B$42-'Sell-Compute'!$B$43)*($G$74/4)-'Sell-Compute'!$B$41-'Sell-Compute'!$B$44-'Sell-Compute'!$B$45-IF(AND(MOD(Y$51,'Sell-Compute'!$C$21)=0,Y$51&lt;Rates!$D$71),'Sell-Compute'!$B$34*($G$74/4),0),0)</f>
        <v/>
      </c>
      <c r="Z93" s="68">
        <f>IF(Z$51&lt;=Rates!$D$71,('Sell-Compute'!$B$40*(1+'Sell-Compute'!$B$50)^MOD(Z$51-1,'Sell-Compute'!$C$21)-'Sell-Compute'!$B$42-'Sell-Compute'!$B$43)*($G$74/4)-'Sell-Compute'!$B$41-'Sell-Compute'!$B$44-'Sell-Compute'!$B$45-IF(AND(MOD(Z$51,'Sell-Compute'!$C$21)=0,Z$51&lt;Rates!$D$71),'Sell-Compute'!$B$34*($G$74/4),0),0)</f>
        <v/>
      </c>
      <c r="AA93" s="68">
        <f>IF(AA$51&lt;=Rates!$D$71,('Sell-Compute'!$B$40*(1+'Sell-Compute'!$B$50)^MOD(AA$51-1,'Sell-Compute'!$C$21)-'Sell-Compute'!$B$42-'Sell-Compute'!$B$43)*($G$74/4)-'Sell-Compute'!$B$41-'Sell-Compute'!$B$44-'Sell-Compute'!$B$45-IF(AND(MOD(AA$51,'Sell-Compute'!$C$21)=0,AA$51&lt;Rates!$D$71),'Sell-Compute'!$B$34*($G$74/4),0),0)</f>
        <v/>
      </c>
      <c r="AB93" s="68">
        <f>IF(AB$51&lt;=Rates!$D$71,('Sell-Compute'!$B$40*(1+'Sell-Compute'!$B$50)^MOD(AB$51-1,'Sell-Compute'!$C$21)-'Sell-Compute'!$B$42-'Sell-Compute'!$B$43)*($G$74/4)-'Sell-Compute'!$B$41-'Sell-Compute'!$B$44-'Sell-Compute'!$B$45-IF(AND(MOD(AB$51,'Sell-Compute'!$C$21)=0,AB$51&lt;Rates!$D$71),'Sell-Compute'!$B$34*($G$74/4),0),0)</f>
        <v/>
      </c>
    </row>
    <row r="94">
      <c r="A94" s="68" t="inlineStr">
        <is>
          <t>(c) Build fewer modules | colo</t>
        </is>
      </c>
      <c r="C94" s="68">
        <f>-'Sell-Compute'!$I$36+(1-($G$74/4))*('AU-Route'!$B$31*(1+Control!$B$13))</f>
        <v/>
      </c>
      <c r="D94" s="68">
        <f>IF(D$51&lt;=Rates!$D$71,'Sell-Compute'!$I$46-'Sell-Compute'!$I$40*(1-($G$74/4)),0)</f>
        <v/>
      </c>
      <c r="E94" s="68">
        <f>IF(E$51&lt;=Rates!$D$71,'Sell-Compute'!$I$46-'Sell-Compute'!$I$40*(1-($G$74/4)),0)</f>
        <v/>
      </c>
      <c r="F94" s="68">
        <f>IF(F$51&lt;=Rates!$D$71,'Sell-Compute'!$I$46-'Sell-Compute'!$I$40*(1-($G$74/4)),0)</f>
        <v/>
      </c>
      <c r="G94" s="68">
        <f>IF(G$51&lt;=Rates!$D$71,'Sell-Compute'!$I$46-'Sell-Compute'!$I$40*(1-($G$74/4)),0)</f>
        <v/>
      </c>
      <c r="H94" s="68">
        <f>IF(H$51&lt;=Rates!$D$71,'Sell-Compute'!$I$46-'Sell-Compute'!$I$40*(1-($G$74/4)),0)</f>
        <v/>
      </c>
      <c r="I94" s="68">
        <f>IF(I$51&lt;=Rates!$D$71,'Sell-Compute'!$I$46-'Sell-Compute'!$I$40*(1-($G$74/4)),0)</f>
        <v/>
      </c>
      <c r="J94" s="68">
        <f>IF(J$51&lt;=Rates!$D$71,'Sell-Compute'!$I$46-'Sell-Compute'!$I$40*(1-($G$74/4)),0)</f>
        <v/>
      </c>
      <c r="K94" s="68">
        <f>IF(K$51&lt;=Rates!$D$71,'Sell-Compute'!$I$46-'Sell-Compute'!$I$40*(1-($G$74/4)),0)</f>
        <v/>
      </c>
      <c r="L94" s="68">
        <f>IF(L$51&lt;=Rates!$D$71,'Sell-Compute'!$I$46-'Sell-Compute'!$I$40*(1-($G$74/4)),0)</f>
        <v/>
      </c>
      <c r="M94" s="68">
        <f>IF(M$51&lt;=Rates!$D$71,'Sell-Compute'!$I$46-'Sell-Compute'!$I$40*(1-($G$74/4)),0)</f>
        <v/>
      </c>
      <c r="N94" s="68">
        <f>IF(N$51&lt;=Rates!$D$71,'Sell-Compute'!$I$46-'Sell-Compute'!$I$40*(1-($G$74/4)),0)</f>
        <v/>
      </c>
      <c r="O94" s="68">
        <f>IF(O$51&lt;=Rates!$D$71,'Sell-Compute'!$I$46-'Sell-Compute'!$I$40*(1-($G$74/4)),0)</f>
        <v/>
      </c>
      <c r="P94" s="68">
        <f>IF(P$51&lt;=Rates!$D$71,'Sell-Compute'!$I$46-'Sell-Compute'!$I$40*(1-($G$74/4)),0)</f>
        <v/>
      </c>
      <c r="Q94" s="68">
        <f>IF(Q$51&lt;=Rates!$D$71,'Sell-Compute'!$I$46-'Sell-Compute'!$I$40*(1-($G$74/4)),0)</f>
        <v/>
      </c>
      <c r="R94" s="68">
        <f>IF(R$51&lt;=Rates!$D$71,'Sell-Compute'!$I$46-'Sell-Compute'!$I$40*(1-($G$74/4)),0)</f>
        <v/>
      </c>
      <c r="S94" s="68">
        <f>IF(S$51&lt;=Rates!$D$71,'Sell-Compute'!$I$46-'Sell-Compute'!$I$40*(1-($G$74/4)),0)</f>
        <v/>
      </c>
      <c r="T94" s="68">
        <f>IF(T$51&lt;=Rates!$D$71,'Sell-Compute'!$I$46-'Sell-Compute'!$I$40*(1-($G$74/4)),0)</f>
        <v/>
      </c>
      <c r="U94" s="68">
        <f>IF(U$51&lt;=Rates!$D$71,'Sell-Compute'!$I$46-'Sell-Compute'!$I$40*(1-($G$74/4)),0)</f>
        <v/>
      </c>
      <c r="V94" s="68">
        <f>IF(V$51&lt;=Rates!$D$71,'Sell-Compute'!$I$46-'Sell-Compute'!$I$40*(1-($G$74/4)),0)</f>
        <v/>
      </c>
      <c r="W94" s="68">
        <f>IF(W$51&lt;=Rates!$D$71,'Sell-Compute'!$I$46-'Sell-Compute'!$I$40*(1-($G$74/4)),0)</f>
        <v/>
      </c>
      <c r="X94" s="68">
        <f>IF(X$51&lt;=Rates!$D$71,'Sell-Compute'!$I$46-'Sell-Compute'!$I$40*(1-($G$74/4)),0)</f>
        <v/>
      </c>
      <c r="Y94" s="68">
        <f>IF(Y$51&lt;=Rates!$D$71,'Sell-Compute'!$I$46-'Sell-Compute'!$I$40*(1-($G$74/4)),0)</f>
        <v/>
      </c>
      <c r="Z94" s="68">
        <f>IF(Z$51&lt;=Rates!$D$71,'Sell-Compute'!$I$46-'Sell-Compute'!$I$40*(1-($G$74/4)),0)</f>
        <v/>
      </c>
      <c r="AA94" s="68">
        <f>IF(AA$51&lt;=Rates!$D$71,'Sell-Compute'!$I$46-'Sell-Compute'!$I$40*(1-($G$74/4)),0)</f>
        <v/>
      </c>
      <c r="AB94" s="68">
        <f>IF(AB$51&lt;=Rates!$D$71,'Sell-Compute'!$I$46-'Sell-Compute'!$I$40*(1-($G$74/4)),0)</f>
        <v/>
      </c>
    </row>
    <row r="95"/>
    <row r="96">
      <c r="A96" s="68" t="inlineStr">
        <is>
          <t>rate: Conventional wells 0.83 degC/yr</t>
        </is>
      </c>
      <c r="B96" s="123">
        <f>Decline!$C$8</f>
        <v/>
      </c>
      <c r="D96" s="68" t="inlineStr">
        <is>
          <t>k (a)</t>
        </is>
      </c>
      <c r="E96" s="68">
        <f>IF(AA$97&lt;=0,"not feasible",MAX(0,CEILING(Decline!$C$20/AA$97-1E-9,1)-Decline!$C$19))</f>
        <v/>
      </c>
      <c r="F96" s="68" t="inlineStr">
        <is>
          <t>N (c)</t>
        </is>
      </c>
      <c r="G96" s="68">
        <f>MAX(0,MIN(4,INT(MIN(Decline!$C$20,Decline!$C$19*MAX(0,AA$97))*Decline!$C$21/Decline!$C$22+1E-9)))</f>
        <v/>
      </c>
    </row>
    <row r="97">
      <c r="A97" s="68" t="inlineStr">
        <is>
          <t>capability per producer by age (MW net)</t>
        </is>
      </c>
      <c r="C97" s="68">
        <f>(Rates!$D$66*((Decline!$C$15-$B$96*C$51)-Decline!$C$16-(Decline!$C$16+273.15)*LN(((Decline!$C$15-$B$96*C$51)+273.15)/(Decline!$C$16+273.15)))/Decline!$C$23*Decline!$C$24-Decline!$C$25)</f>
        <v/>
      </c>
      <c r="D97" s="68">
        <f>(Rates!$D$66*((Decline!$C$15-$B$96*D$51)-Decline!$C$16-(Decline!$C$16+273.15)*LN(((Decline!$C$15-$B$96*D$51)+273.15)/(Decline!$C$16+273.15)))/Decline!$C$23*Decline!$C$24-Decline!$C$25)</f>
        <v/>
      </c>
      <c r="E97" s="68">
        <f>(Rates!$D$66*((Decline!$C$15-$B$96*E$51)-Decline!$C$16-(Decline!$C$16+273.15)*LN(((Decline!$C$15-$B$96*E$51)+273.15)/(Decline!$C$16+273.15)))/Decline!$C$23*Decline!$C$24-Decline!$C$25)</f>
        <v/>
      </c>
      <c r="F97" s="68">
        <f>(Rates!$D$66*((Decline!$C$15-$B$96*F$51)-Decline!$C$16-(Decline!$C$16+273.15)*LN(((Decline!$C$15-$B$96*F$51)+273.15)/(Decline!$C$16+273.15)))/Decline!$C$23*Decline!$C$24-Decline!$C$25)</f>
        <v/>
      </c>
      <c r="G97" s="68">
        <f>(Rates!$D$66*((Decline!$C$15-$B$96*G$51)-Decline!$C$16-(Decline!$C$16+273.15)*LN(((Decline!$C$15-$B$96*G$51)+273.15)/(Decline!$C$16+273.15)))/Decline!$C$23*Decline!$C$24-Decline!$C$25)</f>
        <v/>
      </c>
      <c r="H97" s="68">
        <f>(Rates!$D$66*((Decline!$C$15-$B$96*H$51)-Decline!$C$16-(Decline!$C$16+273.15)*LN(((Decline!$C$15-$B$96*H$51)+273.15)/(Decline!$C$16+273.15)))/Decline!$C$23*Decline!$C$24-Decline!$C$25)</f>
        <v/>
      </c>
      <c r="I97" s="68">
        <f>(Rates!$D$66*((Decline!$C$15-$B$96*I$51)-Decline!$C$16-(Decline!$C$16+273.15)*LN(((Decline!$C$15-$B$96*I$51)+273.15)/(Decline!$C$16+273.15)))/Decline!$C$23*Decline!$C$24-Decline!$C$25)</f>
        <v/>
      </c>
      <c r="J97" s="68">
        <f>(Rates!$D$66*((Decline!$C$15-$B$96*J$51)-Decline!$C$16-(Decline!$C$16+273.15)*LN(((Decline!$C$15-$B$96*J$51)+273.15)/(Decline!$C$16+273.15)))/Decline!$C$23*Decline!$C$24-Decline!$C$25)</f>
        <v/>
      </c>
      <c r="K97" s="68">
        <f>(Rates!$D$66*((Decline!$C$15-$B$96*K$51)-Decline!$C$16-(Decline!$C$16+273.15)*LN(((Decline!$C$15-$B$96*K$51)+273.15)/(Decline!$C$16+273.15)))/Decline!$C$23*Decline!$C$24-Decline!$C$25)</f>
        <v/>
      </c>
      <c r="L97" s="68">
        <f>(Rates!$D$66*((Decline!$C$15-$B$96*L$51)-Decline!$C$16-(Decline!$C$16+273.15)*LN(((Decline!$C$15-$B$96*L$51)+273.15)/(Decline!$C$16+273.15)))/Decline!$C$23*Decline!$C$24-Decline!$C$25)</f>
        <v/>
      </c>
      <c r="M97" s="68">
        <f>(Rates!$D$66*((Decline!$C$15-$B$96*M$51)-Decline!$C$16-(Decline!$C$16+273.15)*LN(((Decline!$C$15-$B$96*M$51)+273.15)/(Decline!$C$16+273.15)))/Decline!$C$23*Decline!$C$24-Decline!$C$25)</f>
        <v/>
      </c>
      <c r="N97" s="68">
        <f>(Rates!$D$66*((Decline!$C$15-$B$96*N$51)-Decline!$C$16-(Decline!$C$16+273.15)*LN(((Decline!$C$15-$B$96*N$51)+273.15)/(Decline!$C$16+273.15)))/Decline!$C$23*Decline!$C$24-Decline!$C$25)</f>
        <v/>
      </c>
      <c r="O97" s="68">
        <f>(Rates!$D$66*((Decline!$C$15-$B$96*O$51)-Decline!$C$16-(Decline!$C$16+273.15)*LN(((Decline!$C$15-$B$96*O$51)+273.15)/(Decline!$C$16+273.15)))/Decline!$C$23*Decline!$C$24-Decline!$C$25)</f>
        <v/>
      </c>
      <c r="P97" s="68">
        <f>(Rates!$D$66*((Decline!$C$15-$B$96*P$51)-Decline!$C$16-(Decline!$C$16+273.15)*LN(((Decline!$C$15-$B$96*P$51)+273.15)/(Decline!$C$16+273.15)))/Decline!$C$23*Decline!$C$24-Decline!$C$25)</f>
        <v/>
      </c>
      <c r="Q97" s="68">
        <f>(Rates!$D$66*((Decline!$C$15-$B$96*Q$51)-Decline!$C$16-(Decline!$C$16+273.15)*LN(((Decline!$C$15-$B$96*Q$51)+273.15)/(Decline!$C$16+273.15)))/Decline!$C$23*Decline!$C$24-Decline!$C$25)</f>
        <v/>
      </c>
      <c r="R97" s="68">
        <f>(Rates!$D$66*((Decline!$C$15-$B$96*R$51)-Decline!$C$16-(Decline!$C$16+273.15)*LN(((Decline!$C$15-$B$96*R$51)+273.15)/(Decline!$C$16+273.15)))/Decline!$C$23*Decline!$C$24-Decline!$C$25)</f>
        <v/>
      </c>
      <c r="S97" s="68">
        <f>(Rates!$D$66*((Decline!$C$15-$B$96*S$51)-Decline!$C$16-(Decline!$C$16+273.15)*LN(((Decline!$C$15-$B$96*S$51)+273.15)/(Decline!$C$16+273.15)))/Decline!$C$23*Decline!$C$24-Decline!$C$25)</f>
        <v/>
      </c>
      <c r="T97" s="68">
        <f>(Rates!$D$66*((Decline!$C$15-$B$96*T$51)-Decline!$C$16-(Decline!$C$16+273.15)*LN(((Decline!$C$15-$B$96*T$51)+273.15)/(Decline!$C$16+273.15)))/Decline!$C$23*Decline!$C$24-Decline!$C$25)</f>
        <v/>
      </c>
      <c r="U97" s="68">
        <f>(Rates!$D$66*((Decline!$C$15-$B$96*U$51)-Decline!$C$16-(Decline!$C$16+273.15)*LN(((Decline!$C$15-$B$96*U$51)+273.15)/(Decline!$C$16+273.15)))/Decline!$C$23*Decline!$C$24-Decline!$C$25)</f>
        <v/>
      </c>
      <c r="V97" s="68">
        <f>(Rates!$D$66*((Decline!$C$15-$B$96*V$51)-Decline!$C$16-(Decline!$C$16+273.15)*LN(((Decline!$C$15-$B$96*V$51)+273.15)/(Decline!$C$16+273.15)))/Decline!$C$23*Decline!$C$24-Decline!$C$25)</f>
        <v/>
      </c>
      <c r="W97" s="68">
        <f>(Rates!$D$66*((Decline!$C$15-$B$96*W$51)-Decline!$C$16-(Decline!$C$16+273.15)*LN(((Decline!$C$15-$B$96*W$51)+273.15)/(Decline!$C$16+273.15)))/Decline!$C$23*Decline!$C$24-Decline!$C$25)</f>
        <v/>
      </c>
      <c r="X97" s="68">
        <f>(Rates!$D$66*((Decline!$C$15-$B$96*X$51)-Decline!$C$16-(Decline!$C$16+273.15)*LN(((Decline!$C$15-$B$96*X$51)+273.15)/(Decline!$C$16+273.15)))/Decline!$C$23*Decline!$C$24-Decline!$C$25)</f>
        <v/>
      </c>
      <c r="Y97" s="68">
        <f>(Rates!$D$66*((Decline!$C$15-$B$96*Y$51)-Decline!$C$16-(Decline!$C$16+273.15)*LN(((Decline!$C$15-$B$96*Y$51)+273.15)/(Decline!$C$16+273.15)))/Decline!$C$23*Decline!$C$24-Decline!$C$25)</f>
        <v/>
      </c>
      <c r="Z97" s="68">
        <f>(Rates!$D$66*((Decline!$C$15-$B$96*Z$51)-Decline!$C$16-(Decline!$C$16+273.15)*LN(((Decline!$C$15-$B$96*Z$51)+273.15)/(Decline!$C$16+273.15)))/Decline!$C$23*Decline!$C$24-Decline!$C$25)</f>
        <v/>
      </c>
      <c r="AA97" s="68">
        <f>(Rates!$D$66*((Decline!$C$15-$B$96*AA$51)-Decline!$C$16-(Decline!$C$16+273.15)*LN(((Decline!$C$15-$B$96*AA$51)+273.15)/(Decline!$C$16+273.15)))/Decline!$C$23*Decline!$C$24-Decline!$C$25)</f>
        <v/>
      </c>
      <c r="AB97" s="68">
        <f>(Rates!$D$66*((Decline!$C$15-$B$96*AB$51)-Decline!$C$16-(Decline!$C$16+273.15)*LN(((Decline!$C$15-$B$96*AB$51)+273.15)/(Decline!$C$16+273.15)))/Decline!$C$23*Decline!$C$24-Decline!$C$25)</f>
        <v/>
      </c>
    </row>
    <row r="98">
      <c r="A98" s="68" t="inlineStr">
        <is>
          <t>(b) capability before new wells</t>
        </is>
      </c>
      <c r="D98" s="68">
        <f>Decline!$C$19*C$97</f>
        <v/>
      </c>
      <c r="E98" s="68">
        <f>Decline!$C$19*D$97</f>
        <v/>
      </c>
      <c r="F98" s="68">
        <f>Decline!$C$19*E$97+E99*D$97</f>
        <v/>
      </c>
      <c r="G98" s="68">
        <f>Decline!$C$19*F$97+E99*E$97+F99*D$97</f>
        <v/>
      </c>
      <c r="H98" s="68">
        <f>Decline!$C$19*G$97+E99*F$97+F99*E$97+G99*D$97</f>
        <v/>
      </c>
      <c r="I98" s="68">
        <f>Decline!$C$19*H$97+E99*G$97+F99*F$97+G99*E$97+H99*D$97</f>
        <v/>
      </c>
      <c r="J98" s="68">
        <f>Decline!$C$19*I$97+E99*H$97+F99*G$97+G99*F$97+H99*E$97+I99*D$97</f>
        <v/>
      </c>
      <c r="K98" s="68">
        <f>Decline!$C$19*J$97+E99*I$97+F99*H$97+G99*G$97+H99*F$97+I99*E$97+J99*D$97</f>
        <v/>
      </c>
      <c r="L98" s="68">
        <f>Decline!$C$19*K$97+E99*J$97+F99*I$97+G99*H$97+H99*G$97+I99*F$97+J99*E$97+K99*D$97</f>
        <v/>
      </c>
      <c r="M98" s="68">
        <f>Decline!$C$19*L$97+E99*K$97+F99*J$97+G99*I$97+H99*H$97+I99*G$97+J99*F$97+K99*E$97+L99*D$97</f>
        <v/>
      </c>
      <c r="N98" s="68">
        <f>Decline!$C$19*M$97+E99*L$97+F99*K$97+G99*J$97+H99*I$97+I99*H$97+J99*G$97+K99*F$97+L99*E$97+M99*D$97</f>
        <v/>
      </c>
      <c r="O98" s="68">
        <f>Decline!$C$19*N$97+E99*M$97+F99*L$97+G99*K$97+H99*J$97+I99*I$97+J99*H$97+K99*G$97+L99*F$97+M99*E$97+N99*D$97</f>
        <v/>
      </c>
      <c r="P98" s="68">
        <f>Decline!$C$19*O$97+E99*N$97+F99*M$97+G99*L$97+H99*K$97+I99*J$97+J99*I$97+K99*H$97+L99*G$97+M99*F$97+N99*E$97+O99*D$97</f>
        <v/>
      </c>
      <c r="Q98" s="68">
        <f>Decline!$C$19*P$97+E99*O$97+F99*N$97+G99*M$97+H99*L$97+I99*K$97+J99*J$97+K99*I$97+L99*H$97+M99*G$97+N99*F$97+O99*E$97+P99*D$97</f>
        <v/>
      </c>
      <c r="R98" s="68">
        <f>Decline!$C$19*Q$97+E99*P$97+F99*O$97+G99*N$97+H99*M$97+I99*L$97+J99*K$97+K99*J$97+L99*I$97+M99*H$97+N99*G$97+O99*F$97+P99*E$97+Q99*D$97</f>
        <v/>
      </c>
      <c r="S98" s="68">
        <f>Decline!$C$19*R$97+E99*Q$97+F99*P$97+G99*O$97+H99*N$97+I99*M$97+J99*L$97+K99*K$97+L99*J$97+M99*I$97+N99*H$97+O99*G$97+P99*F$97+Q99*E$97+R99*D$97</f>
        <v/>
      </c>
      <c r="T98" s="68">
        <f>Decline!$C$19*S$97+E99*R$97+F99*Q$97+G99*P$97+H99*O$97+I99*N$97+J99*M$97+K99*L$97+L99*K$97+M99*J$97+N99*I$97+O99*H$97+P99*G$97+Q99*F$97+R99*E$97+S99*D$97</f>
        <v/>
      </c>
      <c r="U98" s="68">
        <f>Decline!$C$19*T$97+E99*S$97+F99*R$97+G99*Q$97+H99*P$97+I99*O$97+J99*N$97+K99*M$97+L99*L$97+M99*K$97+N99*J$97+O99*I$97+P99*H$97+Q99*G$97+R99*F$97+S99*E$97+T99*D$97</f>
        <v/>
      </c>
      <c r="V98" s="68">
        <f>Decline!$C$19*U$97+E99*T$97+F99*S$97+G99*R$97+H99*Q$97+I99*P$97+J99*O$97+K99*N$97+L99*M$97+M99*L$97+N99*K$97+O99*J$97+P99*I$97+Q99*H$97+R99*G$97+S99*F$97+T99*E$97+U99*D$97</f>
        <v/>
      </c>
      <c r="W98" s="68">
        <f>Decline!$C$19*V$97+E99*U$97+F99*T$97+G99*S$97+H99*R$97+I99*Q$97+J99*P$97+K99*O$97+L99*N$97+M99*M$97+N99*L$97+O99*K$97+P99*J$97+Q99*I$97+R99*H$97+S99*G$97+T99*F$97+U99*E$97+V99*D$97</f>
        <v/>
      </c>
      <c r="X98" s="68">
        <f>Decline!$C$19*W$97+E99*V$97+F99*U$97+G99*T$97+H99*S$97+I99*R$97+J99*Q$97+K99*P$97+L99*O$97+M99*N$97+N99*M$97+O99*L$97+P99*K$97+Q99*J$97+R99*I$97+S99*H$97+T99*G$97+U99*F$97+V99*E$97+W99*D$97</f>
        <v/>
      </c>
      <c r="Y98" s="68">
        <f>Decline!$C$19*X$97+E99*W$97+F99*V$97+G99*U$97+H99*T$97+I99*S$97+J99*R$97+K99*Q$97+L99*P$97+M99*O$97+N99*N$97+O99*M$97+P99*L$97+Q99*K$97+R99*J$97+S99*I$97+T99*H$97+U99*G$97+V99*F$97+W99*E$97+X99*D$97</f>
        <v/>
      </c>
      <c r="Z98" s="68">
        <f>Decline!$C$19*Y$97+E99*X$97+F99*W$97+G99*V$97+H99*U$97+I99*T$97+J99*S$97+K99*R$97+L99*Q$97+M99*P$97+N99*O$97+O99*N$97+P99*M$97+Q99*L$97+R99*K$97+S99*J$97+T99*I$97+U99*H$97+V99*G$97+W99*F$97+X99*E$97+Y99*D$97</f>
        <v/>
      </c>
      <c r="AA98" s="68">
        <f>Decline!$C$19*Z$97+E99*Y$97+F99*X$97+G99*W$97+H99*V$97+I99*U$97+J99*T$97+K99*S$97+L99*R$97+M99*Q$97+N99*P$97+O99*O$97+P99*N$97+Q99*M$97+R99*L$97+S99*K$97+T99*J$97+U99*I$97+V99*H$97+W99*G$97+X99*F$97+Y99*E$97+Z99*D$97</f>
        <v/>
      </c>
      <c r="AB98" s="68">
        <f>Decline!$C$19*AA$97+E99*Z$97+F99*Y$97+G99*X$97+H99*W$97+I99*V$97+J99*U$97+K99*T$97+L99*S$97+M99*R$97+N99*Q$97+O99*P$97+P99*O$97+Q99*N$97+R99*M$97+S99*L$97+T99*K$97+U99*J$97+V99*I$97+W99*H$97+X99*G$97+Y99*F$97+Z99*E$97+AA99*D$97</f>
        <v/>
      </c>
    </row>
    <row r="99">
      <c r="A99" s="68" t="inlineStr">
        <is>
          <t>(b) doublets online this year</t>
        </is>
      </c>
      <c r="C99" s="68" t="n">
        <v>0</v>
      </c>
      <c r="D99" s="68" t="n">
        <v>0</v>
      </c>
      <c r="E99" s="68">
        <f>IF(E98&lt;Decline!$C$20-1E-9,IF(C$97&lt;=0,0,CEILING((Decline!$C$20-E98)/C$97,1)),0)</f>
        <v/>
      </c>
      <c r="F99" s="68">
        <f>IF(F98&lt;Decline!$C$20-1E-9,IF(C$97&lt;=0,0,CEILING((Decline!$C$20-F98)/C$97,1)),0)</f>
        <v/>
      </c>
      <c r="G99" s="68">
        <f>IF(G98&lt;Decline!$C$20-1E-9,IF(C$97&lt;=0,0,CEILING((Decline!$C$20-G98)/C$97,1)),0)</f>
        <v/>
      </c>
      <c r="H99" s="68">
        <f>IF(H98&lt;Decline!$C$20-1E-9,IF(C$97&lt;=0,0,CEILING((Decline!$C$20-H98)/C$97,1)),0)</f>
        <v/>
      </c>
      <c r="I99" s="68">
        <f>IF(I98&lt;Decline!$C$20-1E-9,IF(C$97&lt;=0,0,CEILING((Decline!$C$20-I98)/C$97,1)),0)</f>
        <v/>
      </c>
      <c r="J99" s="68">
        <f>IF(J98&lt;Decline!$C$20-1E-9,IF(C$97&lt;=0,0,CEILING((Decline!$C$20-J98)/C$97,1)),0)</f>
        <v/>
      </c>
      <c r="K99" s="68">
        <f>IF(K98&lt;Decline!$C$20-1E-9,IF(C$97&lt;=0,0,CEILING((Decline!$C$20-K98)/C$97,1)),0)</f>
        <v/>
      </c>
      <c r="L99" s="68">
        <f>IF(L98&lt;Decline!$C$20-1E-9,IF(C$97&lt;=0,0,CEILING((Decline!$C$20-L98)/C$97,1)),0)</f>
        <v/>
      </c>
      <c r="M99" s="68">
        <f>IF(M98&lt;Decline!$C$20-1E-9,IF(C$97&lt;=0,0,CEILING((Decline!$C$20-M98)/C$97,1)),0)</f>
        <v/>
      </c>
      <c r="N99" s="68">
        <f>IF(N98&lt;Decline!$C$20-1E-9,IF(C$97&lt;=0,0,CEILING((Decline!$C$20-N98)/C$97,1)),0)</f>
        <v/>
      </c>
      <c r="O99" s="68">
        <f>IF(O98&lt;Decline!$C$20-1E-9,IF(C$97&lt;=0,0,CEILING((Decline!$C$20-O98)/C$97,1)),0)</f>
        <v/>
      </c>
      <c r="P99" s="68">
        <f>IF(P98&lt;Decline!$C$20-1E-9,IF(C$97&lt;=0,0,CEILING((Decline!$C$20-P98)/C$97,1)),0)</f>
        <v/>
      </c>
      <c r="Q99" s="68">
        <f>IF(Q98&lt;Decline!$C$20-1E-9,IF(C$97&lt;=0,0,CEILING((Decline!$C$20-Q98)/C$97,1)),0)</f>
        <v/>
      </c>
      <c r="R99" s="68">
        <f>IF(R98&lt;Decline!$C$20-1E-9,IF(C$97&lt;=0,0,CEILING((Decline!$C$20-R98)/C$97,1)),0)</f>
        <v/>
      </c>
      <c r="S99" s="68">
        <f>IF(S98&lt;Decline!$C$20-1E-9,IF(C$97&lt;=0,0,CEILING((Decline!$C$20-S98)/C$97,1)),0)</f>
        <v/>
      </c>
      <c r="T99" s="68">
        <f>IF(T98&lt;Decline!$C$20-1E-9,IF(C$97&lt;=0,0,CEILING((Decline!$C$20-T98)/C$97,1)),0)</f>
        <v/>
      </c>
      <c r="U99" s="68">
        <f>IF(U98&lt;Decline!$C$20-1E-9,IF(C$97&lt;=0,0,CEILING((Decline!$C$20-U98)/C$97,1)),0)</f>
        <v/>
      </c>
      <c r="V99" s="68">
        <f>IF(V98&lt;Decline!$C$20-1E-9,IF(C$97&lt;=0,0,CEILING((Decline!$C$20-V98)/C$97,1)),0)</f>
        <v/>
      </c>
      <c r="W99" s="68">
        <f>IF(W98&lt;Decline!$C$20-1E-9,IF(C$97&lt;=0,0,CEILING((Decline!$C$20-W98)/C$97,1)),0)</f>
        <v/>
      </c>
      <c r="X99" s="68">
        <f>IF(X98&lt;Decline!$C$20-1E-9,IF(C$97&lt;=0,0,CEILING((Decline!$C$20-X98)/C$97,1)),0)</f>
        <v/>
      </c>
      <c r="Y99" s="68">
        <f>IF(Y98&lt;Decline!$C$20-1E-9,IF(C$97&lt;=0,0,CEILING((Decline!$C$20-Y98)/C$97,1)),0)</f>
        <v/>
      </c>
      <c r="Z99" s="68">
        <f>IF(Z98&lt;Decline!$C$20-1E-9,IF(C$97&lt;=0,0,CEILING((Decline!$C$20-Z98)/C$97,1)),0)</f>
        <v/>
      </c>
      <c r="AA99" s="68">
        <f>IF(AA98&lt;Decline!$C$20-1E-9,IF(C$97&lt;=0,0,CEILING((Decline!$C$20-AA98)/C$97,1)),0)</f>
        <v/>
      </c>
      <c r="AB99" s="68">
        <f>IF(AB98&lt;Decline!$C$20-1E-9,IF(C$97&lt;=0,0,CEILING((Decline!$C$20-AB98)/C$97,1)),0)</f>
        <v/>
      </c>
    </row>
    <row r="100">
      <c r="A100" s="68" t="inlineStr">
        <is>
          <t>(b) capability after</t>
        </is>
      </c>
      <c r="D100" s="68">
        <f>D98+D99*C$97</f>
        <v/>
      </c>
      <c r="E100" s="68">
        <f>E98+E99*C$97</f>
        <v/>
      </c>
      <c r="F100" s="68">
        <f>F98+F99*C$97</f>
        <v/>
      </c>
      <c r="G100" s="68">
        <f>G98+G99*C$97</f>
        <v/>
      </c>
      <c r="H100" s="68">
        <f>H98+H99*C$97</f>
        <v/>
      </c>
      <c r="I100" s="68">
        <f>I98+I99*C$97</f>
        <v/>
      </c>
      <c r="J100" s="68">
        <f>J98+J99*C$97</f>
        <v/>
      </c>
      <c r="K100" s="68">
        <f>K98+K99*C$97</f>
        <v/>
      </c>
      <c r="L100" s="68">
        <f>L98+L99*C$97</f>
        <v/>
      </c>
      <c r="M100" s="68">
        <f>M98+M99*C$97</f>
        <v/>
      </c>
      <c r="N100" s="68">
        <f>N98+N99*C$97</f>
        <v/>
      </c>
      <c r="O100" s="68">
        <f>O98+O99*C$97</f>
        <v/>
      </c>
      <c r="P100" s="68">
        <f>P98+P99*C$97</f>
        <v/>
      </c>
      <c r="Q100" s="68">
        <f>Q98+Q99*C$97</f>
        <v/>
      </c>
      <c r="R100" s="68">
        <f>R98+R99*C$97</f>
        <v/>
      </c>
      <c r="S100" s="68">
        <f>S98+S99*C$97</f>
        <v/>
      </c>
      <c r="T100" s="68">
        <f>T98+T99*C$97</f>
        <v/>
      </c>
      <c r="U100" s="68">
        <f>U98+U99*C$97</f>
        <v/>
      </c>
      <c r="V100" s="68">
        <f>V98+V99*C$97</f>
        <v/>
      </c>
      <c r="W100" s="68">
        <f>W98+W99*C$97</f>
        <v/>
      </c>
      <c r="X100" s="68">
        <f>X98+X99*C$97</f>
        <v/>
      </c>
      <c r="Y100" s="68">
        <f>Y98+Y99*C$97</f>
        <v/>
      </c>
      <c r="Z100" s="68">
        <f>Z98+Z99*C$97</f>
        <v/>
      </c>
      <c r="AA100" s="68">
        <f>AA98+AA99*C$97</f>
        <v/>
      </c>
      <c r="AB100" s="68">
        <f>AB98+AB99*C$97</f>
        <v/>
      </c>
    </row>
    <row r="101">
      <c r="A101" s="68" t="inlineStr">
        <is>
          <t>(b) make-up capex (spent the year before)</t>
        </is>
      </c>
      <c r="C101" s="68">
        <f>IF(D99&gt;0,D99*(2*($C$11+$C$12)*(1+$C$14))+($C$13*(1+$C$14)),0)</f>
        <v/>
      </c>
      <c r="D101" s="68">
        <f>IF(E99&gt;0,E99*(2*($C$11+$C$12)*(1+$C$14))+($C$13*(1+$C$14)),0)</f>
        <v/>
      </c>
      <c r="E101" s="68">
        <f>IF(F99&gt;0,F99*(2*($C$11+$C$12)*(1+$C$14))+($C$13*(1+$C$14)),0)</f>
        <v/>
      </c>
      <c r="F101" s="68">
        <f>IF(G99&gt;0,G99*(2*($C$11+$C$12)*(1+$C$14))+($C$13*(1+$C$14)),0)</f>
        <v/>
      </c>
      <c r="G101" s="68">
        <f>IF(H99&gt;0,H99*(2*($C$11+$C$12)*(1+$C$14))+($C$13*(1+$C$14)),0)</f>
        <v/>
      </c>
      <c r="H101" s="68">
        <f>IF(I99&gt;0,I99*(2*($C$11+$C$12)*(1+$C$14))+($C$13*(1+$C$14)),0)</f>
        <v/>
      </c>
      <c r="I101" s="68">
        <f>IF(J99&gt;0,J99*(2*($C$11+$C$12)*(1+$C$14))+($C$13*(1+$C$14)),0)</f>
        <v/>
      </c>
      <c r="J101" s="68">
        <f>IF(K99&gt;0,K99*(2*($C$11+$C$12)*(1+$C$14))+($C$13*(1+$C$14)),0)</f>
        <v/>
      </c>
      <c r="K101" s="68">
        <f>IF(L99&gt;0,L99*(2*($C$11+$C$12)*(1+$C$14))+($C$13*(1+$C$14)),0)</f>
        <v/>
      </c>
      <c r="L101" s="68">
        <f>IF(M99&gt;0,M99*(2*($C$11+$C$12)*(1+$C$14))+($C$13*(1+$C$14)),0)</f>
        <v/>
      </c>
      <c r="M101" s="68">
        <f>IF(N99&gt;0,N99*(2*($C$11+$C$12)*(1+$C$14))+($C$13*(1+$C$14)),0)</f>
        <v/>
      </c>
      <c r="N101" s="68">
        <f>IF(O99&gt;0,O99*(2*($C$11+$C$12)*(1+$C$14))+($C$13*(1+$C$14)),0)</f>
        <v/>
      </c>
      <c r="O101" s="68">
        <f>IF(P99&gt;0,P99*(2*($C$11+$C$12)*(1+$C$14))+($C$13*(1+$C$14)),0)</f>
        <v/>
      </c>
      <c r="P101" s="68">
        <f>IF(Q99&gt;0,Q99*(2*($C$11+$C$12)*(1+$C$14))+($C$13*(1+$C$14)),0)</f>
        <v/>
      </c>
      <c r="Q101" s="68">
        <f>IF(R99&gt;0,R99*(2*($C$11+$C$12)*(1+$C$14))+($C$13*(1+$C$14)),0)</f>
        <v/>
      </c>
      <c r="R101" s="68">
        <f>IF(S99&gt;0,S99*(2*($C$11+$C$12)*(1+$C$14))+($C$13*(1+$C$14)),0)</f>
        <v/>
      </c>
      <c r="S101" s="68">
        <f>IF(T99&gt;0,T99*(2*($C$11+$C$12)*(1+$C$14))+($C$13*(1+$C$14)),0)</f>
        <v/>
      </c>
      <c r="T101" s="68">
        <f>IF(U99&gt;0,U99*(2*($C$11+$C$12)*(1+$C$14))+($C$13*(1+$C$14)),0)</f>
        <v/>
      </c>
      <c r="U101" s="68">
        <f>IF(V99&gt;0,V99*(2*($C$11+$C$12)*(1+$C$14))+($C$13*(1+$C$14)),0)</f>
        <v/>
      </c>
      <c r="V101" s="68">
        <f>IF(W99&gt;0,W99*(2*($C$11+$C$12)*(1+$C$14))+($C$13*(1+$C$14)),0)</f>
        <v/>
      </c>
      <c r="W101" s="68">
        <f>IF(X99&gt;0,X99*(2*($C$11+$C$12)*(1+$C$14))+($C$13*(1+$C$14)),0)</f>
        <v/>
      </c>
      <c r="X101" s="68">
        <f>IF(Y99&gt;0,Y99*(2*($C$11+$C$12)*(1+$C$14))+($C$13*(1+$C$14)),0)</f>
        <v/>
      </c>
      <c r="Y101" s="68">
        <f>IF(Z99&gt;0,Z99*(2*($C$11+$C$12)*(1+$C$14))+($C$13*(1+$C$14)),0)</f>
        <v/>
      </c>
      <c r="Z101" s="68">
        <f>IF(AA99&gt;0,AA99*(2*($C$11+$C$12)*(1+$C$14))+($C$13*(1+$C$14)),0)</f>
        <v/>
      </c>
      <c r="AA101" s="68">
        <f>IF(AB99&gt;0,AB99*(2*($C$11+$C$12)*(1+$C$14))+($C$13*(1+$C$14)),0)</f>
        <v/>
      </c>
      <c r="AB101" s="68" t="n">
        <v>0</v>
      </c>
    </row>
    <row r="102">
      <c r="A102" s="68" t="inlineStr">
        <is>
          <t>do nothing: lit modules</t>
        </is>
      </c>
      <c r="D102" s="68">
        <f>MAX(0,MIN(4,INT(MIN(Decline!$C$20,Decline!$C$19*C$97)*Decline!$C$21/Decline!$C$22+1E-9)))</f>
        <v/>
      </c>
      <c r="E102" s="68">
        <f>MAX(0,MIN(4,INT(MIN(Decline!$C$20,Decline!$C$19*D$97)*Decline!$C$21/Decline!$C$22+1E-9)))</f>
        <v/>
      </c>
      <c r="F102" s="68">
        <f>MAX(0,MIN(4,INT(MIN(Decline!$C$20,Decline!$C$19*E$97)*Decline!$C$21/Decline!$C$22+1E-9)))</f>
        <v/>
      </c>
      <c r="G102" s="68">
        <f>MAX(0,MIN(4,INT(MIN(Decline!$C$20,Decline!$C$19*F$97)*Decline!$C$21/Decline!$C$22+1E-9)))</f>
        <v/>
      </c>
      <c r="H102" s="68">
        <f>MAX(0,MIN(4,INT(MIN(Decline!$C$20,Decline!$C$19*G$97)*Decline!$C$21/Decline!$C$22+1E-9)))</f>
        <v/>
      </c>
      <c r="I102" s="68">
        <f>MAX(0,MIN(4,INT(MIN(Decline!$C$20,Decline!$C$19*H$97)*Decline!$C$21/Decline!$C$22+1E-9)))</f>
        <v/>
      </c>
      <c r="J102" s="68">
        <f>MAX(0,MIN(4,INT(MIN(Decline!$C$20,Decline!$C$19*I$97)*Decline!$C$21/Decline!$C$22+1E-9)))</f>
        <v/>
      </c>
      <c r="K102" s="68">
        <f>MAX(0,MIN(4,INT(MIN(Decline!$C$20,Decline!$C$19*J$97)*Decline!$C$21/Decline!$C$22+1E-9)))</f>
        <v/>
      </c>
      <c r="L102" s="68">
        <f>MAX(0,MIN(4,INT(MIN(Decline!$C$20,Decline!$C$19*K$97)*Decline!$C$21/Decline!$C$22+1E-9)))</f>
        <v/>
      </c>
      <c r="M102" s="68">
        <f>MAX(0,MIN(4,INT(MIN(Decline!$C$20,Decline!$C$19*L$97)*Decline!$C$21/Decline!$C$22+1E-9)))</f>
        <v/>
      </c>
      <c r="N102" s="68">
        <f>MAX(0,MIN(4,INT(MIN(Decline!$C$20,Decline!$C$19*M$97)*Decline!$C$21/Decline!$C$22+1E-9)))</f>
        <v/>
      </c>
      <c r="O102" s="68">
        <f>MAX(0,MIN(4,INT(MIN(Decline!$C$20,Decline!$C$19*N$97)*Decline!$C$21/Decline!$C$22+1E-9)))</f>
        <v/>
      </c>
      <c r="P102" s="68">
        <f>MAX(0,MIN(4,INT(MIN(Decline!$C$20,Decline!$C$19*O$97)*Decline!$C$21/Decline!$C$22+1E-9)))</f>
        <v/>
      </c>
      <c r="Q102" s="68">
        <f>MAX(0,MIN(4,INT(MIN(Decline!$C$20,Decline!$C$19*P$97)*Decline!$C$21/Decline!$C$22+1E-9)))</f>
        <v/>
      </c>
      <c r="R102" s="68">
        <f>MAX(0,MIN(4,INT(MIN(Decline!$C$20,Decline!$C$19*Q$97)*Decline!$C$21/Decline!$C$22+1E-9)))</f>
        <v/>
      </c>
      <c r="S102" s="68">
        <f>MAX(0,MIN(4,INT(MIN(Decline!$C$20,Decline!$C$19*R$97)*Decline!$C$21/Decline!$C$22+1E-9)))</f>
        <v/>
      </c>
      <c r="T102" s="68">
        <f>MAX(0,MIN(4,INT(MIN(Decline!$C$20,Decline!$C$19*S$97)*Decline!$C$21/Decline!$C$22+1E-9)))</f>
        <v/>
      </c>
      <c r="U102" s="68">
        <f>MAX(0,MIN(4,INT(MIN(Decline!$C$20,Decline!$C$19*T$97)*Decline!$C$21/Decline!$C$22+1E-9)))</f>
        <v/>
      </c>
      <c r="V102" s="68">
        <f>MAX(0,MIN(4,INT(MIN(Decline!$C$20,Decline!$C$19*U$97)*Decline!$C$21/Decline!$C$22+1E-9)))</f>
        <v/>
      </c>
      <c r="W102" s="68">
        <f>MAX(0,MIN(4,INT(MIN(Decline!$C$20,Decline!$C$19*V$97)*Decline!$C$21/Decline!$C$22+1E-9)))</f>
        <v/>
      </c>
      <c r="X102" s="68">
        <f>MAX(0,MIN(4,INT(MIN(Decline!$C$20,Decline!$C$19*W$97)*Decline!$C$21/Decline!$C$22+1E-9)))</f>
        <v/>
      </c>
      <c r="Y102" s="68">
        <f>MAX(0,MIN(4,INT(MIN(Decline!$C$20,Decline!$C$19*X$97)*Decline!$C$21/Decline!$C$22+1E-9)))</f>
        <v/>
      </c>
      <c r="Z102" s="68">
        <f>MAX(0,MIN(4,INT(MIN(Decline!$C$20,Decline!$C$19*Y$97)*Decline!$C$21/Decline!$C$22+1E-9)))</f>
        <v/>
      </c>
      <c r="AA102" s="68">
        <f>MAX(0,MIN(4,INT(MIN(Decline!$C$20,Decline!$C$19*Z$97)*Decline!$C$21/Decline!$C$22+1E-9)))</f>
        <v/>
      </c>
      <c r="AB102" s="68">
        <f>MAX(0,MIN(4,INT(MIN(Decline!$C$20,Decline!$C$19*AA$97)*Decline!$C$21/Decline!$C$22+1E-9)))</f>
        <v/>
      </c>
    </row>
    <row r="103">
      <c r="A103" s="68" t="inlineStr">
        <is>
          <t>(a) lit modules</t>
        </is>
      </c>
      <c r="D103" s="68">
        <f>MAX(0,MIN(4,INT(MIN(Decline!$C$20,(Decline!$C$19+IF(ISNUMBER($E$96),$E$96,0))*C$97)*Decline!$C$21/Decline!$C$22+1E-9)))</f>
        <v/>
      </c>
      <c r="E103" s="68">
        <f>MAX(0,MIN(4,INT(MIN(Decline!$C$20,(Decline!$C$19+IF(ISNUMBER($E$96),$E$96,0))*D$97)*Decline!$C$21/Decline!$C$22+1E-9)))</f>
        <v/>
      </c>
      <c r="F103" s="68">
        <f>MAX(0,MIN(4,INT(MIN(Decline!$C$20,(Decline!$C$19+IF(ISNUMBER($E$96),$E$96,0))*E$97)*Decline!$C$21/Decline!$C$22+1E-9)))</f>
        <v/>
      </c>
      <c r="G103" s="68">
        <f>MAX(0,MIN(4,INT(MIN(Decline!$C$20,(Decline!$C$19+IF(ISNUMBER($E$96),$E$96,0))*F$97)*Decline!$C$21/Decline!$C$22+1E-9)))</f>
        <v/>
      </c>
      <c r="H103" s="68">
        <f>MAX(0,MIN(4,INT(MIN(Decline!$C$20,(Decline!$C$19+IF(ISNUMBER($E$96),$E$96,0))*G$97)*Decline!$C$21/Decline!$C$22+1E-9)))</f>
        <v/>
      </c>
      <c r="I103" s="68">
        <f>MAX(0,MIN(4,INT(MIN(Decline!$C$20,(Decline!$C$19+IF(ISNUMBER($E$96),$E$96,0))*H$97)*Decline!$C$21/Decline!$C$22+1E-9)))</f>
        <v/>
      </c>
      <c r="J103" s="68">
        <f>MAX(0,MIN(4,INT(MIN(Decline!$C$20,(Decline!$C$19+IF(ISNUMBER($E$96),$E$96,0))*I$97)*Decline!$C$21/Decline!$C$22+1E-9)))</f>
        <v/>
      </c>
      <c r="K103" s="68">
        <f>MAX(0,MIN(4,INT(MIN(Decline!$C$20,(Decline!$C$19+IF(ISNUMBER($E$96),$E$96,0))*J$97)*Decline!$C$21/Decline!$C$22+1E-9)))</f>
        <v/>
      </c>
      <c r="L103" s="68">
        <f>MAX(0,MIN(4,INT(MIN(Decline!$C$20,(Decline!$C$19+IF(ISNUMBER($E$96),$E$96,0))*K$97)*Decline!$C$21/Decline!$C$22+1E-9)))</f>
        <v/>
      </c>
      <c r="M103" s="68">
        <f>MAX(0,MIN(4,INT(MIN(Decline!$C$20,(Decline!$C$19+IF(ISNUMBER($E$96),$E$96,0))*L$97)*Decline!$C$21/Decline!$C$22+1E-9)))</f>
        <v/>
      </c>
      <c r="N103" s="68">
        <f>MAX(0,MIN(4,INT(MIN(Decline!$C$20,(Decline!$C$19+IF(ISNUMBER($E$96),$E$96,0))*M$97)*Decline!$C$21/Decline!$C$22+1E-9)))</f>
        <v/>
      </c>
      <c r="O103" s="68">
        <f>MAX(0,MIN(4,INT(MIN(Decline!$C$20,(Decline!$C$19+IF(ISNUMBER($E$96),$E$96,0))*N$97)*Decline!$C$21/Decline!$C$22+1E-9)))</f>
        <v/>
      </c>
      <c r="P103" s="68">
        <f>MAX(0,MIN(4,INT(MIN(Decline!$C$20,(Decline!$C$19+IF(ISNUMBER($E$96),$E$96,0))*O$97)*Decline!$C$21/Decline!$C$22+1E-9)))</f>
        <v/>
      </c>
      <c r="Q103" s="68">
        <f>MAX(0,MIN(4,INT(MIN(Decline!$C$20,(Decline!$C$19+IF(ISNUMBER($E$96),$E$96,0))*P$97)*Decline!$C$21/Decline!$C$22+1E-9)))</f>
        <v/>
      </c>
      <c r="R103" s="68">
        <f>MAX(0,MIN(4,INT(MIN(Decline!$C$20,(Decline!$C$19+IF(ISNUMBER($E$96),$E$96,0))*Q$97)*Decline!$C$21/Decline!$C$22+1E-9)))</f>
        <v/>
      </c>
      <c r="S103" s="68">
        <f>MAX(0,MIN(4,INT(MIN(Decline!$C$20,(Decline!$C$19+IF(ISNUMBER($E$96),$E$96,0))*R$97)*Decline!$C$21/Decline!$C$22+1E-9)))</f>
        <v/>
      </c>
      <c r="T103" s="68">
        <f>MAX(0,MIN(4,INT(MIN(Decline!$C$20,(Decline!$C$19+IF(ISNUMBER($E$96),$E$96,0))*S$97)*Decline!$C$21/Decline!$C$22+1E-9)))</f>
        <v/>
      </c>
      <c r="U103" s="68">
        <f>MAX(0,MIN(4,INT(MIN(Decline!$C$20,(Decline!$C$19+IF(ISNUMBER($E$96),$E$96,0))*T$97)*Decline!$C$21/Decline!$C$22+1E-9)))</f>
        <v/>
      </c>
      <c r="V103" s="68">
        <f>MAX(0,MIN(4,INT(MIN(Decline!$C$20,(Decline!$C$19+IF(ISNUMBER($E$96),$E$96,0))*U$97)*Decline!$C$21/Decline!$C$22+1E-9)))</f>
        <v/>
      </c>
      <c r="W103" s="68">
        <f>MAX(0,MIN(4,INT(MIN(Decline!$C$20,(Decline!$C$19+IF(ISNUMBER($E$96),$E$96,0))*V$97)*Decline!$C$21/Decline!$C$22+1E-9)))</f>
        <v/>
      </c>
      <c r="X103" s="68">
        <f>MAX(0,MIN(4,INT(MIN(Decline!$C$20,(Decline!$C$19+IF(ISNUMBER($E$96),$E$96,0))*W$97)*Decline!$C$21/Decline!$C$22+1E-9)))</f>
        <v/>
      </c>
      <c r="Y103" s="68">
        <f>MAX(0,MIN(4,INT(MIN(Decline!$C$20,(Decline!$C$19+IF(ISNUMBER($E$96),$E$96,0))*X$97)*Decline!$C$21/Decline!$C$22+1E-9)))</f>
        <v/>
      </c>
      <c r="Z103" s="68">
        <f>MAX(0,MIN(4,INT(MIN(Decline!$C$20,(Decline!$C$19+IF(ISNUMBER($E$96),$E$96,0))*Y$97)*Decline!$C$21/Decline!$C$22+1E-9)))</f>
        <v/>
      </c>
      <c r="AA103" s="68">
        <f>MAX(0,MIN(4,INT(MIN(Decline!$C$20,(Decline!$C$19+IF(ISNUMBER($E$96),$E$96,0))*Z$97)*Decline!$C$21/Decline!$C$22+1E-9)))</f>
        <v/>
      </c>
      <c r="AB103" s="68">
        <f>MAX(0,MIN(4,INT(MIN(Decline!$C$20,(Decline!$C$19+IF(ISNUMBER($E$96),$E$96,0))*AA$97)*Decline!$C$21/Decline!$C$22+1E-9)))</f>
        <v/>
      </c>
    </row>
    <row r="104">
      <c r="A104" s="68" t="inlineStr">
        <is>
          <t>(b) lit modules</t>
        </is>
      </c>
      <c r="D104" s="68">
        <f>MAX(0,MIN(4,INT(MIN(Decline!$C$20,D100)*Decline!$C$21/Decline!$C$22+1E-9)))</f>
        <v/>
      </c>
      <c r="E104" s="68">
        <f>MAX(0,MIN(4,INT(MIN(Decline!$C$20,E100)*Decline!$C$21/Decline!$C$22+1E-9)))</f>
        <v/>
      </c>
      <c r="F104" s="68">
        <f>MAX(0,MIN(4,INT(MIN(Decline!$C$20,F100)*Decline!$C$21/Decline!$C$22+1E-9)))</f>
        <v/>
      </c>
      <c r="G104" s="68">
        <f>MAX(0,MIN(4,INT(MIN(Decline!$C$20,G100)*Decline!$C$21/Decline!$C$22+1E-9)))</f>
        <v/>
      </c>
      <c r="H104" s="68">
        <f>MAX(0,MIN(4,INT(MIN(Decline!$C$20,H100)*Decline!$C$21/Decline!$C$22+1E-9)))</f>
        <v/>
      </c>
      <c r="I104" s="68">
        <f>MAX(0,MIN(4,INT(MIN(Decline!$C$20,I100)*Decline!$C$21/Decline!$C$22+1E-9)))</f>
        <v/>
      </c>
      <c r="J104" s="68">
        <f>MAX(0,MIN(4,INT(MIN(Decline!$C$20,J100)*Decline!$C$21/Decline!$C$22+1E-9)))</f>
        <v/>
      </c>
      <c r="K104" s="68">
        <f>MAX(0,MIN(4,INT(MIN(Decline!$C$20,K100)*Decline!$C$21/Decline!$C$22+1E-9)))</f>
        <v/>
      </c>
      <c r="L104" s="68">
        <f>MAX(0,MIN(4,INT(MIN(Decline!$C$20,L100)*Decline!$C$21/Decline!$C$22+1E-9)))</f>
        <v/>
      </c>
      <c r="M104" s="68">
        <f>MAX(0,MIN(4,INT(MIN(Decline!$C$20,M100)*Decline!$C$21/Decline!$C$22+1E-9)))</f>
        <v/>
      </c>
      <c r="N104" s="68">
        <f>MAX(0,MIN(4,INT(MIN(Decline!$C$20,N100)*Decline!$C$21/Decline!$C$22+1E-9)))</f>
        <v/>
      </c>
      <c r="O104" s="68">
        <f>MAX(0,MIN(4,INT(MIN(Decline!$C$20,O100)*Decline!$C$21/Decline!$C$22+1E-9)))</f>
        <v/>
      </c>
      <c r="P104" s="68">
        <f>MAX(0,MIN(4,INT(MIN(Decline!$C$20,P100)*Decline!$C$21/Decline!$C$22+1E-9)))</f>
        <v/>
      </c>
      <c r="Q104" s="68">
        <f>MAX(0,MIN(4,INT(MIN(Decline!$C$20,Q100)*Decline!$C$21/Decline!$C$22+1E-9)))</f>
        <v/>
      </c>
      <c r="R104" s="68">
        <f>MAX(0,MIN(4,INT(MIN(Decline!$C$20,R100)*Decline!$C$21/Decline!$C$22+1E-9)))</f>
        <v/>
      </c>
      <c r="S104" s="68">
        <f>MAX(0,MIN(4,INT(MIN(Decline!$C$20,S100)*Decline!$C$21/Decline!$C$22+1E-9)))</f>
        <v/>
      </c>
      <c r="T104" s="68">
        <f>MAX(0,MIN(4,INT(MIN(Decline!$C$20,T100)*Decline!$C$21/Decline!$C$22+1E-9)))</f>
        <v/>
      </c>
      <c r="U104" s="68">
        <f>MAX(0,MIN(4,INT(MIN(Decline!$C$20,U100)*Decline!$C$21/Decline!$C$22+1E-9)))</f>
        <v/>
      </c>
      <c r="V104" s="68">
        <f>MAX(0,MIN(4,INT(MIN(Decline!$C$20,V100)*Decline!$C$21/Decline!$C$22+1E-9)))</f>
        <v/>
      </c>
      <c r="W104" s="68">
        <f>MAX(0,MIN(4,INT(MIN(Decline!$C$20,W100)*Decline!$C$21/Decline!$C$22+1E-9)))</f>
        <v/>
      </c>
      <c r="X104" s="68">
        <f>MAX(0,MIN(4,INT(MIN(Decline!$C$20,X100)*Decline!$C$21/Decline!$C$22+1E-9)))</f>
        <v/>
      </c>
      <c r="Y104" s="68">
        <f>MAX(0,MIN(4,INT(MIN(Decline!$C$20,Y100)*Decline!$C$21/Decline!$C$22+1E-9)))</f>
        <v/>
      </c>
      <c r="Z104" s="68">
        <f>MAX(0,MIN(4,INT(MIN(Decline!$C$20,Z100)*Decline!$C$21/Decline!$C$22+1E-9)))</f>
        <v/>
      </c>
      <c r="AA104" s="68">
        <f>MAX(0,MIN(4,INT(MIN(Decline!$C$20,AA100)*Decline!$C$21/Decline!$C$22+1E-9)))</f>
        <v/>
      </c>
      <c r="AB104" s="68">
        <f>MAX(0,MIN(4,INT(MIN(Decline!$C$20,AB100)*Decline!$C$21/Decline!$C$22+1E-9)))</f>
        <v/>
      </c>
    </row>
    <row r="105">
      <c r="A105" s="68" t="inlineStr">
        <is>
          <t>Do nothing (dark modules stop buying GPUs) | flat</t>
        </is>
      </c>
      <c r="C105" s="68">
        <f>-'Sell-Compute'!$C$36</f>
        <v/>
      </c>
      <c r="D105" s="68">
        <f>IF(D$51&lt;=Rates!$D$71,('Sell-Compute'!$C$40*(1+'Sell-Compute'!$C$50)^MOD(D$51-1,'Sell-Compute'!$C$21)-'Sell-Compute'!$C$42-'Sell-Compute'!$C$43)*(D102/4)-'Sell-Compute'!$C$41-'Sell-Compute'!$C$44-'Sell-Compute'!$C$45-IF(AND(MOD(D$51,'Sell-Compute'!$C$21)=0,D$51&lt;Rates!$D$71),'Sell-Compute'!$C$34*(D102/4),0),0)</f>
        <v/>
      </c>
      <c r="E105" s="68">
        <f>IF(E$51&lt;=Rates!$D$71,('Sell-Compute'!$C$40*(1+'Sell-Compute'!$C$50)^MOD(E$51-1,'Sell-Compute'!$C$21)-'Sell-Compute'!$C$42-'Sell-Compute'!$C$43)*(E102/4)-'Sell-Compute'!$C$41-'Sell-Compute'!$C$44-'Sell-Compute'!$C$45-IF(AND(MOD(E$51,'Sell-Compute'!$C$21)=0,E$51&lt;Rates!$D$71),'Sell-Compute'!$C$34*(E102/4),0),0)</f>
        <v/>
      </c>
      <c r="F105" s="68">
        <f>IF(F$51&lt;=Rates!$D$71,('Sell-Compute'!$C$40*(1+'Sell-Compute'!$C$50)^MOD(F$51-1,'Sell-Compute'!$C$21)-'Sell-Compute'!$C$42-'Sell-Compute'!$C$43)*(F102/4)-'Sell-Compute'!$C$41-'Sell-Compute'!$C$44-'Sell-Compute'!$C$45-IF(AND(MOD(F$51,'Sell-Compute'!$C$21)=0,F$51&lt;Rates!$D$71),'Sell-Compute'!$C$34*(F102/4),0),0)</f>
        <v/>
      </c>
      <c r="G105" s="68">
        <f>IF(G$51&lt;=Rates!$D$71,('Sell-Compute'!$C$40*(1+'Sell-Compute'!$C$50)^MOD(G$51-1,'Sell-Compute'!$C$21)-'Sell-Compute'!$C$42-'Sell-Compute'!$C$43)*(G102/4)-'Sell-Compute'!$C$41-'Sell-Compute'!$C$44-'Sell-Compute'!$C$45-IF(AND(MOD(G$51,'Sell-Compute'!$C$21)=0,G$51&lt;Rates!$D$71),'Sell-Compute'!$C$34*(G102/4),0),0)</f>
        <v/>
      </c>
      <c r="H105" s="68">
        <f>IF(H$51&lt;=Rates!$D$71,('Sell-Compute'!$C$40*(1+'Sell-Compute'!$C$50)^MOD(H$51-1,'Sell-Compute'!$C$21)-'Sell-Compute'!$C$42-'Sell-Compute'!$C$43)*(H102/4)-'Sell-Compute'!$C$41-'Sell-Compute'!$C$44-'Sell-Compute'!$C$45-IF(AND(MOD(H$51,'Sell-Compute'!$C$21)=0,H$51&lt;Rates!$D$71),'Sell-Compute'!$C$34*(H102/4),0),0)</f>
        <v/>
      </c>
      <c r="I105" s="68">
        <f>IF(I$51&lt;=Rates!$D$71,('Sell-Compute'!$C$40*(1+'Sell-Compute'!$C$50)^MOD(I$51-1,'Sell-Compute'!$C$21)-'Sell-Compute'!$C$42-'Sell-Compute'!$C$43)*(I102/4)-'Sell-Compute'!$C$41-'Sell-Compute'!$C$44-'Sell-Compute'!$C$45-IF(AND(MOD(I$51,'Sell-Compute'!$C$21)=0,I$51&lt;Rates!$D$71),'Sell-Compute'!$C$34*(I102/4),0),0)</f>
        <v/>
      </c>
      <c r="J105" s="68">
        <f>IF(J$51&lt;=Rates!$D$71,('Sell-Compute'!$C$40*(1+'Sell-Compute'!$C$50)^MOD(J$51-1,'Sell-Compute'!$C$21)-'Sell-Compute'!$C$42-'Sell-Compute'!$C$43)*(J102/4)-'Sell-Compute'!$C$41-'Sell-Compute'!$C$44-'Sell-Compute'!$C$45-IF(AND(MOD(J$51,'Sell-Compute'!$C$21)=0,J$51&lt;Rates!$D$71),'Sell-Compute'!$C$34*(J102/4),0),0)</f>
        <v/>
      </c>
      <c r="K105" s="68">
        <f>IF(K$51&lt;=Rates!$D$71,('Sell-Compute'!$C$40*(1+'Sell-Compute'!$C$50)^MOD(K$51-1,'Sell-Compute'!$C$21)-'Sell-Compute'!$C$42-'Sell-Compute'!$C$43)*(K102/4)-'Sell-Compute'!$C$41-'Sell-Compute'!$C$44-'Sell-Compute'!$C$45-IF(AND(MOD(K$51,'Sell-Compute'!$C$21)=0,K$51&lt;Rates!$D$71),'Sell-Compute'!$C$34*(K102/4),0),0)</f>
        <v/>
      </c>
      <c r="L105" s="68">
        <f>IF(L$51&lt;=Rates!$D$71,('Sell-Compute'!$C$40*(1+'Sell-Compute'!$C$50)^MOD(L$51-1,'Sell-Compute'!$C$21)-'Sell-Compute'!$C$42-'Sell-Compute'!$C$43)*(L102/4)-'Sell-Compute'!$C$41-'Sell-Compute'!$C$44-'Sell-Compute'!$C$45-IF(AND(MOD(L$51,'Sell-Compute'!$C$21)=0,L$51&lt;Rates!$D$71),'Sell-Compute'!$C$34*(L102/4),0),0)</f>
        <v/>
      </c>
      <c r="M105" s="68">
        <f>IF(M$51&lt;=Rates!$D$71,('Sell-Compute'!$C$40*(1+'Sell-Compute'!$C$50)^MOD(M$51-1,'Sell-Compute'!$C$21)-'Sell-Compute'!$C$42-'Sell-Compute'!$C$43)*(M102/4)-'Sell-Compute'!$C$41-'Sell-Compute'!$C$44-'Sell-Compute'!$C$45-IF(AND(MOD(M$51,'Sell-Compute'!$C$21)=0,M$51&lt;Rates!$D$71),'Sell-Compute'!$C$34*(M102/4),0),0)</f>
        <v/>
      </c>
      <c r="N105" s="68">
        <f>IF(N$51&lt;=Rates!$D$71,('Sell-Compute'!$C$40*(1+'Sell-Compute'!$C$50)^MOD(N$51-1,'Sell-Compute'!$C$21)-'Sell-Compute'!$C$42-'Sell-Compute'!$C$43)*(N102/4)-'Sell-Compute'!$C$41-'Sell-Compute'!$C$44-'Sell-Compute'!$C$45-IF(AND(MOD(N$51,'Sell-Compute'!$C$21)=0,N$51&lt;Rates!$D$71),'Sell-Compute'!$C$34*(N102/4),0),0)</f>
        <v/>
      </c>
      <c r="O105" s="68">
        <f>IF(O$51&lt;=Rates!$D$71,('Sell-Compute'!$C$40*(1+'Sell-Compute'!$C$50)^MOD(O$51-1,'Sell-Compute'!$C$21)-'Sell-Compute'!$C$42-'Sell-Compute'!$C$43)*(O102/4)-'Sell-Compute'!$C$41-'Sell-Compute'!$C$44-'Sell-Compute'!$C$45-IF(AND(MOD(O$51,'Sell-Compute'!$C$21)=0,O$51&lt;Rates!$D$71),'Sell-Compute'!$C$34*(O102/4),0),0)</f>
        <v/>
      </c>
      <c r="P105" s="68">
        <f>IF(P$51&lt;=Rates!$D$71,('Sell-Compute'!$C$40*(1+'Sell-Compute'!$C$50)^MOD(P$51-1,'Sell-Compute'!$C$21)-'Sell-Compute'!$C$42-'Sell-Compute'!$C$43)*(P102/4)-'Sell-Compute'!$C$41-'Sell-Compute'!$C$44-'Sell-Compute'!$C$45-IF(AND(MOD(P$51,'Sell-Compute'!$C$21)=0,P$51&lt;Rates!$D$71),'Sell-Compute'!$C$34*(P102/4),0),0)</f>
        <v/>
      </c>
      <c r="Q105" s="68">
        <f>IF(Q$51&lt;=Rates!$D$71,('Sell-Compute'!$C$40*(1+'Sell-Compute'!$C$50)^MOD(Q$51-1,'Sell-Compute'!$C$21)-'Sell-Compute'!$C$42-'Sell-Compute'!$C$43)*(Q102/4)-'Sell-Compute'!$C$41-'Sell-Compute'!$C$44-'Sell-Compute'!$C$45-IF(AND(MOD(Q$51,'Sell-Compute'!$C$21)=0,Q$51&lt;Rates!$D$71),'Sell-Compute'!$C$34*(Q102/4),0),0)</f>
        <v/>
      </c>
      <c r="R105" s="68">
        <f>IF(R$51&lt;=Rates!$D$71,('Sell-Compute'!$C$40*(1+'Sell-Compute'!$C$50)^MOD(R$51-1,'Sell-Compute'!$C$21)-'Sell-Compute'!$C$42-'Sell-Compute'!$C$43)*(R102/4)-'Sell-Compute'!$C$41-'Sell-Compute'!$C$44-'Sell-Compute'!$C$45-IF(AND(MOD(R$51,'Sell-Compute'!$C$21)=0,R$51&lt;Rates!$D$71),'Sell-Compute'!$C$34*(R102/4),0),0)</f>
        <v/>
      </c>
      <c r="S105" s="68">
        <f>IF(S$51&lt;=Rates!$D$71,('Sell-Compute'!$C$40*(1+'Sell-Compute'!$C$50)^MOD(S$51-1,'Sell-Compute'!$C$21)-'Sell-Compute'!$C$42-'Sell-Compute'!$C$43)*(S102/4)-'Sell-Compute'!$C$41-'Sell-Compute'!$C$44-'Sell-Compute'!$C$45-IF(AND(MOD(S$51,'Sell-Compute'!$C$21)=0,S$51&lt;Rates!$D$71),'Sell-Compute'!$C$34*(S102/4),0),0)</f>
        <v/>
      </c>
      <c r="T105" s="68">
        <f>IF(T$51&lt;=Rates!$D$71,('Sell-Compute'!$C$40*(1+'Sell-Compute'!$C$50)^MOD(T$51-1,'Sell-Compute'!$C$21)-'Sell-Compute'!$C$42-'Sell-Compute'!$C$43)*(T102/4)-'Sell-Compute'!$C$41-'Sell-Compute'!$C$44-'Sell-Compute'!$C$45-IF(AND(MOD(T$51,'Sell-Compute'!$C$21)=0,T$51&lt;Rates!$D$71),'Sell-Compute'!$C$34*(T102/4),0),0)</f>
        <v/>
      </c>
      <c r="U105" s="68">
        <f>IF(U$51&lt;=Rates!$D$71,('Sell-Compute'!$C$40*(1+'Sell-Compute'!$C$50)^MOD(U$51-1,'Sell-Compute'!$C$21)-'Sell-Compute'!$C$42-'Sell-Compute'!$C$43)*(U102/4)-'Sell-Compute'!$C$41-'Sell-Compute'!$C$44-'Sell-Compute'!$C$45-IF(AND(MOD(U$51,'Sell-Compute'!$C$21)=0,U$51&lt;Rates!$D$71),'Sell-Compute'!$C$34*(U102/4),0),0)</f>
        <v/>
      </c>
      <c r="V105" s="68">
        <f>IF(V$51&lt;=Rates!$D$71,('Sell-Compute'!$C$40*(1+'Sell-Compute'!$C$50)^MOD(V$51-1,'Sell-Compute'!$C$21)-'Sell-Compute'!$C$42-'Sell-Compute'!$C$43)*(V102/4)-'Sell-Compute'!$C$41-'Sell-Compute'!$C$44-'Sell-Compute'!$C$45-IF(AND(MOD(V$51,'Sell-Compute'!$C$21)=0,V$51&lt;Rates!$D$71),'Sell-Compute'!$C$34*(V102/4),0),0)</f>
        <v/>
      </c>
      <c r="W105" s="68">
        <f>IF(W$51&lt;=Rates!$D$71,('Sell-Compute'!$C$40*(1+'Sell-Compute'!$C$50)^MOD(W$51-1,'Sell-Compute'!$C$21)-'Sell-Compute'!$C$42-'Sell-Compute'!$C$43)*(W102/4)-'Sell-Compute'!$C$41-'Sell-Compute'!$C$44-'Sell-Compute'!$C$45-IF(AND(MOD(W$51,'Sell-Compute'!$C$21)=0,W$51&lt;Rates!$D$71),'Sell-Compute'!$C$34*(W102/4),0),0)</f>
        <v/>
      </c>
      <c r="X105" s="68">
        <f>IF(X$51&lt;=Rates!$D$71,('Sell-Compute'!$C$40*(1+'Sell-Compute'!$C$50)^MOD(X$51-1,'Sell-Compute'!$C$21)-'Sell-Compute'!$C$42-'Sell-Compute'!$C$43)*(X102/4)-'Sell-Compute'!$C$41-'Sell-Compute'!$C$44-'Sell-Compute'!$C$45-IF(AND(MOD(X$51,'Sell-Compute'!$C$21)=0,X$51&lt;Rates!$D$71),'Sell-Compute'!$C$34*(X102/4),0),0)</f>
        <v/>
      </c>
      <c r="Y105" s="68">
        <f>IF(Y$51&lt;=Rates!$D$71,('Sell-Compute'!$C$40*(1+'Sell-Compute'!$C$50)^MOD(Y$51-1,'Sell-Compute'!$C$21)-'Sell-Compute'!$C$42-'Sell-Compute'!$C$43)*(Y102/4)-'Sell-Compute'!$C$41-'Sell-Compute'!$C$44-'Sell-Compute'!$C$45-IF(AND(MOD(Y$51,'Sell-Compute'!$C$21)=0,Y$51&lt;Rates!$D$71),'Sell-Compute'!$C$34*(Y102/4),0),0)</f>
        <v/>
      </c>
      <c r="Z105" s="68">
        <f>IF(Z$51&lt;=Rates!$D$71,('Sell-Compute'!$C$40*(1+'Sell-Compute'!$C$50)^MOD(Z$51-1,'Sell-Compute'!$C$21)-'Sell-Compute'!$C$42-'Sell-Compute'!$C$43)*(Z102/4)-'Sell-Compute'!$C$41-'Sell-Compute'!$C$44-'Sell-Compute'!$C$45-IF(AND(MOD(Z$51,'Sell-Compute'!$C$21)=0,Z$51&lt;Rates!$D$71),'Sell-Compute'!$C$34*(Z102/4),0),0)</f>
        <v/>
      </c>
      <c r="AA105" s="68">
        <f>IF(AA$51&lt;=Rates!$D$71,('Sell-Compute'!$C$40*(1+'Sell-Compute'!$C$50)^MOD(AA$51-1,'Sell-Compute'!$C$21)-'Sell-Compute'!$C$42-'Sell-Compute'!$C$43)*(AA102/4)-'Sell-Compute'!$C$41-'Sell-Compute'!$C$44-'Sell-Compute'!$C$45-IF(AND(MOD(AA$51,'Sell-Compute'!$C$21)=0,AA$51&lt;Rates!$D$71),'Sell-Compute'!$C$34*(AA102/4),0),0)</f>
        <v/>
      </c>
      <c r="AB105" s="68">
        <f>IF(AB$51&lt;=Rates!$D$71,('Sell-Compute'!$C$40*(1+'Sell-Compute'!$C$50)^MOD(AB$51-1,'Sell-Compute'!$C$21)-'Sell-Compute'!$C$42-'Sell-Compute'!$C$43)*(AB102/4)-'Sell-Compute'!$C$41-'Sell-Compute'!$C$44-'Sell-Compute'!$C$45-IF(AND(MOD(AB$51,'Sell-Compute'!$C$21)=0,AB$51&lt;Rates!$D$71),'Sell-Compute'!$C$34*(AB102/4),0),0)</f>
        <v/>
      </c>
    </row>
    <row r="106">
      <c r="A106" s="68" t="inlineStr">
        <is>
          <t>Do nothing (dark modules stop buying GPUs) | dec</t>
        </is>
      </c>
      <c r="C106" s="68">
        <f>-'Sell-Compute'!$B$36</f>
        <v/>
      </c>
      <c r="D106" s="68">
        <f>IF(D$51&lt;=Rates!$D$71,('Sell-Compute'!$B$40*(1+'Sell-Compute'!$B$50)^MOD(D$51-1,'Sell-Compute'!$C$21)-'Sell-Compute'!$B$42-'Sell-Compute'!$B$43)*(D102/4)-'Sell-Compute'!$B$41-'Sell-Compute'!$B$44-'Sell-Compute'!$B$45-IF(AND(MOD(D$51,'Sell-Compute'!$C$21)=0,D$51&lt;Rates!$D$71),'Sell-Compute'!$B$34*(D102/4),0),0)</f>
        <v/>
      </c>
      <c r="E106" s="68">
        <f>IF(E$51&lt;=Rates!$D$71,('Sell-Compute'!$B$40*(1+'Sell-Compute'!$B$50)^MOD(E$51-1,'Sell-Compute'!$C$21)-'Sell-Compute'!$B$42-'Sell-Compute'!$B$43)*(E102/4)-'Sell-Compute'!$B$41-'Sell-Compute'!$B$44-'Sell-Compute'!$B$45-IF(AND(MOD(E$51,'Sell-Compute'!$C$21)=0,E$51&lt;Rates!$D$71),'Sell-Compute'!$B$34*(E102/4),0),0)</f>
        <v/>
      </c>
      <c r="F106" s="68">
        <f>IF(F$51&lt;=Rates!$D$71,('Sell-Compute'!$B$40*(1+'Sell-Compute'!$B$50)^MOD(F$51-1,'Sell-Compute'!$C$21)-'Sell-Compute'!$B$42-'Sell-Compute'!$B$43)*(F102/4)-'Sell-Compute'!$B$41-'Sell-Compute'!$B$44-'Sell-Compute'!$B$45-IF(AND(MOD(F$51,'Sell-Compute'!$C$21)=0,F$51&lt;Rates!$D$71),'Sell-Compute'!$B$34*(F102/4),0),0)</f>
        <v/>
      </c>
      <c r="G106" s="68">
        <f>IF(G$51&lt;=Rates!$D$71,('Sell-Compute'!$B$40*(1+'Sell-Compute'!$B$50)^MOD(G$51-1,'Sell-Compute'!$C$21)-'Sell-Compute'!$B$42-'Sell-Compute'!$B$43)*(G102/4)-'Sell-Compute'!$B$41-'Sell-Compute'!$B$44-'Sell-Compute'!$B$45-IF(AND(MOD(G$51,'Sell-Compute'!$C$21)=0,G$51&lt;Rates!$D$71),'Sell-Compute'!$B$34*(G102/4),0),0)</f>
        <v/>
      </c>
      <c r="H106" s="68">
        <f>IF(H$51&lt;=Rates!$D$71,('Sell-Compute'!$B$40*(1+'Sell-Compute'!$B$50)^MOD(H$51-1,'Sell-Compute'!$C$21)-'Sell-Compute'!$B$42-'Sell-Compute'!$B$43)*(H102/4)-'Sell-Compute'!$B$41-'Sell-Compute'!$B$44-'Sell-Compute'!$B$45-IF(AND(MOD(H$51,'Sell-Compute'!$C$21)=0,H$51&lt;Rates!$D$71),'Sell-Compute'!$B$34*(H102/4),0),0)</f>
        <v/>
      </c>
      <c r="I106" s="68">
        <f>IF(I$51&lt;=Rates!$D$71,('Sell-Compute'!$B$40*(1+'Sell-Compute'!$B$50)^MOD(I$51-1,'Sell-Compute'!$C$21)-'Sell-Compute'!$B$42-'Sell-Compute'!$B$43)*(I102/4)-'Sell-Compute'!$B$41-'Sell-Compute'!$B$44-'Sell-Compute'!$B$45-IF(AND(MOD(I$51,'Sell-Compute'!$C$21)=0,I$51&lt;Rates!$D$71),'Sell-Compute'!$B$34*(I102/4),0),0)</f>
        <v/>
      </c>
      <c r="J106" s="68">
        <f>IF(J$51&lt;=Rates!$D$71,('Sell-Compute'!$B$40*(1+'Sell-Compute'!$B$50)^MOD(J$51-1,'Sell-Compute'!$C$21)-'Sell-Compute'!$B$42-'Sell-Compute'!$B$43)*(J102/4)-'Sell-Compute'!$B$41-'Sell-Compute'!$B$44-'Sell-Compute'!$B$45-IF(AND(MOD(J$51,'Sell-Compute'!$C$21)=0,J$51&lt;Rates!$D$71),'Sell-Compute'!$B$34*(J102/4),0),0)</f>
        <v/>
      </c>
      <c r="K106" s="68">
        <f>IF(K$51&lt;=Rates!$D$71,('Sell-Compute'!$B$40*(1+'Sell-Compute'!$B$50)^MOD(K$51-1,'Sell-Compute'!$C$21)-'Sell-Compute'!$B$42-'Sell-Compute'!$B$43)*(K102/4)-'Sell-Compute'!$B$41-'Sell-Compute'!$B$44-'Sell-Compute'!$B$45-IF(AND(MOD(K$51,'Sell-Compute'!$C$21)=0,K$51&lt;Rates!$D$71),'Sell-Compute'!$B$34*(K102/4),0),0)</f>
        <v/>
      </c>
      <c r="L106" s="68">
        <f>IF(L$51&lt;=Rates!$D$71,('Sell-Compute'!$B$40*(1+'Sell-Compute'!$B$50)^MOD(L$51-1,'Sell-Compute'!$C$21)-'Sell-Compute'!$B$42-'Sell-Compute'!$B$43)*(L102/4)-'Sell-Compute'!$B$41-'Sell-Compute'!$B$44-'Sell-Compute'!$B$45-IF(AND(MOD(L$51,'Sell-Compute'!$C$21)=0,L$51&lt;Rates!$D$71),'Sell-Compute'!$B$34*(L102/4),0),0)</f>
        <v/>
      </c>
      <c r="M106" s="68">
        <f>IF(M$51&lt;=Rates!$D$71,('Sell-Compute'!$B$40*(1+'Sell-Compute'!$B$50)^MOD(M$51-1,'Sell-Compute'!$C$21)-'Sell-Compute'!$B$42-'Sell-Compute'!$B$43)*(M102/4)-'Sell-Compute'!$B$41-'Sell-Compute'!$B$44-'Sell-Compute'!$B$45-IF(AND(MOD(M$51,'Sell-Compute'!$C$21)=0,M$51&lt;Rates!$D$71),'Sell-Compute'!$B$34*(M102/4),0),0)</f>
        <v/>
      </c>
      <c r="N106" s="68">
        <f>IF(N$51&lt;=Rates!$D$71,('Sell-Compute'!$B$40*(1+'Sell-Compute'!$B$50)^MOD(N$51-1,'Sell-Compute'!$C$21)-'Sell-Compute'!$B$42-'Sell-Compute'!$B$43)*(N102/4)-'Sell-Compute'!$B$41-'Sell-Compute'!$B$44-'Sell-Compute'!$B$45-IF(AND(MOD(N$51,'Sell-Compute'!$C$21)=0,N$51&lt;Rates!$D$71),'Sell-Compute'!$B$34*(N102/4),0),0)</f>
        <v/>
      </c>
      <c r="O106" s="68">
        <f>IF(O$51&lt;=Rates!$D$71,('Sell-Compute'!$B$40*(1+'Sell-Compute'!$B$50)^MOD(O$51-1,'Sell-Compute'!$C$21)-'Sell-Compute'!$B$42-'Sell-Compute'!$B$43)*(O102/4)-'Sell-Compute'!$B$41-'Sell-Compute'!$B$44-'Sell-Compute'!$B$45-IF(AND(MOD(O$51,'Sell-Compute'!$C$21)=0,O$51&lt;Rates!$D$71),'Sell-Compute'!$B$34*(O102/4),0),0)</f>
        <v/>
      </c>
      <c r="P106" s="68">
        <f>IF(P$51&lt;=Rates!$D$71,('Sell-Compute'!$B$40*(1+'Sell-Compute'!$B$50)^MOD(P$51-1,'Sell-Compute'!$C$21)-'Sell-Compute'!$B$42-'Sell-Compute'!$B$43)*(P102/4)-'Sell-Compute'!$B$41-'Sell-Compute'!$B$44-'Sell-Compute'!$B$45-IF(AND(MOD(P$51,'Sell-Compute'!$C$21)=0,P$51&lt;Rates!$D$71),'Sell-Compute'!$B$34*(P102/4),0),0)</f>
        <v/>
      </c>
      <c r="Q106" s="68">
        <f>IF(Q$51&lt;=Rates!$D$71,('Sell-Compute'!$B$40*(1+'Sell-Compute'!$B$50)^MOD(Q$51-1,'Sell-Compute'!$C$21)-'Sell-Compute'!$B$42-'Sell-Compute'!$B$43)*(Q102/4)-'Sell-Compute'!$B$41-'Sell-Compute'!$B$44-'Sell-Compute'!$B$45-IF(AND(MOD(Q$51,'Sell-Compute'!$C$21)=0,Q$51&lt;Rates!$D$71),'Sell-Compute'!$B$34*(Q102/4),0),0)</f>
        <v/>
      </c>
      <c r="R106" s="68">
        <f>IF(R$51&lt;=Rates!$D$71,('Sell-Compute'!$B$40*(1+'Sell-Compute'!$B$50)^MOD(R$51-1,'Sell-Compute'!$C$21)-'Sell-Compute'!$B$42-'Sell-Compute'!$B$43)*(R102/4)-'Sell-Compute'!$B$41-'Sell-Compute'!$B$44-'Sell-Compute'!$B$45-IF(AND(MOD(R$51,'Sell-Compute'!$C$21)=0,R$51&lt;Rates!$D$71),'Sell-Compute'!$B$34*(R102/4),0),0)</f>
        <v/>
      </c>
      <c r="S106" s="68">
        <f>IF(S$51&lt;=Rates!$D$71,('Sell-Compute'!$B$40*(1+'Sell-Compute'!$B$50)^MOD(S$51-1,'Sell-Compute'!$C$21)-'Sell-Compute'!$B$42-'Sell-Compute'!$B$43)*(S102/4)-'Sell-Compute'!$B$41-'Sell-Compute'!$B$44-'Sell-Compute'!$B$45-IF(AND(MOD(S$51,'Sell-Compute'!$C$21)=0,S$51&lt;Rates!$D$71),'Sell-Compute'!$B$34*(S102/4),0),0)</f>
        <v/>
      </c>
      <c r="T106" s="68">
        <f>IF(T$51&lt;=Rates!$D$71,('Sell-Compute'!$B$40*(1+'Sell-Compute'!$B$50)^MOD(T$51-1,'Sell-Compute'!$C$21)-'Sell-Compute'!$B$42-'Sell-Compute'!$B$43)*(T102/4)-'Sell-Compute'!$B$41-'Sell-Compute'!$B$44-'Sell-Compute'!$B$45-IF(AND(MOD(T$51,'Sell-Compute'!$C$21)=0,T$51&lt;Rates!$D$71),'Sell-Compute'!$B$34*(T102/4),0),0)</f>
        <v/>
      </c>
      <c r="U106" s="68">
        <f>IF(U$51&lt;=Rates!$D$71,('Sell-Compute'!$B$40*(1+'Sell-Compute'!$B$50)^MOD(U$51-1,'Sell-Compute'!$C$21)-'Sell-Compute'!$B$42-'Sell-Compute'!$B$43)*(U102/4)-'Sell-Compute'!$B$41-'Sell-Compute'!$B$44-'Sell-Compute'!$B$45-IF(AND(MOD(U$51,'Sell-Compute'!$C$21)=0,U$51&lt;Rates!$D$71),'Sell-Compute'!$B$34*(U102/4),0),0)</f>
        <v/>
      </c>
      <c r="V106" s="68">
        <f>IF(V$51&lt;=Rates!$D$71,('Sell-Compute'!$B$40*(1+'Sell-Compute'!$B$50)^MOD(V$51-1,'Sell-Compute'!$C$21)-'Sell-Compute'!$B$42-'Sell-Compute'!$B$43)*(V102/4)-'Sell-Compute'!$B$41-'Sell-Compute'!$B$44-'Sell-Compute'!$B$45-IF(AND(MOD(V$51,'Sell-Compute'!$C$21)=0,V$51&lt;Rates!$D$71),'Sell-Compute'!$B$34*(V102/4),0),0)</f>
        <v/>
      </c>
      <c r="W106" s="68">
        <f>IF(W$51&lt;=Rates!$D$71,('Sell-Compute'!$B$40*(1+'Sell-Compute'!$B$50)^MOD(W$51-1,'Sell-Compute'!$C$21)-'Sell-Compute'!$B$42-'Sell-Compute'!$B$43)*(W102/4)-'Sell-Compute'!$B$41-'Sell-Compute'!$B$44-'Sell-Compute'!$B$45-IF(AND(MOD(W$51,'Sell-Compute'!$C$21)=0,W$51&lt;Rates!$D$71),'Sell-Compute'!$B$34*(W102/4),0),0)</f>
        <v/>
      </c>
      <c r="X106" s="68">
        <f>IF(X$51&lt;=Rates!$D$71,('Sell-Compute'!$B$40*(1+'Sell-Compute'!$B$50)^MOD(X$51-1,'Sell-Compute'!$C$21)-'Sell-Compute'!$B$42-'Sell-Compute'!$B$43)*(X102/4)-'Sell-Compute'!$B$41-'Sell-Compute'!$B$44-'Sell-Compute'!$B$45-IF(AND(MOD(X$51,'Sell-Compute'!$C$21)=0,X$51&lt;Rates!$D$71),'Sell-Compute'!$B$34*(X102/4),0),0)</f>
        <v/>
      </c>
      <c r="Y106" s="68">
        <f>IF(Y$51&lt;=Rates!$D$71,('Sell-Compute'!$B$40*(1+'Sell-Compute'!$B$50)^MOD(Y$51-1,'Sell-Compute'!$C$21)-'Sell-Compute'!$B$42-'Sell-Compute'!$B$43)*(Y102/4)-'Sell-Compute'!$B$41-'Sell-Compute'!$B$44-'Sell-Compute'!$B$45-IF(AND(MOD(Y$51,'Sell-Compute'!$C$21)=0,Y$51&lt;Rates!$D$71),'Sell-Compute'!$B$34*(Y102/4),0),0)</f>
        <v/>
      </c>
      <c r="Z106" s="68">
        <f>IF(Z$51&lt;=Rates!$D$71,('Sell-Compute'!$B$40*(1+'Sell-Compute'!$B$50)^MOD(Z$51-1,'Sell-Compute'!$C$21)-'Sell-Compute'!$B$42-'Sell-Compute'!$B$43)*(Z102/4)-'Sell-Compute'!$B$41-'Sell-Compute'!$B$44-'Sell-Compute'!$B$45-IF(AND(MOD(Z$51,'Sell-Compute'!$C$21)=0,Z$51&lt;Rates!$D$71),'Sell-Compute'!$B$34*(Z102/4),0),0)</f>
        <v/>
      </c>
      <c r="AA106" s="68">
        <f>IF(AA$51&lt;=Rates!$D$71,('Sell-Compute'!$B$40*(1+'Sell-Compute'!$B$50)^MOD(AA$51-1,'Sell-Compute'!$C$21)-'Sell-Compute'!$B$42-'Sell-Compute'!$B$43)*(AA102/4)-'Sell-Compute'!$B$41-'Sell-Compute'!$B$44-'Sell-Compute'!$B$45-IF(AND(MOD(AA$51,'Sell-Compute'!$C$21)=0,AA$51&lt;Rates!$D$71),'Sell-Compute'!$B$34*(AA102/4),0),0)</f>
        <v/>
      </c>
      <c r="AB106" s="68">
        <f>IF(AB$51&lt;=Rates!$D$71,('Sell-Compute'!$B$40*(1+'Sell-Compute'!$B$50)^MOD(AB$51-1,'Sell-Compute'!$C$21)-'Sell-Compute'!$B$42-'Sell-Compute'!$B$43)*(AB102/4)-'Sell-Compute'!$B$41-'Sell-Compute'!$B$44-'Sell-Compute'!$B$45-IF(AND(MOD(AB$51,'Sell-Compute'!$C$21)=0,AB$51&lt;Rates!$D$71),'Sell-Compute'!$B$34*(AB102/4),0),0)</f>
        <v/>
      </c>
    </row>
    <row r="107">
      <c r="A107" s="68" t="inlineStr">
        <is>
          <t>Do nothing (dark modules stop buying GPUs) | colo</t>
        </is>
      </c>
      <c r="C107" s="68">
        <f>-'Sell-Compute'!$I$36</f>
        <v/>
      </c>
      <c r="D107" s="68">
        <f>IF(D$51&lt;=Rates!$D$71,'Sell-Compute'!$I$46-'Sell-Compute'!$I$40*(1-(D102/4)),0)</f>
        <v/>
      </c>
      <c r="E107" s="68">
        <f>IF(E$51&lt;=Rates!$D$71,'Sell-Compute'!$I$46-'Sell-Compute'!$I$40*(1-(E102/4)),0)</f>
        <v/>
      </c>
      <c r="F107" s="68">
        <f>IF(F$51&lt;=Rates!$D$71,'Sell-Compute'!$I$46-'Sell-Compute'!$I$40*(1-(F102/4)),0)</f>
        <v/>
      </c>
      <c r="G107" s="68">
        <f>IF(G$51&lt;=Rates!$D$71,'Sell-Compute'!$I$46-'Sell-Compute'!$I$40*(1-(G102/4)),0)</f>
        <v/>
      </c>
      <c r="H107" s="68">
        <f>IF(H$51&lt;=Rates!$D$71,'Sell-Compute'!$I$46-'Sell-Compute'!$I$40*(1-(H102/4)),0)</f>
        <v/>
      </c>
      <c r="I107" s="68">
        <f>IF(I$51&lt;=Rates!$D$71,'Sell-Compute'!$I$46-'Sell-Compute'!$I$40*(1-(I102/4)),0)</f>
        <v/>
      </c>
      <c r="J107" s="68">
        <f>IF(J$51&lt;=Rates!$D$71,'Sell-Compute'!$I$46-'Sell-Compute'!$I$40*(1-(J102/4)),0)</f>
        <v/>
      </c>
      <c r="K107" s="68">
        <f>IF(K$51&lt;=Rates!$D$71,'Sell-Compute'!$I$46-'Sell-Compute'!$I$40*(1-(K102/4)),0)</f>
        <v/>
      </c>
      <c r="L107" s="68">
        <f>IF(L$51&lt;=Rates!$D$71,'Sell-Compute'!$I$46-'Sell-Compute'!$I$40*(1-(L102/4)),0)</f>
        <v/>
      </c>
      <c r="M107" s="68">
        <f>IF(M$51&lt;=Rates!$D$71,'Sell-Compute'!$I$46-'Sell-Compute'!$I$40*(1-(M102/4)),0)</f>
        <v/>
      </c>
      <c r="N107" s="68">
        <f>IF(N$51&lt;=Rates!$D$71,'Sell-Compute'!$I$46-'Sell-Compute'!$I$40*(1-(N102/4)),0)</f>
        <v/>
      </c>
      <c r="O107" s="68">
        <f>IF(O$51&lt;=Rates!$D$71,'Sell-Compute'!$I$46-'Sell-Compute'!$I$40*(1-(O102/4)),0)</f>
        <v/>
      </c>
      <c r="P107" s="68">
        <f>IF(P$51&lt;=Rates!$D$71,'Sell-Compute'!$I$46-'Sell-Compute'!$I$40*(1-(P102/4)),0)</f>
        <v/>
      </c>
      <c r="Q107" s="68">
        <f>IF(Q$51&lt;=Rates!$D$71,'Sell-Compute'!$I$46-'Sell-Compute'!$I$40*(1-(Q102/4)),0)</f>
        <v/>
      </c>
      <c r="R107" s="68">
        <f>IF(R$51&lt;=Rates!$D$71,'Sell-Compute'!$I$46-'Sell-Compute'!$I$40*(1-(R102/4)),0)</f>
        <v/>
      </c>
      <c r="S107" s="68">
        <f>IF(S$51&lt;=Rates!$D$71,'Sell-Compute'!$I$46-'Sell-Compute'!$I$40*(1-(S102/4)),0)</f>
        <v/>
      </c>
      <c r="T107" s="68">
        <f>IF(T$51&lt;=Rates!$D$71,'Sell-Compute'!$I$46-'Sell-Compute'!$I$40*(1-(T102/4)),0)</f>
        <v/>
      </c>
      <c r="U107" s="68">
        <f>IF(U$51&lt;=Rates!$D$71,'Sell-Compute'!$I$46-'Sell-Compute'!$I$40*(1-(U102/4)),0)</f>
        <v/>
      </c>
      <c r="V107" s="68">
        <f>IF(V$51&lt;=Rates!$D$71,'Sell-Compute'!$I$46-'Sell-Compute'!$I$40*(1-(V102/4)),0)</f>
        <v/>
      </c>
      <c r="W107" s="68">
        <f>IF(W$51&lt;=Rates!$D$71,'Sell-Compute'!$I$46-'Sell-Compute'!$I$40*(1-(W102/4)),0)</f>
        <v/>
      </c>
      <c r="X107" s="68">
        <f>IF(X$51&lt;=Rates!$D$71,'Sell-Compute'!$I$46-'Sell-Compute'!$I$40*(1-(X102/4)),0)</f>
        <v/>
      </c>
      <c r="Y107" s="68">
        <f>IF(Y$51&lt;=Rates!$D$71,'Sell-Compute'!$I$46-'Sell-Compute'!$I$40*(1-(Y102/4)),0)</f>
        <v/>
      </c>
      <c r="Z107" s="68">
        <f>IF(Z$51&lt;=Rates!$D$71,'Sell-Compute'!$I$46-'Sell-Compute'!$I$40*(1-(Z102/4)),0)</f>
        <v/>
      </c>
      <c r="AA107" s="68">
        <f>IF(AA$51&lt;=Rates!$D$71,'Sell-Compute'!$I$46-'Sell-Compute'!$I$40*(1-(AA102/4)),0)</f>
        <v/>
      </c>
      <c r="AB107" s="68">
        <f>IF(AB$51&lt;=Rates!$D$71,'Sell-Compute'!$I$46-'Sell-Compute'!$I$40*(1-(AB102/4)),0)</f>
        <v/>
      </c>
    </row>
    <row r="108">
      <c r="A108" s="68" t="inlineStr">
        <is>
          <t>(a) Extra doublets at start | flat</t>
        </is>
      </c>
      <c r="C108" s="68">
        <f>-'Sell-Compute'!$C$36-IF(ISNUMBER($E$96),$E$96*(2*($C$11+$C$12)*(1+$C$14)),0)</f>
        <v/>
      </c>
      <c r="D108" s="68">
        <f>IF(D$51&lt;=Rates!$D$71,('Sell-Compute'!$C$40*(1+'Sell-Compute'!$C$50)^MOD(D$51-1,'Sell-Compute'!$C$21)-'Sell-Compute'!$C$42-'Sell-Compute'!$C$43)*(D103/4)-'Sell-Compute'!$C$41-'Sell-Compute'!$C$44-'Sell-Compute'!$C$45-IF(AND(MOD(D$51,'Sell-Compute'!$C$21)=0,D$51&lt;Rates!$D$71),'Sell-Compute'!$C$34*(D103/4),0),0)</f>
        <v/>
      </c>
      <c r="E108" s="68">
        <f>IF(E$51&lt;=Rates!$D$71,('Sell-Compute'!$C$40*(1+'Sell-Compute'!$C$50)^MOD(E$51-1,'Sell-Compute'!$C$21)-'Sell-Compute'!$C$42-'Sell-Compute'!$C$43)*(E103/4)-'Sell-Compute'!$C$41-'Sell-Compute'!$C$44-'Sell-Compute'!$C$45-IF(AND(MOD(E$51,'Sell-Compute'!$C$21)=0,E$51&lt;Rates!$D$71),'Sell-Compute'!$C$34*(E103/4),0),0)</f>
        <v/>
      </c>
      <c r="F108" s="68">
        <f>IF(F$51&lt;=Rates!$D$71,('Sell-Compute'!$C$40*(1+'Sell-Compute'!$C$50)^MOD(F$51-1,'Sell-Compute'!$C$21)-'Sell-Compute'!$C$42-'Sell-Compute'!$C$43)*(F103/4)-'Sell-Compute'!$C$41-'Sell-Compute'!$C$44-'Sell-Compute'!$C$45-IF(AND(MOD(F$51,'Sell-Compute'!$C$21)=0,F$51&lt;Rates!$D$71),'Sell-Compute'!$C$34*(F103/4),0),0)</f>
        <v/>
      </c>
      <c r="G108" s="68">
        <f>IF(G$51&lt;=Rates!$D$71,('Sell-Compute'!$C$40*(1+'Sell-Compute'!$C$50)^MOD(G$51-1,'Sell-Compute'!$C$21)-'Sell-Compute'!$C$42-'Sell-Compute'!$C$43)*(G103/4)-'Sell-Compute'!$C$41-'Sell-Compute'!$C$44-'Sell-Compute'!$C$45-IF(AND(MOD(G$51,'Sell-Compute'!$C$21)=0,G$51&lt;Rates!$D$71),'Sell-Compute'!$C$34*(G103/4),0),0)</f>
        <v/>
      </c>
      <c r="H108" s="68">
        <f>IF(H$51&lt;=Rates!$D$71,('Sell-Compute'!$C$40*(1+'Sell-Compute'!$C$50)^MOD(H$51-1,'Sell-Compute'!$C$21)-'Sell-Compute'!$C$42-'Sell-Compute'!$C$43)*(H103/4)-'Sell-Compute'!$C$41-'Sell-Compute'!$C$44-'Sell-Compute'!$C$45-IF(AND(MOD(H$51,'Sell-Compute'!$C$21)=0,H$51&lt;Rates!$D$71),'Sell-Compute'!$C$34*(H103/4),0),0)</f>
        <v/>
      </c>
      <c r="I108" s="68">
        <f>IF(I$51&lt;=Rates!$D$71,('Sell-Compute'!$C$40*(1+'Sell-Compute'!$C$50)^MOD(I$51-1,'Sell-Compute'!$C$21)-'Sell-Compute'!$C$42-'Sell-Compute'!$C$43)*(I103/4)-'Sell-Compute'!$C$41-'Sell-Compute'!$C$44-'Sell-Compute'!$C$45-IF(AND(MOD(I$51,'Sell-Compute'!$C$21)=0,I$51&lt;Rates!$D$71),'Sell-Compute'!$C$34*(I103/4),0),0)</f>
        <v/>
      </c>
      <c r="J108" s="68">
        <f>IF(J$51&lt;=Rates!$D$71,('Sell-Compute'!$C$40*(1+'Sell-Compute'!$C$50)^MOD(J$51-1,'Sell-Compute'!$C$21)-'Sell-Compute'!$C$42-'Sell-Compute'!$C$43)*(J103/4)-'Sell-Compute'!$C$41-'Sell-Compute'!$C$44-'Sell-Compute'!$C$45-IF(AND(MOD(J$51,'Sell-Compute'!$C$21)=0,J$51&lt;Rates!$D$71),'Sell-Compute'!$C$34*(J103/4),0),0)</f>
        <v/>
      </c>
      <c r="K108" s="68">
        <f>IF(K$51&lt;=Rates!$D$71,('Sell-Compute'!$C$40*(1+'Sell-Compute'!$C$50)^MOD(K$51-1,'Sell-Compute'!$C$21)-'Sell-Compute'!$C$42-'Sell-Compute'!$C$43)*(K103/4)-'Sell-Compute'!$C$41-'Sell-Compute'!$C$44-'Sell-Compute'!$C$45-IF(AND(MOD(K$51,'Sell-Compute'!$C$21)=0,K$51&lt;Rates!$D$71),'Sell-Compute'!$C$34*(K103/4),0),0)</f>
        <v/>
      </c>
      <c r="L108" s="68">
        <f>IF(L$51&lt;=Rates!$D$71,('Sell-Compute'!$C$40*(1+'Sell-Compute'!$C$50)^MOD(L$51-1,'Sell-Compute'!$C$21)-'Sell-Compute'!$C$42-'Sell-Compute'!$C$43)*(L103/4)-'Sell-Compute'!$C$41-'Sell-Compute'!$C$44-'Sell-Compute'!$C$45-IF(AND(MOD(L$51,'Sell-Compute'!$C$21)=0,L$51&lt;Rates!$D$71),'Sell-Compute'!$C$34*(L103/4),0),0)</f>
        <v/>
      </c>
      <c r="M108" s="68">
        <f>IF(M$51&lt;=Rates!$D$71,('Sell-Compute'!$C$40*(1+'Sell-Compute'!$C$50)^MOD(M$51-1,'Sell-Compute'!$C$21)-'Sell-Compute'!$C$42-'Sell-Compute'!$C$43)*(M103/4)-'Sell-Compute'!$C$41-'Sell-Compute'!$C$44-'Sell-Compute'!$C$45-IF(AND(MOD(M$51,'Sell-Compute'!$C$21)=0,M$51&lt;Rates!$D$71),'Sell-Compute'!$C$34*(M103/4),0),0)</f>
        <v/>
      </c>
      <c r="N108" s="68">
        <f>IF(N$51&lt;=Rates!$D$71,('Sell-Compute'!$C$40*(1+'Sell-Compute'!$C$50)^MOD(N$51-1,'Sell-Compute'!$C$21)-'Sell-Compute'!$C$42-'Sell-Compute'!$C$43)*(N103/4)-'Sell-Compute'!$C$41-'Sell-Compute'!$C$44-'Sell-Compute'!$C$45-IF(AND(MOD(N$51,'Sell-Compute'!$C$21)=0,N$51&lt;Rates!$D$71),'Sell-Compute'!$C$34*(N103/4),0),0)</f>
        <v/>
      </c>
      <c r="O108" s="68">
        <f>IF(O$51&lt;=Rates!$D$71,('Sell-Compute'!$C$40*(1+'Sell-Compute'!$C$50)^MOD(O$51-1,'Sell-Compute'!$C$21)-'Sell-Compute'!$C$42-'Sell-Compute'!$C$43)*(O103/4)-'Sell-Compute'!$C$41-'Sell-Compute'!$C$44-'Sell-Compute'!$C$45-IF(AND(MOD(O$51,'Sell-Compute'!$C$21)=0,O$51&lt;Rates!$D$71),'Sell-Compute'!$C$34*(O103/4),0),0)</f>
        <v/>
      </c>
      <c r="P108" s="68">
        <f>IF(P$51&lt;=Rates!$D$71,('Sell-Compute'!$C$40*(1+'Sell-Compute'!$C$50)^MOD(P$51-1,'Sell-Compute'!$C$21)-'Sell-Compute'!$C$42-'Sell-Compute'!$C$43)*(P103/4)-'Sell-Compute'!$C$41-'Sell-Compute'!$C$44-'Sell-Compute'!$C$45-IF(AND(MOD(P$51,'Sell-Compute'!$C$21)=0,P$51&lt;Rates!$D$71),'Sell-Compute'!$C$34*(P103/4),0),0)</f>
        <v/>
      </c>
      <c r="Q108" s="68">
        <f>IF(Q$51&lt;=Rates!$D$71,('Sell-Compute'!$C$40*(1+'Sell-Compute'!$C$50)^MOD(Q$51-1,'Sell-Compute'!$C$21)-'Sell-Compute'!$C$42-'Sell-Compute'!$C$43)*(Q103/4)-'Sell-Compute'!$C$41-'Sell-Compute'!$C$44-'Sell-Compute'!$C$45-IF(AND(MOD(Q$51,'Sell-Compute'!$C$21)=0,Q$51&lt;Rates!$D$71),'Sell-Compute'!$C$34*(Q103/4),0),0)</f>
        <v/>
      </c>
      <c r="R108" s="68">
        <f>IF(R$51&lt;=Rates!$D$71,('Sell-Compute'!$C$40*(1+'Sell-Compute'!$C$50)^MOD(R$51-1,'Sell-Compute'!$C$21)-'Sell-Compute'!$C$42-'Sell-Compute'!$C$43)*(R103/4)-'Sell-Compute'!$C$41-'Sell-Compute'!$C$44-'Sell-Compute'!$C$45-IF(AND(MOD(R$51,'Sell-Compute'!$C$21)=0,R$51&lt;Rates!$D$71),'Sell-Compute'!$C$34*(R103/4),0),0)</f>
        <v/>
      </c>
      <c r="S108" s="68">
        <f>IF(S$51&lt;=Rates!$D$71,('Sell-Compute'!$C$40*(1+'Sell-Compute'!$C$50)^MOD(S$51-1,'Sell-Compute'!$C$21)-'Sell-Compute'!$C$42-'Sell-Compute'!$C$43)*(S103/4)-'Sell-Compute'!$C$41-'Sell-Compute'!$C$44-'Sell-Compute'!$C$45-IF(AND(MOD(S$51,'Sell-Compute'!$C$21)=0,S$51&lt;Rates!$D$71),'Sell-Compute'!$C$34*(S103/4),0),0)</f>
        <v/>
      </c>
      <c r="T108" s="68">
        <f>IF(T$51&lt;=Rates!$D$71,('Sell-Compute'!$C$40*(1+'Sell-Compute'!$C$50)^MOD(T$51-1,'Sell-Compute'!$C$21)-'Sell-Compute'!$C$42-'Sell-Compute'!$C$43)*(T103/4)-'Sell-Compute'!$C$41-'Sell-Compute'!$C$44-'Sell-Compute'!$C$45-IF(AND(MOD(T$51,'Sell-Compute'!$C$21)=0,T$51&lt;Rates!$D$71),'Sell-Compute'!$C$34*(T103/4),0),0)</f>
        <v/>
      </c>
      <c r="U108" s="68">
        <f>IF(U$51&lt;=Rates!$D$71,('Sell-Compute'!$C$40*(1+'Sell-Compute'!$C$50)^MOD(U$51-1,'Sell-Compute'!$C$21)-'Sell-Compute'!$C$42-'Sell-Compute'!$C$43)*(U103/4)-'Sell-Compute'!$C$41-'Sell-Compute'!$C$44-'Sell-Compute'!$C$45-IF(AND(MOD(U$51,'Sell-Compute'!$C$21)=0,U$51&lt;Rates!$D$71),'Sell-Compute'!$C$34*(U103/4),0),0)</f>
        <v/>
      </c>
      <c r="V108" s="68">
        <f>IF(V$51&lt;=Rates!$D$71,('Sell-Compute'!$C$40*(1+'Sell-Compute'!$C$50)^MOD(V$51-1,'Sell-Compute'!$C$21)-'Sell-Compute'!$C$42-'Sell-Compute'!$C$43)*(V103/4)-'Sell-Compute'!$C$41-'Sell-Compute'!$C$44-'Sell-Compute'!$C$45-IF(AND(MOD(V$51,'Sell-Compute'!$C$21)=0,V$51&lt;Rates!$D$71),'Sell-Compute'!$C$34*(V103/4),0),0)</f>
        <v/>
      </c>
      <c r="W108" s="68">
        <f>IF(W$51&lt;=Rates!$D$71,('Sell-Compute'!$C$40*(1+'Sell-Compute'!$C$50)^MOD(W$51-1,'Sell-Compute'!$C$21)-'Sell-Compute'!$C$42-'Sell-Compute'!$C$43)*(W103/4)-'Sell-Compute'!$C$41-'Sell-Compute'!$C$44-'Sell-Compute'!$C$45-IF(AND(MOD(W$51,'Sell-Compute'!$C$21)=0,W$51&lt;Rates!$D$71),'Sell-Compute'!$C$34*(W103/4),0),0)</f>
        <v/>
      </c>
      <c r="X108" s="68">
        <f>IF(X$51&lt;=Rates!$D$71,('Sell-Compute'!$C$40*(1+'Sell-Compute'!$C$50)^MOD(X$51-1,'Sell-Compute'!$C$21)-'Sell-Compute'!$C$42-'Sell-Compute'!$C$43)*(X103/4)-'Sell-Compute'!$C$41-'Sell-Compute'!$C$44-'Sell-Compute'!$C$45-IF(AND(MOD(X$51,'Sell-Compute'!$C$21)=0,X$51&lt;Rates!$D$71),'Sell-Compute'!$C$34*(X103/4),0),0)</f>
        <v/>
      </c>
      <c r="Y108" s="68">
        <f>IF(Y$51&lt;=Rates!$D$71,('Sell-Compute'!$C$40*(1+'Sell-Compute'!$C$50)^MOD(Y$51-1,'Sell-Compute'!$C$21)-'Sell-Compute'!$C$42-'Sell-Compute'!$C$43)*(Y103/4)-'Sell-Compute'!$C$41-'Sell-Compute'!$C$44-'Sell-Compute'!$C$45-IF(AND(MOD(Y$51,'Sell-Compute'!$C$21)=0,Y$51&lt;Rates!$D$71),'Sell-Compute'!$C$34*(Y103/4),0),0)</f>
        <v/>
      </c>
      <c r="Z108" s="68">
        <f>IF(Z$51&lt;=Rates!$D$71,('Sell-Compute'!$C$40*(1+'Sell-Compute'!$C$50)^MOD(Z$51-1,'Sell-Compute'!$C$21)-'Sell-Compute'!$C$42-'Sell-Compute'!$C$43)*(Z103/4)-'Sell-Compute'!$C$41-'Sell-Compute'!$C$44-'Sell-Compute'!$C$45-IF(AND(MOD(Z$51,'Sell-Compute'!$C$21)=0,Z$51&lt;Rates!$D$71),'Sell-Compute'!$C$34*(Z103/4),0),0)</f>
        <v/>
      </c>
      <c r="AA108" s="68">
        <f>IF(AA$51&lt;=Rates!$D$71,('Sell-Compute'!$C$40*(1+'Sell-Compute'!$C$50)^MOD(AA$51-1,'Sell-Compute'!$C$21)-'Sell-Compute'!$C$42-'Sell-Compute'!$C$43)*(AA103/4)-'Sell-Compute'!$C$41-'Sell-Compute'!$C$44-'Sell-Compute'!$C$45-IF(AND(MOD(AA$51,'Sell-Compute'!$C$21)=0,AA$51&lt;Rates!$D$71),'Sell-Compute'!$C$34*(AA103/4),0),0)</f>
        <v/>
      </c>
      <c r="AB108" s="68">
        <f>IF(AB$51&lt;=Rates!$D$71,('Sell-Compute'!$C$40*(1+'Sell-Compute'!$C$50)^MOD(AB$51-1,'Sell-Compute'!$C$21)-'Sell-Compute'!$C$42-'Sell-Compute'!$C$43)*(AB103/4)-'Sell-Compute'!$C$41-'Sell-Compute'!$C$44-'Sell-Compute'!$C$45-IF(AND(MOD(AB$51,'Sell-Compute'!$C$21)=0,AB$51&lt;Rates!$D$71),'Sell-Compute'!$C$34*(AB103/4),0),0)</f>
        <v/>
      </c>
    </row>
    <row r="109">
      <c r="A109" s="68" t="inlineStr">
        <is>
          <t>(a) Extra doublets at start | dec</t>
        </is>
      </c>
      <c r="C109" s="68">
        <f>-'Sell-Compute'!$B$36-IF(ISNUMBER($E$96),$E$96*(2*($C$11+$C$12)*(1+$C$14)),0)</f>
        <v/>
      </c>
      <c r="D109" s="68">
        <f>IF(D$51&lt;=Rates!$D$71,('Sell-Compute'!$B$40*(1+'Sell-Compute'!$B$50)^MOD(D$51-1,'Sell-Compute'!$C$21)-'Sell-Compute'!$B$42-'Sell-Compute'!$B$43)*(D103/4)-'Sell-Compute'!$B$41-'Sell-Compute'!$B$44-'Sell-Compute'!$B$45-IF(AND(MOD(D$51,'Sell-Compute'!$C$21)=0,D$51&lt;Rates!$D$71),'Sell-Compute'!$B$34*(D103/4),0),0)</f>
        <v/>
      </c>
      <c r="E109" s="68">
        <f>IF(E$51&lt;=Rates!$D$71,('Sell-Compute'!$B$40*(1+'Sell-Compute'!$B$50)^MOD(E$51-1,'Sell-Compute'!$C$21)-'Sell-Compute'!$B$42-'Sell-Compute'!$B$43)*(E103/4)-'Sell-Compute'!$B$41-'Sell-Compute'!$B$44-'Sell-Compute'!$B$45-IF(AND(MOD(E$51,'Sell-Compute'!$C$21)=0,E$51&lt;Rates!$D$71),'Sell-Compute'!$B$34*(E103/4),0),0)</f>
        <v/>
      </c>
      <c r="F109" s="68">
        <f>IF(F$51&lt;=Rates!$D$71,('Sell-Compute'!$B$40*(1+'Sell-Compute'!$B$50)^MOD(F$51-1,'Sell-Compute'!$C$21)-'Sell-Compute'!$B$42-'Sell-Compute'!$B$43)*(F103/4)-'Sell-Compute'!$B$41-'Sell-Compute'!$B$44-'Sell-Compute'!$B$45-IF(AND(MOD(F$51,'Sell-Compute'!$C$21)=0,F$51&lt;Rates!$D$71),'Sell-Compute'!$B$34*(F103/4),0),0)</f>
        <v/>
      </c>
      <c r="G109" s="68">
        <f>IF(G$51&lt;=Rates!$D$71,('Sell-Compute'!$B$40*(1+'Sell-Compute'!$B$50)^MOD(G$51-1,'Sell-Compute'!$C$21)-'Sell-Compute'!$B$42-'Sell-Compute'!$B$43)*(G103/4)-'Sell-Compute'!$B$41-'Sell-Compute'!$B$44-'Sell-Compute'!$B$45-IF(AND(MOD(G$51,'Sell-Compute'!$C$21)=0,G$51&lt;Rates!$D$71),'Sell-Compute'!$B$34*(G103/4),0),0)</f>
        <v/>
      </c>
      <c r="H109" s="68">
        <f>IF(H$51&lt;=Rates!$D$71,('Sell-Compute'!$B$40*(1+'Sell-Compute'!$B$50)^MOD(H$51-1,'Sell-Compute'!$C$21)-'Sell-Compute'!$B$42-'Sell-Compute'!$B$43)*(H103/4)-'Sell-Compute'!$B$41-'Sell-Compute'!$B$44-'Sell-Compute'!$B$45-IF(AND(MOD(H$51,'Sell-Compute'!$C$21)=0,H$51&lt;Rates!$D$71),'Sell-Compute'!$B$34*(H103/4),0),0)</f>
        <v/>
      </c>
      <c r="I109" s="68">
        <f>IF(I$51&lt;=Rates!$D$71,('Sell-Compute'!$B$40*(1+'Sell-Compute'!$B$50)^MOD(I$51-1,'Sell-Compute'!$C$21)-'Sell-Compute'!$B$42-'Sell-Compute'!$B$43)*(I103/4)-'Sell-Compute'!$B$41-'Sell-Compute'!$B$44-'Sell-Compute'!$B$45-IF(AND(MOD(I$51,'Sell-Compute'!$C$21)=0,I$51&lt;Rates!$D$71),'Sell-Compute'!$B$34*(I103/4),0),0)</f>
        <v/>
      </c>
      <c r="J109" s="68">
        <f>IF(J$51&lt;=Rates!$D$71,('Sell-Compute'!$B$40*(1+'Sell-Compute'!$B$50)^MOD(J$51-1,'Sell-Compute'!$C$21)-'Sell-Compute'!$B$42-'Sell-Compute'!$B$43)*(J103/4)-'Sell-Compute'!$B$41-'Sell-Compute'!$B$44-'Sell-Compute'!$B$45-IF(AND(MOD(J$51,'Sell-Compute'!$C$21)=0,J$51&lt;Rates!$D$71),'Sell-Compute'!$B$34*(J103/4),0),0)</f>
        <v/>
      </c>
      <c r="K109" s="68">
        <f>IF(K$51&lt;=Rates!$D$71,('Sell-Compute'!$B$40*(1+'Sell-Compute'!$B$50)^MOD(K$51-1,'Sell-Compute'!$C$21)-'Sell-Compute'!$B$42-'Sell-Compute'!$B$43)*(K103/4)-'Sell-Compute'!$B$41-'Sell-Compute'!$B$44-'Sell-Compute'!$B$45-IF(AND(MOD(K$51,'Sell-Compute'!$C$21)=0,K$51&lt;Rates!$D$71),'Sell-Compute'!$B$34*(K103/4),0),0)</f>
        <v/>
      </c>
      <c r="L109" s="68">
        <f>IF(L$51&lt;=Rates!$D$71,('Sell-Compute'!$B$40*(1+'Sell-Compute'!$B$50)^MOD(L$51-1,'Sell-Compute'!$C$21)-'Sell-Compute'!$B$42-'Sell-Compute'!$B$43)*(L103/4)-'Sell-Compute'!$B$41-'Sell-Compute'!$B$44-'Sell-Compute'!$B$45-IF(AND(MOD(L$51,'Sell-Compute'!$C$21)=0,L$51&lt;Rates!$D$71),'Sell-Compute'!$B$34*(L103/4),0),0)</f>
        <v/>
      </c>
      <c r="M109" s="68">
        <f>IF(M$51&lt;=Rates!$D$71,('Sell-Compute'!$B$40*(1+'Sell-Compute'!$B$50)^MOD(M$51-1,'Sell-Compute'!$C$21)-'Sell-Compute'!$B$42-'Sell-Compute'!$B$43)*(M103/4)-'Sell-Compute'!$B$41-'Sell-Compute'!$B$44-'Sell-Compute'!$B$45-IF(AND(MOD(M$51,'Sell-Compute'!$C$21)=0,M$51&lt;Rates!$D$71),'Sell-Compute'!$B$34*(M103/4),0),0)</f>
        <v/>
      </c>
      <c r="N109" s="68">
        <f>IF(N$51&lt;=Rates!$D$71,('Sell-Compute'!$B$40*(1+'Sell-Compute'!$B$50)^MOD(N$51-1,'Sell-Compute'!$C$21)-'Sell-Compute'!$B$42-'Sell-Compute'!$B$43)*(N103/4)-'Sell-Compute'!$B$41-'Sell-Compute'!$B$44-'Sell-Compute'!$B$45-IF(AND(MOD(N$51,'Sell-Compute'!$C$21)=0,N$51&lt;Rates!$D$71),'Sell-Compute'!$B$34*(N103/4),0),0)</f>
        <v/>
      </c>
      <c r="O109" s="68">
        <f>IF(O$51&lt;=Rates!$D$71,('Sell-Compute'!$B$40*(1+'Sell-Compute'!$B$50)^MOD(O$51-1,'Sell-Compute'!$C$21)-'Sell-Compute'!$B$42-'Sell-Compute'!$B$43)*(O103/4)-'Sell-Compute'!$B$41-'Sell-Compute'!$B$44-'Sell-Compute'!$B$45-IF(AND(MOD(O$51,'Sell-Compute'!$C$21)=0,O$51&lt;Rates!$D$71),'Sell-Compute'!$B$34*(O103/4),0),0)</f>
        <v/>
      </c>
      <c r="P109" s="68">
        <f>IF(P$51&lt;=Rates!$D$71,('Sell-Compute'!$B$40*(1+'Sell-Compute'!$B$50)^MOD(P$51-1,'Sell-Compute'!$C$21)-'Sell-Compute'!$B$42-'Sell-Compute'!$B$43)*(P103/4)-'Sell-Compute'!$B$41-'Sell-Compute'!$B$44-'Sell-Compute'!$B$45-IF(AND(MOD(P$51,'Sell-Compute'!$C$21)=0,P$51&lt;Rates!$D$71),'Sell-Compute'!$B$34*(P103/4),0),0)</f>
        <v/>
      </c>
      <c r="Q109" s="68">
        <f>IF(Q$51&lt;=Rates!$D$71,('Sell-Compute'!$B$40*(1+'Sell-Compute'!$B$50)^MOD(Q$51-1,'Sell-Compute'!$C$21)-'Sell-Compute'!$B$42-'Sell-Compute'!$B$43)*(Q103/4)-'Sell-Compute'!$B$41-'Sell-Compute'!$B$44-'Sell-Compute'!$B$45-IF(AND(MOD(Q$51,'Sell-Compute'!$C$21)=0,Q$51&lt;Rates!$D$71),'Sell-Compute'!$B$34*(Q103/4),0),0)</f>
        <v/>
      </c>
      <c r="R109" s="68">
        <f>IF(R$51&lt;=Rates!$D$71,('Sell-Compute'!$B$40*(1+'Sell-Compute'!$B$50)^MOD(R$51-1,'Sell-Compute'!$C$21)-'Sell-Compute'!$B$42-'Sell-Compute'!$B$43)*(R103/4)-'Sell-Compute'!$B$41-'Sell-Compute'!$B$44-'Sell-Compute'!$B$45-IF(AND(MOD(R$51,'Sell-Compute'!$C$21)=0,R$51&lt;Rates!$D$71),'Sell-Compute'!$B$34*(R103/4),0),0)</f>
        <v/>
      </c>
      <c r="S109" s="68">
        <f>IF(S$51&lt;=Rates!$D$71,('Sell-Compute'!$B$40*(1+'Sell-Compute'!$B$50)^MOD(S$51-1,'Sell-Compute'!$C$21)-'Sell-Compute'!$B$42-'Sell-Compute'!$B$43)*(S103/4)-'Sell-Compute'!$B$41-'Sell-Compute'!$B$44-'Sell-Compute'!$B$45-IF(AND(MOD(S$51,'Sell-Compute'!$C$21)=0,S$51&lt;Rates!$D$71),'Sell-Compute'!$B$34*(S103/4),0),0)</f>
        <v/>
      </c>
      <c r="T109" s="68">
        <f>IF(T$51&lt;=Rates!$D$71,('Sell-Compute'!$B$40*(1+'Sell-Compute'!$B$50)^MOD(T$51-1,'Sell-Compute'!$C$21)-'Sell-Compute'!$B$42-'Sell-Compute'!$B$43)*(T103/4)-'Sell-Compute'!$B$41-'Sell-Compute'!$B$44-'Sell-Compute'!$B$45-IF(AND(MOD(T$51,'Sell-Compute'!$C$21)=0,T$51&lt;Rates!$D$71),'Sell-Compute'!$B$34*(T103/4),0),0)</f>
        <v/>
      </c>
      <c r="U109" s="68">
        <f>IF(U$51&lt;=Rates!$D$71,('Sell-Compute'!$B$40*(1+'Sell-Compute'!$B$50)^MOD(U$51-1,'Sell-Compute'!$C$21)-'Sell-Compute'!$B$42-'Sell-Compute'!$B$43)*(U103/4)-'Sell-Compute'!$B$41-'Sell-Compute'!$B$44-'Sell-Compute'!$B$45-IF(AND(MOD(U$51,'Sell-Compute'!$C$21)=0,U$51&lt;Rates!$D$71),'Sell-Compute'!$B$34*(U103/4),0),0)</f>
        <v/>
      </c>
      <c r="V109" s="68">
        <f>IF(V$51&lt;=Rates!$D$71,('Sell-Compute'!$B$40*(1+'Sell-Compute'!$B$50)^MOD(V$51-1,'Sell-Compute'!$C$21)-'Sell-Compute'!$B$42-'Sell-Compute'!$B$43)*(V103/4)-'Sell-Compute'!$B$41-'Sell-Compute'!$B$44-'Sell-Compute'!$B$45-IF(AND(MOD(V$51,'Sell-Compute'!$C$21)=0,V$51&lt;Rates!$D$71),'Sell-Compute'!$B$34*(V103/4),0),0)</f>
        <v/>
      </c>
      <c r="W109" s="68">
        <f>IF(W$51&lt;=Rates!$D$71,('Sell-Compute'!$B$40*(1+'Sell-Compute'!$B$50)^MOD(W$51-1,'Sell-Compute'!$C$21)-'Sell-Compute'!$B$42-'Sell-Compute'!$B$43)*(W103/4)-'Sell-Compute'!$B$41-'Sell-Compute'!$B$44-'Sell-Compute'!$B$45-IF(AND(MOD(W$51,'Sell-Compute'!$C$21)=0,W$51&lt;Rates!$D$71),'Sell-Compute'!$B$34*(W103/4),0),0)</f>
        <v/>
      </c>
      <c r="X109" s="68">
        <f>IF(X$51&lt;=Rates!$D$71,('Sell-Compute'!$B$40*(1+'Sell-Compute'!$B$50)^MOD(X$51-1,'Sell-Compute'!$C$21)-'Sell-Compute'!$B$42-'Sell-Compute'!$B$43)*(X103/4)-'Sell-Compute'!$B$41-'Sell-Compute'!$B$44-'Sell-Compute'!$B$45-IF(AND(MOD(X$51,'Sell-Compute'!$C$21)=0,X$51&lt;Rates!$D$71),'Sell-Compute'!$B$34*(X103/4),0),0)</f>
        <v/>
      </c>
      <c r="Y109" s="68">
        <f>IF(Y$51&lt;=Rates!$D$71,('Sell-Compute'!$B$40*(1+'Sell-Compute'!$B$50)^MOD(Y$51-1,'Sell-Compute'!$C$21)-'Sell-Compute'!$B$42-'Sell-Compute'!$B$43)*(Y103/4)-'Sell-Compute'!$B$41-'Sell-Compute'!$B$44-'Sell-Compute'!$B$45-IF(AND(MOD(Y$51,'Sell-Compute'!$C$21)=0,Y$51&lt;Rates!$D$71),'Sell-Compute'!$B$34*(Y103/4),0),0)</f>
        <v/>
      </c>
      <c r="Z109" s="68">
        <f>IF(Z$51&lt;=Rates!$D$71,('Sell-Compute'!$B$40*(1+'Sell-Compute'!$B$50)^MOD(Z$51-1,'Sell-Compute'!$C$21)-'Sell-Compute'!$B$42-'Sell-Compute'!$B$43)*(Z103/4)-'Sell-Compute'!$B$41-'Sell-Compute'!$B$44-'Sell-Compute'!$B$45-IF(AND(MOD(Z$51,'Sell-Compute'!$C$21)=0,Z$51&lt;Rates!$D$71),'Sell-Compute'!$B$34*(Z103/4),0),0)</f>
        <v/>
      </c>
      <c r="AA109" s="68">
        <f>IF(AA$51&lt;=Rates!$D$71,('Sell-Compute'!$B$40*(1+'Sell-Compute'!$B$50)^MOD(AA$51-1,'Sell-Compute'!$C$21)-'Sell-Compute'!$B$42-'Sell-Compute'!$B$43)*(AA103/4)-'Sell-Compute'!$B$41-'Sell-Compute'!$B$44-'Sell-Compute'!$B$45-IF(AND(MOD(AA$51,'Sell-Compute'!$C$21)=0,AA$51&lt;Rates!$D$71),'Sell-Compute'!$B$34*(AA103/4),0),0)</f>
        <v/>
      </c>
      <c r="AB109" s="68">
        <f>IF(AB$51&lt;=Rates!$D$71,('Sell-Compute'!$B$40*(1+'Sell-Compute'!$B$50)^MOD(AB$51-1,'Sell-Compute'!$C$21)-'Sell-Compute'!$B$42-'Sell-Compute'!$B$43)*(AB103/4)-'Sell-Compute'!$B$41-'Sell-Compute'!$B$44-'Sell-Compute'!$B$45-IF(AND(MOD(AB$51,'Sell-Compute'!$C$21)=0,AB$51&lt;Rates!$D$71),'Sell-Compute'!$B$34*(AB103/4),0),0)</f>
        <v/>
      </c>
    </row>
    <row r="110">
      <c r="A110" s="68" t="inlineStr">
        <is>
          <t>(a) Extra doublets at start | colo</t>
        </is>
      </c>
      <c r="C110" s="68">
        <f>-'Sell-Compute'!$I$36-IF(ISNUMBER($E$96),$E$96*(2*($C$11+$C$12)*(1+$C$14)),0)</f>
        <v/>
      </c>
      <c r="D110" s="68">
        <f>IF(D$51&lt;=Rates!$D$71,'Sell-Compute'!$I$46-'Sell-Compute'!$I$40*(1-(D103/4)),0)</f>
        <v/>
      </c>
      <c r="E110" s="68">
        <f>IF(E$51&lt;=Rates!$D$71,'Sell-Compute'!$I$46-'Sell-Compute'!$I$40*(1-(E103/4)),0)</f>
        <v/>
      </c>
      <c r="F110" s="68">
        <f>IF(F$51&lt;=Rates!$D$71,'Sell-Compute'!$I$46-'Sell-Compute'!$I$40*(1-(F103/4)),0)</f>
        <v/>
      </c>
      <c r="G110" s="68">
        <f>IF(G$51&lt;=Rates!$D$71,'Sell-Compute'!$I$46-'Sell-Compute'!$I$40*(1-(G103/4)),0)</f>
        <v/>
      </c>
      <c r="H110" s="68">
        <f>IF(H$51&lt;=Rates!$D$71,'Sell-Compute'!$I$46-'Sell-Compute'!$I$40*(1-(H103/4)),0)</f>
        <v/>
      </c>
      <c r="I110" s="68">
        <f>IF(I$51&lt;=Rates!$D$71,'Sell-Compute'!$I$46-'Sell-Compute'!$I$40*(1-(I103/4)),0)</f>
        <v/>
      </c>
      <c r="J110" s="68">
        <f>IF(J$51&lt;=Rates!$D$71,'Sell-Compute'!$I$46-'Sell-Compute'!$I$40*(1-(J103/4)),0)</f>
        <v/>
      </c>
      <c r="K110" s="68">
        <f>IF(K$51&lt;=Rates!$D$71,'Sell-Compute'!$I$46-'Sell-Compute'!$I$40*(1-(K103/4)),0)</f>
        <v/>
      </c>
      <c r="L110" s="68">
        <f>IF(L$51&lt;=Rates!$D$71,'Sell-Compute'!$I$46-'Sell-Compute'!$I$40*(1-(L103/4)),0)</f>
        <v/>
      </c>
      <c r="M110" s="68">
        <f>IF(M$51&lt;=Rates!$D$71,'Sell-Compute'!$I$46-'Sell-Compute'!$I$40*(1-(M103/4)),0)</f>
        <v/>
      </c>
      <c r="N110" s="68">
        <f>IF(N$51&lt;=Rates!$D$71,'Sell-Compute'!$I$46-'Sell-Compute'!$I$40*(1-(N103/4)),0)</f>
        <v/>
      </c>
      <c r="O110" s="68">
        <f>IF(O$51&lt;=Rates!$D$71,'Sell-Compute'!$I$46-'Sell-Compute'!$I$40*(1-(O103/4)),0)</f>
        <v/>
      </c>
      <c r="P110" s="68">
        <f>IF(P$51&lt;=Rates!$D$71,'Sell-Compute'!$I$46-'Sell-Compute'!$I$40*(1-(P103/4)),0)</f>
        <v/>
      </c>
      <c r="Q110" s="68">
        <f>IF(Q$51&lt;=Rates!$D$71,'Sell-Compute'!$I$46-'Sell-Compute'!$I$40*(1-(Q103/4)),0)</f>
        <v/>
      </c>
      <c r="R110" s="68">
        <f>IF(R$51&lt;=Rates!$D$71,'Sell-Compute'!$I$46-'Sell-Compute'!$I$40*(1-(R103/4)),0)</f>
        <v/>
      </c>
      <c r="S110" s="68">
        <f>IF(S$51&lt;=Rates!$D$71,'Sell-Compute'!$I$46-'Sell-Compute'!$I$40*(1-(S103/4)),0)</f>
        <v/>
      </c>
      <c r="T110" s="68">
        <f>IF(T$51&lt;=Rates!$D$71,'Sell-Compute'!$I$46-'Sell-Compute'!$I$40*(1-(T103/4)),0)</f>
        <v/>
      </c>
      <c r="U110" s="68">
        <f>IF(U$51&lt;=Rates!$D$71,'Sell-Compute'!$I$46-'Sell-Compute'!$I$40*(1-(U103/4)),0)</f>
        <v/>
      </c>
      <c r="V110" s="68">
        <f>IF(V$51&lt;=Rates!$D$71,'Sell-Compute'!$I$46-'Sell-Compute'!$I$40*(1-(V103/4)),0)</f>
        <v/>
      </c>
      <c r="W110" s="68">
        <f>IF(W$51&lt;=Rates!$D$71,'Sell-Compute'!$I$46-'Sell-Compute'!$I$40*(1-(W103/4)),0)</f>
        <v/>
      </c>
      <c r="X110" s="68">
        <f>IF(X$51&lt;=Rates!$D$71,'Sell-Compute'!$I$46-'Sell-Compute'!$I$40*(1-(X103/4)),0)</f>
        <v/>
      </c>
      <c r="Y110" s="68">
        <f>IF(Y$51&lt;=Rates!$D$71,'Sell-Compute'!$I$46-'Sell-Compute'!$I$40*(1-(Y103/4)),0)</f>
        <v/>
      </c>
      <c r="Z110" s="68">
        <f>IF(Z$51&lt;=Rates!$D$71,'Sell-Compute'!$I$46-'Sell-Compute'!$I$40*(1-(Z103/4)),0)</f>
        <v/>
      </c>
      <c r="AA110" s="68">
        <f>IF(AA$51&lt;=Rates!$D$71,'Sell-Compute'!$I$46-'Sell-Compute'!$I$40*(1-(AA103/4)),0)</f>
        <v/>
      </c>
      <c r="AB110" s="68">
        <f>IF(AB$51&lt;=Rates!$D$71,'Sell-Compute'!$I$46-'Sell-Compute'!$I$40*(1-(AB103/4)),0)</f>
        <v/>
      </c>
    </row>
    <row r="111">
      <c r="A111" s="68" t="inlineStr">
        <is>
          <t>(b) Make-up doublets on a monitored trigger | flat</t>
        </is>
      </c>
      <c r="C111" s="68">
        <f>-'Sell-Compute'!$C$36-C101</f>
        <v/>
      </c>
      <c r="D111" s="68">
        <f>IF(D$51&lt;=Rates!$D$71,('Sell-Compute'!$C$40*(1+'Sell-Compute'!$C$50)^MOD(D$51-1,'Sell-Compute'!$C$21)-'Sell-Compute'!$C$42-'Sell-Compute'!$C$43)*(D104/4)-'Sell-Compute'!$C$41-'Sell-Compute'!$C$44-'Sell-Compute'!$C$45-IF(AND(MOD(D$51,'Sell-Compute'!$C$21)=0,D$51&lt;Rates!$D$71),'Sell-Compute'!$C$34*(D104/4),0),0)-D101</f>
        <v/>
      </c>
      <c r="E111" s="68">
        <f>IF(E$51&lt;=Rates!$D$71,('Sell-Compute'!$C$40*(1+'Sell-Compute'!$C$50)^MOD(E$51-1,'Sell-Compute'!$C$21)-'Sell-Compute'!$C$42-'Sell-Compute'!$C$43)*(E104/4)-'Sell-Compute'!$C$41-'Sell-Compute'!$C$44-'Sell-Compute'!$C$45-IF(AND(MOD(E$51,'Sell-Compute'!$C$21)=0,E$51&lt;Rates!$D$71),'Sell-Compute'!$C$34*(E104/4),0),0)-E101</f>
        <v/>
      </c>
      <c r="F111" s="68">
        <f>IF(F$51&lt;=Rates!$D$71,('Sell-Compute'!$C$40*(1+'Sell-Compute'!$C$50)^MOD(F$51-1,'Sell-Compute'!$C$21)-'Sell-Compute'!$C$42-'Sell-Compute'!$C$43)*(F104/4)-'Sell-Compute'!$C$41-'Sell-Compute'!$C$44-'Sell-Compute'!$C$45-IF(AND(MOD(F$51,'Sell-Compute'!$C$21)=0,F$51&lt;Rates!$D$71),'Sell-Compute'!$C$34*(F104/4),0),0)-F101</f>
        <v/>
      </c>
      <c r="G111" s="68">
        <f>IF(G$51&lt;=Rates!$D$71,('Sell-Compute'!$C$40*(1+'Sell-Compute'!$C$50)^MOD(G$51-1,'Sell-Compute'!$C$21)-'Sell-Compute'!$C$42-'Sell-Compute'!$C$43)*(G104/4)-'Sell-Compute'!$C$41-'Sell-Compute'!$C$44-'Sell-Compute'!$C$45-IF(AND(MOD(G$51,'Sell-Compute'!$C$21)=0,G$51&lt;Rates!$D$71),'Sell-Compute'!$C$34*(G104/4),0),0)-G101</f>
        <v/>
      </c>
      <c r="H111" s="68">
        <f>IF(H$51&lt;=Rates!$D$71,('Sell-Compute'!$C$40*(1+'Sell-Compute'!$C$50)^MOD(H$51-1,'Sell-Compute'!$C$21)-'Sell-Compute'!$C$42-'Sell-Compute'!$C$43)*(H104/4)-'Sell-Compute'!$C$41-'Sell-Compute'!$C$44-'Sell-Compute'!$C$45-IF(AND(MOD(H$51,'Sell-Compute'!$C$21)=0,H$51&lt;Rates!$D$71),'Sell-Compute'!$C$34*(H104/4),0),0)-H101</f>
        <v/>
      </c>
      <c r="I111" s="68">
        <f>IF(I$51&lt;=Rates!$D$71,('Sell-Compute'!$C$40*(1+'Sell-Compute'!$C$50)^MOD(I$51-1,'Sell-Compute'!$C$21)-'Sell-Compute'!$C$42-'Sell-Compute'!$C$43)*(I104/4)-'Sell-Compute'!$C$41-'Sell-Compute'!$C$44-'Sell-Compute'!$C$45-IF(AND(MOD(I$51,'Sell-Compute'!$C$21)=0,I$51&lt;Rates!$D$71),'Sell-Compute'!$C$34*(I104/4),0),0)-I101</f>
        <v/>
      </c>
      <c r="J111" s="68">
        <f>IF(J$51&lt;=Rates!$D$71,('Sell-Compute'!$C$40*(1+'Sell-Compute'!$C$50)^MOD(J$51-1,'Sell-Compute'!$C$21)-'Sell-Compute'!$C$42-'Sell-Compute'!$C$43)*(J104/4)-'Sell-Compute'!$C$41-'Sell-Compute'!$C$44-'Sell-Compute'!$C$45-IF(AND(MOD(J$51,'Sell-Compute'!$C$21)=0,J$51&lt;Rates!$D$71),'Sell-Compute'!$C$34*(J104/4),0),0)-J101</f>
        <v/>
      </c>
      <c r="K111" s="68">
        <f>IF(K$51&lt;=Rates!$D$71,('Sell-Compute'!$C$40*(1+'Sell-Compute'!$C$50)^MOD(K$51-1,'Sell-Compute'!$C$21)-'Sell-Compute'!$C$42-'Sell-Compute'!$C$43)*(K104/4)-'Sell-Compute'!$C$41-'Sell-Compute'!$C$44-'Sell-Compute'!$C$45-IF(AND(MOD(K$51,'Sell-Compute'!$C$21)=0,K$51&lt;Rates!$D$71),'Sell-Compute'!$C$34*(K104/4),0),0)-K101</f>
        <v/>
      </c>
      <c r="L111" s="68">
        <f>IF(L$51&lt;=Rates!$D$71,('Sell-Compute'!$C$40*(1+'Sell-Compute'!$C$50)^MOD(L$51-1,'Sell-Compute'!$C$21)-'Sell-Compute'!$C$42-'Sell-Compute'!$C$43)*(L104/4)-'Sell-Compute'!$C$41-'Sell-Compute'!$C$44-'Sell-Compute'!$C$45-IF(AND(MOD(L$51,'Sell-Compute'!$C$21)=0,L$51&lt;Rates!$D$71),'Sell-Compute'!$C$34*(L104/4),0),0)-L101</f>
        <v/>
      </c>
      <c r="M111" s="68">
        <f>IF(M$51&lt;=Rates!$D$71,('Sell-Compute'!$C$40*(1+'Sell-Compute'!$C$50)^MOD(M$51-1,'Sell-Compute'!$C$21)-'Sell-Compute'!$C$42-'Sell-Compute'!$C$43)*(M104/4)-'Sell-Compute'!$C$41-'Sell-Compute'!$C$44-'Sell-Compute'!$C$45-IF(AND(MOD(M$51,'Sell-Compute'!$C$21)=0,M$51&lt;Rates!$D$71),'Sell-Compute'!$C$34*(M104/4),0),0)-M101</f>
        <v/>
      </c>
      <c r="N111" s="68">
        <f>IF(N$51&lt;=Rates!$D$71,('Sell-Compute'!$C$40*(1+'Sell-Compute'!$C$50)^MOD(N$51-1,'Sell-Compute'!$C$21)-'Sell-Compute'!$C$42-'Sell-Compute'!$C$43)*(N104/4)-'Sell-Compute'!$C$41-'Sell-Compute'!$C$44-'Sell-Compute'!$C$45-IF(AND(MOD(N$51,'Sell-Compute'!$C$21)=0,N$51&lt;Rates!$D$71),'Sell-Compute'!$C$34*(N104/4),0),0)-N101</f>
        <v/>
      </c>
      <c r="O111" s="68">
        <f>IF(O$51&lt;=Rates!$D$71,('Sell-Compute'!$C$40*(1+'Sell-Compute'!$C$50)^MOD(O$51-1,'Sell-Compute'!$C$21)-'Sell-Compute'!$C$42-'Sell-Compute'!$C$43)*(O104/4)-'Sell-Compute'!$C$41-'Sell-Compute'!$C$44-'Sell-Compute'!$C$45-IF(AND(MOD(O$51,'Sell-Compute'!$C$21)=0,O$51&lt;Rates!$D$71),'Sell-Compute'!$C$34*(O104/4),0),0)-O101</f>
        <v/>
      </c>
      <c r="P111" s="68">
        <f>IF(P$51&lt;=Rates!$D$71,('Sell-Compute'!$C$40*(1+'Sell-Compute'!$C$50)^MOD(P$51-1,'Sell-Compute'!$C$21)-'Sell-Compute'!$C$42-'Sell-Compute'!$C$43)*(P104/4)-'Sell-Compute'!$C$41-'Sell-Compute'!$C$44-'Sell-Compute'!$C$45-IF(AND(MOD(P$51,'Sell-Compute'!$C$21)=0,P$51&lt;Rates!$D$71),'Sell-Compute'!$C$34*(P104/4),0),0)-P101</f>
        <v/>
      </c>
      <c r="Q111" s="68">
        <f>IF(Q$51&lt;=Rates!$D$71,('Sell-Compute'!$C$40*(1+'Sell-Compute'!$C$50)^MOD(Q$51-1,'Sell-Compute'!$C$21)-'Sell-Compute'!$C$42-'Sell-Compute'!$C$43)*(Q104/4)-'Sell-Compute'!$C$41-'Sell-Compute'!$C$44-'Sell-Compute'!$C$45-IF(AND(MOD(Q$51,'Sell-Compute'!$C$21)=0,Q$51&lt;Rates!$D$71),'Sell-Compute'!$C$34*(Q104/4),0),0)-Q101</f>
        <v/>
      </c>
      <c r="R111" s="68">
        <f>IF(R$51&lt;=Rates!$D$71,('Sell-Compute'!$C$40*(1+'Sell-Compute'!$C$50)^MOD(R$51-1,'Sell-Compute'!$C$21)-'Sell-Compute'!$C$42-'Sell-Compute'!$C$43)*(R104/4)-'Sell-Compute'!$C$41-'Sell-Compute'!$C$44-'Sell-Compute'!$C$45-IF(AND(MOD(R$51,'Sell-Compute'!$C$21)=0,R$51&lt;Rates!$D$71),'Sell-Compute'!$C$34*(R104/4),0),0)-R101</f>
        <v/>
      </c>
      <c r="S111" s="68">
        <f>IF(S$51&lt;=Rates!$D$71,('Sell-Compute'!$C$40*(1+'Sell-Compute'!$C$50)^MOD(S$51-1,'Sell-Compute'!$C$21)-'Sell-Compute'!$C$42-'Sell-Compute'!$C$43)*(S104/4)-'Sell-Compute'!$C$41-'Sell-Compute'!$C$44-'Sell-Compute'!$C$45-IF(AND(MOD(S$51,'Sell-Compute'!$C$21)=0,S$51&lt;Rates!$D$71),'Sell-Compute'!$C$34*(S104/4),0),0)-S101</f>
        <v/>
      </c>
      <c r="T111" s="68">
        <f>IF(T$51&lt;=Rates!$D$71,('Sell-Compute'!$C$40*(1+'Sell-Compute'!$C$50)^MOD(T$51-1,'Sell-Compute'!$C$21)-'Sell-Compute'!$C$42-'Sell-Compute'!$C$43)*(T104/4)-'Sell-Compute'!$C$41-'Sell-Compute'!$C$44-'Sell-Compute'!$C$45-IF(AND(MOD(T$51,'Sell-Compute'!$C$21)=0,T$51&lt;Rates!$D$71),'Sell-Compute'!$C$34*(T104/4),0),0)-T101</f>
        <v/>
      </c>
      <c r="U111" s="68">
        <f>IF(U$51&lt;=Rates!$D$71,('Sell-Compute'!$C$40*(1+'Sell-Compute'!$C$50)^MOD(U$51-1,'Sell-Compute'!$C$21)-'Sell-Compute'!$C$42-'Sell-Compute'!$C$43)*(U104/4)-'Sell-Compute'!$C$41-'Sell-Compute'!$C$44-'Sell-Compute'!$C$45-IF(AND(MOD(U$51,'Sell-Compute'!$C$21)=0,U$51&lt;Rates!$D$71),'Sell-Compute'!$C$34*(U104/4),0),0)-U101</f>
        <v/>
      </c>
      <c r="V111" s="68">
        <f>IF(V$51&lt;=Rates!$D$71,('Sell-Compute'!$C$40*(1+'Sell-Compute'!$C$50)^MOD(V$51-1,'Sell-Compute'!$C$21)-'Sell-Compute'!$C$42-'Sell-Compute'!$C$43)*(V104/4)-'Sell-Compute'!$C$41-'Sell-Compute'!$C$44-'Sell-Compute'!$C$45-IF(AND(MOD(V$51,'Sell-Compute'!$C$21)=0,V$51&lt;Rates!$D$71),'Sell-Compute'!$C$34*(V104/4),0),0)-V101</f>
        <v/>
      </c>
      <c r="W111" s="68">
        <f>IF(W$51&lt;=Rates!$D$71,('Sell-Compute'!$C$40*(1+'Sell-Compute'!$C$50)^MOD(W$51-1,'Sell-Compute'!$C$21)-'Sell-Compute'!$C$42-'Sell-Compute'!$C$43)*(W104/4)-'Sell-Compute'!$C$41-'Sell-Compute'!$C$44-'Sell-Compute'!$C$45-IF(AND(MOD(W$51,'Sell-Compute'!$C$21)=0,W$51&lt;Rates!$D$71),'Sell-Compute'!$C$34*(W104/4),0),0)-W101</f>
        <v/>
      </c>
      <c r="X111" s="68">
        <f>IF(X$51&lt;=Rates!$D$71,('Sell-Compute'!$C$40*(1+'Sell-Compute'!$C$50)^MOD(X$51-1,'Sell-Compute'!$C$21)-'Sell-Compute'!$C$42-'Sell-Compute'!$C$43)*(X104/4)-'Sell-Compute'!$C$41-'Sell-Compute'!$C$44-'Sell-Compute'!$C$45-IF(AND(MOD(X$51,'Sell-Compute'!$C$21)=0,X$51&lt;Rates!$D$71),'Sell-Compute'!$C$34*(X104/4),0),0)-X101</f>
        <v/>
      </c>
      <c r="Y111" s="68">
        <f>IF(Y$51&lt;=Rates!$D$71,('Sell-Compute'!$C$40*(1+'Sell-Compute'!$C$50)^MOD(Y$51-1,'Sell-Compute'!$C$21)-'Sell-Compute'!$C$42-'Sell-Compute'!$C$43)*(Y104/4)-'Sell-Compute'!$C$41-'Sell-Compute'!$C$44-'Sell-Compute'!$C$45-IF(AND(MOD(Y$51,'Sell-Compute'!$C$21)=0,Y$51&lt;Rates!$D$71),'Sell-Compute'!$C$34*(Y104/4),0),0)-Y101</f>
        <v/>
      </c>
      <c r="Z111" s="68">
        <f>IF(Z$51&lt;=Rates!$D$71,('Sell-Compute'!$C$40*(1+'Sell-Compute'!$C$50)^MOD(Z$51-1,'Sell-Compute'!$C$21)-'Sell-Compute'!$C$42-'Sell-Compute'!$C$43)*(Z104/4)-'Sell-Compute'!$C$41-'Sell-Compute'!$C$44-'Sell-Compute'!$C$45-IF(AND(MOD(Z$51,'Sell-Compute'!$C$21)=0,Z$51&lt;Rates!$D$71),'Sell-Compute'!$C$34*(Z104/4),0),0)-Z101</f>
        <v/>
      </c>
      <c r="AA111" s="68">
        <f>IF(AA$51&lt;=Rates!$D$71,('Sell-Compute'!$C$40*(1+'Sell-Compute'!$C$50)^MOD(AA$51-1,'Sell-Compute'!$C$21)-'Sell-Compute'!$C$42-'Sell-Compute'!$C$43)*(AA104/4)-'Sell-Compute'!$C$41-'Sell-Compute'!$C$44-'Sell-Compute'!$C$45-IF(AND(MOD(AA$51,'Sell-Compute'!$C$21)=0,AA$51&lt;Rates!$D$71),'Sell-Compute'!$C$34*(AA104/4),0),0)-AA101</f>
        <v/>
      </c>
      <c r="AB111" s="68">
        <f>IF(AB$51&lt;=Rates!$D$71,('Sell-Compute'!$C$40*(1+'Sell-Compute'!$C$50)^MOD(AB$51-1,'Sell-Compute'!$C$21)-'Sell-Compute'!$C$42-'Sell-Compute'!$C$43)*(AB104/4)-'Sell-Compute'!$C$41-'Sell-Compute'!$C$44-'Sell-Compute'!$C$45-IF(AND(MOD(AB$51,'Sell-Compute'!$C$21)=0,AB$51&lt;Rates!$D$71),'Sell-Compute'!$C$34*(AB104/4),0),0)-AB101</f>
        <v/>
      </c>
    </row>
    <row r="112">
      <c r="A112" s="68" t="inlineStr">
        <is>
          <t>(b) Make-up doublets on a monitored trigger | dec</t>
        </is>
      </c>
      <c r="C112" s="68">
        <f>-'Sell-Compute'!$B$36-C101</f>
        <v/>
      </c>
      <c r="D112" s="68">
        <f>IF(D$51&lt;=Rates!$D$71,('Sell-Compute'!$B$40*(1+'Sell-Compute'!$B$50)^MOD(D$51-1,'Sell-Compute'!$C$21)-'Sell-Compute'!$B$42-'Sell-Compute'!$B$43)*(D104/4)-'Sell-Compute'!$B$41-'Sell-Compute'!$B$44-'Sell-Compute'!$B$45-IF(AND(MOD(D$51,'Sell-Compute'!$C$21)=0,D$51&lt;Rates!$D$71),'Sell-Compute'!$B$34*(D104/4),0),0)-D101</f>
        <v/>
      </c>
      <c r="E112" s="68">
        <f>IF(E$51&lt;=Rates!$D$71,('Sell-Compute'!$B$40*(1+'Sell-Compute'!$B$50)^MOD(E$51-1,'Sell-Compute'!$C$21)-'Sell-Compute'!$B$42-'Sell-Compute'!$B$43)*(E104/4)-'Sell-Compute'!$B$41-'Sell-Compute'!$B$44-'Sell-Compute'!$B$45-IF(AND(MOD(E$51,'Sell-Compute'!$C$21)=0,E$51&lt;Rates!$D$71),'Sell-Compute'!$B$34*(E104/4),0),0)-E101</f>
        <v/>
      </c>
      <c r="F112" s="68">
        <f>IF(F$51&lt;=Rates!$D$71,('Sell-Compute'!$B$40*(1+'Sell-Compute'!$B$50)^MOD(F$51-1,'Sell-Compute'!$C$21)-'Sell-Compute'!$B$42-'Sell-Compute'!$B$43)*(F104/4)-'Sell-Compute'!$B$41-'Sell-Compute'!$B$44-'Sell-Compute'!$B$45-IF(AND(MOD(F$51,'Sell-Compute'!$C$21)=0,F$51&lt;Rates!$D$71),'Sell-Compute'!$B$34*(F104/4),0),0)-F101</f>
        <v/>
      </c>
      <c r="G112" s="68">
        <f>IF(G$51&lt;=Rates!$D$71,('Sell-Compute'!$B$40*(1+'Sell-Compute'!$B$50)^MOD(G$51-1,'Sell-Compute'!$C$21)-'Sell-Compute'!$B$42-'Sell-Compute'!$B$43)*(G104/4)-'Sell-Compute'!$B$41-'Sell-Compute'!$B$44-'Sell-Compute'!$B$45-IF(AND(MOD(G$51,'Sell-Compute'!$C$21)=0,G$51&lt;Rates!$D$71),'Sell-Compute'!$B$34*(G104/4),0),0)-G101</f>
        <v/>
      </c>
      <c r="H112" s="68">
        <f>IF(H$51&lt;=Rates!$D$71,('Sell-Compute'!$B$40*(1+'Sell-Compute'!$B$50)^MOD(H$51-1,'Sell-Compute'!$C$21)-'Sell-Compute'!$B$42-'Sell-Compute'!$B$43)*(H104/4)-'Sell-Compute'!$B$41-'Sell-Compute'!$B$44-'Sell-Compute'!$B$45-IF(AND(MOD(H$51,'Sell-Compute'!$C$21)=0,H$51&lt;Rates!$D$71),'Sell-Compute'!$B$34*(H104/4),0),0)-H101</f>
        <v/>
      </c>
      <c r="I112" s="68">
        <f>IF(I$51&lt;=Rates!$D$71,('Sell-Compute'!$B$40*(1+'Sell-Compute'!$B$50)^MOD(I$51-1,'Sell-Compute'!$C$21)-'Sell-Compute'!$B$42-'Sell-Compute'!$B$43)*(I104/4)-'Sell-Compute'!$B$41-'Sell-Compute'!$B$44-'Sell-Compute'!$B$45-IF(AND(MOD(I$51,'Sell-Compute'!$C$21)=0,I$51&lt;Rates!$D$71),'Sell-Compute'!$B$34*(I104/4),0),0)-I101</f>
        <v/>
      </c>
      <c r="J112" s="68">
        <f>IF(J$51&lt;=Rates!$D$71,('Sell-Compute'!$B$40*(1+'Sell-Compute'!$B$50)^MOD(J$51-1,'Sell-Compute'!$C$21)-'Sell-Compute'!$B$42-'Sell-Compute'!$B$43)*(J104/4)-'Sell-Compute'!$B$41-'Sell-Compute'!$B$44-'Sell-Compute'!$B$45-IF(AND(MOD(J$51,'Sell-Compute'!$C$21)=0,J$51&lt;Rates!$D$71),'Sell-Compute'!$B$34*(J104/4),0),0)-J101</f>
        <v/>
      </c>
      <c r="K112" s="68">
        <f>IF(K$51&lt;=Rates!$D$71,('Sell-Compute'!$B$40*(1+'Sell-Compute'!$B$50)^MOD(K$51-1,'Sell-Compute'!$C$21)-'Sell-Compute'!$B$42-'Sell-Compute'!$B$43)*(K104/4)-'Sell-Compute'!$B$41-'Sell-Compute'!$B$44-'Sell-Compute'!$B$45-IF(AND(MOD(K$51,'Sell-Compute'!$C$21)=0,K$51&lt;Rates!$D$71),'Sell-Compute'!$B$34*(K104/4),0),0)-K101</f>
        <v/>
      </c>
      <c r="L112" s="68">
        <f>IF(L$51&lt;=Rates!$D$71,('Sell-Compute'!$B$40*(1+'Sell-Compute'!$B$50)^MOD(L$51-1,'Sell-Compute'!$C$21)-'Sell-Compute'!$B$42-'Sell-Compute'!$B$43)*(L104/4)-'Sell-Compute'!$B$41-'Sell-Compute'!$B$44-'Sell-Compute'!$B$45-IF(AND(MOD(L$51,'Sell-Compute'!$C$21)=0,L$51&lt;Rates!$D$71),'Sell-Compute'!$B$34*(L104/4),0),0)-L101</f>
        <v/>
      </c>
      <c r="M112" s="68">
        <f>IF(M$51&lt;=Rates!$D$71,('Sell-Compute'!$B$40*(1+'Sell-Compute'!$B$50)^MOD(M$51-1,'Sell-Compute'!$C$21)-'Sell-Compute'!$B$42-'Sell-Compute'!$B$43)*(M104/4)-'Sell-Compute'!$B$41-'Sell-Compute'!$B$44-'Sell-Compute'!$B$45-IF(AND(MOD(M$51,'Sell-Compute'!$C$21)=0,M$51&lt;Rates!$D$71),'Sell-Compute'!$B$34*(M104/4),0),0)-M101</f>
        <v/>
      </c>
      <c r="N112" s="68">
        <f>IF(N$51&lt;=Rates!$D$71,('Sell-Compute'!$B$40*(1+'Sell-Compute'!$B$50)^MOD(N$51-1,'Sell-Compute'!$C$21)-'Sell-Compute'!$B$42-'Sell-Compute'!$B$43)*(N104/4)-'Sell-Compute'!$B$41-'Sell-Compute'!$B$44-'Sell-Compute'!$B$45-IF(AND(MOD(N$51,'Sell-Compute'!$C$21)=0,N$51&lt;Rates!$D$71),'Sell-Compute'!$B$34*(N104/4),0),0)-N101</f>
        <v/>
      </c>
      <c r="O112" s="68">
        <f>IF(O$51&lt;=Rates!$D$71,('Sell-Compute'!$B$40*(1+'Sell-Compute'!$B$50)^MOD(O$51-1,'Sell-Compute'!$C$21)-'Sell-Compute'!$B$42-'Sell-Compute'!$B$43)*(O104/4)-'Sell-Compute'!$B$41-'Sell-Compute'!$B$44-'Sell-Compute'!$B$45-IF(AND(MOD(O$51,'Sell-Compute'!$C$21)=0,O$51&lt;Rates!$D$71),'Sell-Compute'!$B$34*(O104/4),0),0)-O101</f>
        <v/>
      </c>
      <c r="P112" s="68">
        <f>IF(P$51&lt;=Rates!$D$71,('Sell-Compute'!$B$40*(1+'Sell-Compute'!$B$50)^MOD(P$51-1,'Sell-Compute'!$C$21)-'Sell-Compute'!$B$42-'Sell-Compute'!$B$43)*(P104/4)-'Sell-Compute'!$B$41-'Sell-Compute'!$B$44-'Sell-Compute'!$B$45-IF(AND(MOD(P$51,'Sell-Compute'!$C$21)=0,P$51&lt;Rates!$D$71),'Sell-Compute'!$B$34*(P104/4),0),0)-P101</f>
        <v/>
      </c>
      <c r="Q112" s="68">
        <f>IF(Q$51&lt;=Rates!$D$71,('Sell-Compute'!$B$40*(1+'Sell-Compute'!$B$50)^MOD(Q$51-1,'Sell-Compute'!$C$21)-'Sell-Compute'!$B$42-'Sell-Compute'!$B$43)*(Q104/4)-'Sell-Compute'!$B$41-'Sell-Compute'!$B$44-'Sell-Compute'!$B$45-IF(AND(MOD(Q$51,'Sell-Compute'!$C$21)=0,Q$51&lt;Rates!$D$71),'Sell-Compute'!$B$34*(Q104/4),0),0)-Q101</f>
        <v/>
      </c>
      <c r="R112" s="68">
        <f>IF(R$51&lt;=Rates!$D$71,('Sell-Compute'!$B$40*(1+'Sell-Compute'!$B$50)^MOD(R$51-1,'Sell-Compute'!$C$21)-'Sell-Compute'!$B$42-'Sell-Compute'!$B$43)*(R104/4)-'Sell-Compute'!$B$41-'Sell-Compute'!$B$44-'Sell-Compute'!$B$45-IF(AND(MOD(R$51,'Sell-Compute'!$C$21)=0,R$51&lt;Rates!$D$71),'Sell-Compute'!$B$34*(R104/4),0),0)-R101</f>
        <v/>
      </c>
      <c r="S112" s="68">
        <f>IF(S$51&lt;=Rates!$D$71,('Sell-Compute'!$B$40*(1+'Sell-Compute'!$B$50)^MOD(S$51-1,'Sell-Compute'!$C$21)-'Sell-Compute'!$B$42-'Sell-Compute'!$B$43)*(S104/4)-'Sell-Compute'!$B$41-'Sell-Compute'!$B$44-'Sell-Compute'!$B$45-IF(AND(MOD(S$51,'Sell-Compute'!$C$21)=0,S$51&lt;Rates!$D$71),'Sell-Compute'!$B$34*(S104/4),0),0)-S101</f>
        <v/>
      </c>
      <c r="T112" s="68">
        <f>IF(T$51&lt;=Rates!$D$71,('Sell-Compute'!$B$40*(1+'Sell-Compute'!$B$50)^MOD(T$51-1,'Sell-Compute'!$C$21)-'Sell-Compute'!$B$42-'Sell-Compute'!$B$43)*(T104/4)-'Sell-Compute'!$B$41-'Sell-Compute'!$B$44-'Sell-Compute'!$B$45-IF(AND(MOD(T$51,'Sell-Compute'!$C$21)=0,T$51&lt;Rates!$D$71),'Sell-Compute'!$B$34*(T104/4),0),0)-T101</f>
        <v/>
      </c>
      <c r="U112" s="68">
        <f>IF(U$51&lt;=Rates!$D$71,('Sell-Compute'!$B$40*(1+'Sell-Compute'!$B$50)^MOD(U$51-1,'Sell-Compute'!$C$21)-'Sell-Compute'!$B$42-'Sell-Compute'!$B$43)*(U104/4)-'Sell-Compute'!$B$41-'Sell-Compute'!$B$44-'Sell-Compute'!$B$45-IF(AND(MOD(U$51,'Sell-Compute'!$C$21)=0,U$51&lt;Rates!$D$71),'Sell-Compute'!$B$34*(U104/4),0),0)-U101</f>
        <v/>
      </c>
      <c r="V112" s="68">
        <f>IF(V$51&lt;=Rates!$D$71,('Sell-Compute'!$B$40*(1+'Sell-Compute'!$B$50)^MOD(V$51-1,'Sell-Compute'!$C$21)-'Sell-Compute'!$B$42-'Sell-Compute'!$B$43)*(V104/4)-'Sell-Compute'!$B$41-'Sell-Compute'!$B$44-'Sell-Compute'!$B$45-IF(AND(MOD(V$51,'Sell-Compute'!$C$21)=0,V$51&lt;Rates!$D$71),'Sell-Compute'!$B$34*(V104/4),0),0)-V101</f>
        <v/>
      </c>
      <c r="W112" s="68">
        <f>IF(W$51&lt;=Rates!$D$71,('Sell-Compute'!$B$40*(1+'Sell-Compute'!$B$50)^MOD(W$51-1,'Sell-Compute'!$C$21)-'Sell-Compute'!$B$42-'Sell-Compute'!$B$43)*(W104/4)-'Sell-Compute'!$B$41-'Sell-Compute'!$B$44-'Sell-Compute'!$B$45-IF(AND(MOD(W$51,'Sell-Compute'!$C$21)=0,W$51&lt;Rates!$D$71),'Sell-Compute'!$B$34*(W104/4),0),0)-W101</f>
        <v/>
      </c>
      <c r="X112" s="68">
        <f>IF(X$51&lt;=Rates!$D$71,('Sell-Compute'!$B$40*(1+'Sell-Compute'!$B$50)^MOD(X$51-1,'Sell-Compute'!$C$21)-'Sell-Compute'!$B$42-'Sell-Compute'!$B$43)*(X104/4)-'Sell-Compute'!$B$41-'Sell-Compute'!$B$44-'Sell-Compute'!$B$45-IF(AND(MOD(X$51,'Sell-Compute'!$C$21)=0,X$51&lt;Rates!$D$71),'Sell-Compute'!$B$34*(X104/4),0),0)-X101</f>
        <v/>
      </c>
      <c r="Y112" s="68">
        <f>IF(Y$51&lt;=Rates!$D$71,('Sell-Compute'!$B$40*(1+'Sell-Compute'!$B$50)^MOD(Y$51-1,'Sell-Compute'!$C$21)-'Sell-Compute'!$B$42-'Sell-Compute'!$B$43)*(Y104/4)-'Sell-Compute'!$B$41-'Sell-Compute'!$B$44-'Sell-Compute'!$B$45-IF(AND(MOD(Y$51,'Sell-Compute'!$C$21)=0,Y$51&lt;Rates!$D$71),'Sell-Compute'!$B$34*(Y104/4),0),0)-Y101</f>
        <v/>
      </c>
      <c r="Z112" s="68">
        <f>IF(Z$51&lt;=Rates!$D$71,('Sell-Compute'!$B$40*(1+'Sell-Compute'!$B$50)^MOD(Z$51-1,'Sell-Compute'!$C$21)-'Sell-Compute'!$B$42-'Sell-Compute'!$B$43)*(Z104/4)-'Sell-Compute'!$B$41-'Sell-Compute'!$B$44-'Sell-Compute'!$B$45-IF(AND(MOD(Z$51,'Sell-Compute'!$C$21)=0,Z$51&lt;Rates!$D$71),'Sell-Compute'!$B$34*(Z104/4),0),0)-Z101</f>
        <v/>
      </c>
      <c r="AA112" s="68">
        <f>IF(AA$51&lt;=Rates!$D$71,('Sell-Compute'!$B$40*(1+'Sell-Compute'!$B$50)^MOD(AA$51-1,'Sell-Compute'!$C$21)-'Sell-Compute'!$B$42-'Sell-Compute'!$B$43)*(AA104/4)-'Sell-Compute'!$B$41-'Sell-Compute'!$B$44-'Sell-Compute'!$B$45-IF(AND(MOD(AA$51,'Sell-Compute'!$C$21)=0,AA$51&lt;Rates!$D$71),'Sell-Compute'!$B$34*(AA104/4),0),0)-AA101</f>
        <v/>
      </c>
      <c r="AB112" s="68">
        <f>IF(AB$51&lt;=Rates!$D$71,('Sell-Compute'!$B$40*(1+'Sell-Compute'!$B$50)^MOD(AB$51-1,'Sell-Compute'!$C$21)-'Sell-Compute'!$B$42-'Sell-Compute'!$B$43)*(AB104/4)-'Sell-Compute'!$B$41-'Sell-Compute'!$B$44-'Sell-Compute'!$B$45-IF(AND(MOD(AB$51,'Sell-Compute'!$C$21)=0,AB$51&lt;Rates!$D$71),'Sell-Compute'!$B$34*(AB104/4),0),0)-AB101</f>
        <v/>
      </c>
    </row>
    <row r="113">
      <c r="A113" s="68" t="inlineStr">
        <is>
          <t>(b) Make-up doublets on a monitored trigger | colo</t>
        </is>
      </c>
      <c r="C113" s="68">
        <f>-'Sell-Compute'!$I$36-C101</f>
        <v/>
      </c>
      <c r="D113" s="68">
        <f>IF(D$51&lt;=Rates!$D$71,'Sell-Compute'!$I$46-'Sell-Compute'!$I$40*(1-(D104/4)),0)-D101</f>
        <v/>
      </c>
      <c r="E113" s="68">
        <f>IF(E$51&lt;=Rates!$D$71,'Sell-Compute'!$I$46-'Sell-Compute'!$I$40*(1-(E104/4)),0)-E101</f>
        <v/>
      </c>
      <c r="F113" s="68">
        <f>IF(F$51&lt;=Rates!$D$71,'Sell-Compute'!$I$46-'Sell-Compute'!$I$40*(1-(F104/4)),0)-F101</f>
        <v/>
      </c>
      <c r="G113" s="68">
        <f>IF(G$51&lt;=Rates!$D$71,'Sell-Compute'!$I$46-'Sell-Compute'!$I$40*(1-(G104/4)),0)-G101</f>
        <v/>
      </c>
      <c r="H113" s="68">
        <f>IF(H$51&lt;=Rates!$D$71,'Sell-Compute'!$I$46-'Sell-Compute'!$I$40*(1-(H104/4)),0)-H101</f>
        <v/>
      </c>
      <c r="I113" s="68">
        <f>IF(I$51&lt;=Rates!$D$71,'Sell-Compute'!$I$46-'Sell-Compute'!$I$40*(1-(I104/4)),0)-I101</f>
        <v/>
      </c>
      <c r="J113" s="68">
        <f>IF(J$51&lt;=Rates!$D$71,'Sell-Compute'!$I$46-'Sell-Compute'!$I$40*(1-(J104/4)),0)-J101</f>
        <v/>
      </c>
      <c r="K113" s="68">
        <f>IF(K$51&lt;=Rates!$D$71,'Sell-Compute'!$I$46-'Sell-Compute'!$I$40*(1-(K104/4)),0)-K101</f>
        <v/>
      </c>
      <c r="L113" s="68">
        <f>IF(L$51&lt;=Rates!$D$71,'Sell-Compute'!$I$46-'Sell-Compute'!$I$40*(1-(L104/4)),0)-L101</f>
        <v/>
      </c>
      <c r="M113" s="68">
        <f>IF(M$51&lt;=Rates!$D$71,'Sell-Compute'!$I$46-'Sell-Compute'!$I$40*(1-(M104/4)),0)-M101</f>
        <v/>
      </c>
      <c r="N113" s="68">
        <f>IF(N$51&lt;=Rates!$D$71,'Sell-Compute'!$I$46-'Sell-Compute'!$I$40*(1-(N104/4)),0)-N101</f>
        <v/>
      </c>
      <c r="O113" s="68">
        <f>IF(O$51&lt;=Rates!$D$71,'Sell-Compute'!$I$46-'Sell-Compute'!$I$40*(1-(O104/4)),0)-O101</f>
        <v/>
      </c>
      <c r="P113" s="68">
        <f>IF(P$51&lt;=Rates!$D$71,'Sell-Compute'!$I$46-'Sell-Compute'!$I$40*(1-(P104/4)),0)-P101</f>
        <v/>
      </c>
      <c r="Q113" s="68">
        <f>IF(Q$51&lt;=Rates!$D$71,'Sell-Compute'!$I$46-'Sell-Compute'!$I$40*(1-(Q104/4)),0)-Q101</f>
        <v/>
      </c>
      <c r="R113" s="68">
        <f>IF(R$51&lt;=Rates!$D$71,'Sell-Compute'!$I$46-'Sell-Compute'!$I$40*(1-(R104/4)),0)-R101</f>
        <v/>
      </c>
      <c r="S113" s="68">
        <f>IF(S$51&lt;=Rates!$D$71,'Sell-Compute'!$I$46-'Sell-Compute'!$I$40*(1-(S104/4)),0)-S101</f>
        <v/>
      </c>
      <c r="T113" s="68">
        <f>IF(T$51&lt;=Rates!$D$71,'Sell-Compute'!$I$46-'Sell-Compute'!$I$40*(1-(T104/4)),0)-T101</f>
        <v/>
      </c>
      <c r="U113" s="68">
        <f>IF(U$51&lt;=Rates!$D$71,'Sell-Compute'!$I$46-'Sell-Compute'!$I$40*(1-(U104/4)),0)-U101</f>
        <v/>
      </c>
      <c r="V113" s="68">
        <f>IF(V$51&lt;=Rates!$D$71,'Sell-Compute'!$I$46-'Sell-Compute'!$I$40*(1-(V104/4)),0)-V101</f>
        <v/>
      </c>
      <c r="W113" s="68">
        <f>IF(W$51&lt;=Rates!$D$71,'Sell-Compute'!$I$46-'Sell-Compute'!$I$40*(1-(W104/4)),0)-W101</f>
        <v/>
      </c>
      <c r="X113" s="68">
        <f>IF(X$51&lt;=Rates!$D$71,'Sell-Compute'!$I$46-'Sell-Compute'!$I$40*(1-(X104/4)),0)-X101</f>
        <v/>
      </c>
      <c r="Y113" s="68">
        <f>IF(Y$51&lt;=Rates!$D$71,'Sell-Compute'!$I$46-'Sell-Compute'!$I$40*(1-(Y104/4)),0)-Y101</f>
        <v/>
      </c>
      <c r="Z113" s="68">
        <f>IF(Z$51&lt;=Rates!$D$71,'Sell-Compute'!$I$46-'Sell-Compute'!$I$40*(1-(Z104/4)),0)-Z101</f>
        <v/>
      </c>
      <c r="AA113" s="68">
        <f>IF(AA$51&lt;=Rates!$D$71,'Sell-Compute'!$I$46-'Sell-Compute'!$I$40*(1-(AA104/4)),0)-AA101</f>
        <v/>
      </c>
      <c r="AB113" s="68">
        <f>IF(AB$51&lt;=Rates!$D$71,'Sell-Compute'!$I$46-'Sell-Compute'!$I$40*(1-(AB104/4)),0)-AB101</f>
        <v/>
      </c>
    </row>
    <row r="114">
      <c r="A114" s="68" t="inlineStr">
        <is>
          <t>(c) Build fewer modules | flat</t>
        </is>
      </c>
      <c r="C114" s="68">
        <f>-'Sell-Compute'!$C$36+(1-($G$96/4))*('Sell-Compute'!$C$34+('AU-Route'!$B$31*(1+Control!$B$13)))</f>
        <v/>
      </c>
      <c r="D114" s="68">
        <f>IF(D$51&lt;=Rates!$D$71,('Sell-Compute'!$C$40*(1+'Sell-Compute'!$C$50)^MOD(D$51-1,'Sell-Compute'!$C$21)-'Sell-Compute'!$C$42-'Sell-Compute'!$C$43)*($G$96/4)-'Sell-Compute'!$C$41-'Sell-Compute'!$C$44-'Sell-Compute'!$C$45-IF(AND(MOD(D$51,'Sell-Compute'!$C$21)=0,D$51&lt;Rates!$D$71),'Sell-Compute'!$C$34*($G$96/4),0),0)</f>
        <v/>
      </c>
      <c r="E114" s="68">
        <f>IF(E$51&lt;=Rates!$D$71,('Sell-Compute'!$C$40*(1+'Sell-Compute'!$C$50)^MOD(E$51-1,'Sell-Compute'!$C$21)-'Sell-Compute'!$C$42-'Sell-Compute'!$C$43)*($G$96/4)-'Sell-Compute'!$C$41-'Sell-Compute'!$C$44-'Sell-Compute'!$C$45-IF(AND(MOD(E$51,'Sell-Compute'!$C$21)=0,E$51&lt;Rates!$D$71),'Sell-Compute'!$C$34*($G$96/4),0),0)</f>
        <v/>
      </c>
      <c r="F114" s="68">
        <f>IF(F$51&lt;=Rates!$D$71,('Sell-Compute'!$C$40*(1+'Sell-Compute'!$C$50)^MOD(F$51-1,'Sell-Compute'!$C$21)-'Sell-Compute'!$C$42-'Sell-Compute'!$C$43)*($G$96/4)-'Sell-Compute'!$C$41-'Sell-Compute'!$C$44-'Sell-Compute'!$C$45-IF(AND(MOD(F$51,'Sell-Compute'!$C$21)=0,F$51&lt;Rates!$D$71),'Sell-Compute'!$C$34*($G$96/4),0),0)</f>
        <v/>
      </c>
      <c r="G114" s="68">
        <f>IF(G$51&lt;=Rates!$D$71,('Sell-Compute'!$C$40*(1+'Sell-Compute'!$C$50)^MOD(G$51-1,'Sell-Compute'!$C$21)-'Sell-Compute'!$C$42-'Sell-Compute'!$C$43)*($G$96/4)-'Sell-Compute'!$C$41-'Sell-Compute'!$C$44-'Sell-Compute'!$C$45-IF(AND(MOD(G$51,'Sell-Compute'!$C$21)=0,G$51&lt;Rates!$D$71),'Sell-Compute'!$C$34*($G$96/4),0),0)</f>
        <v/>
      </c>
      <c r="H114" s="68">
        <f>IF(H$51&lt;=Rates!$D$71,('Sell-Compute'!$C$40*(1+'Sell-Compute'!$C$50)^MOD(H$51-1,'Sell-Compute'!$C$21)-'Sell-Compute'!$C$42-'Sell-Compute'!$C$43)*($G$96/4)-'Sell-Compute'!$C$41-'Sell-Compute'!$C$44-'Sell-Compute'!$C$45-IF(AND(MOD(H$51,'Sell-Compute'!$C$21)=0,H$51&lt;Rates!$D$71),'Sell-Compute'!$C$34*($G$96/4),0),0)</f>
        <v/>
      </c>
      <c r="I114" s="68">
        <f>IF(I$51&lt;=Rates!$D$71,('Sell-Compute'!$C$40*(1+'Sell-Compute'!$C$50)^MOD(I$51-1,'Sell-Compute'!$C$21)-'Sell-Compute'!$C$42-'Sell-Compute'!$C$43)*($G$96/4)-'Sell-Compute'!$C$41-'Sell-Compute'!$C$44-'Sell-Compute'!$C$45-IF(AND(MOD(I$51,'Sell-Compute'!$C$21)=0,I$51&lt;Rates!$D$71),'Sell-Compute'!$C$34*($G$96/4),0),0)</f>
        <v/>
      </c>
      <c r="J114" s="68">
        <f>IF(J$51&lt;=Rates!$D$71,('Sell-Compute'!$C$40*(1+'Sell-Compute'!$C$50)^MOD(J$51-1,'Sell-Compute'!$C$21)-'Sell-Compute'!$C$42-'Sell-Compute'!$C$43)*($G$96/4)-'Sell-Compute'!$C$41-'Sell-Compute'!$C$44-'Sell-Compute'!$C$45-IF(AND(MOD(J$51,'Sell-Compute'!$C$21)=0,J$51&lt;Rates!$D$71),'Sell-Compute'!$C$34*($G$96/4),0),0)</f>
        <v/>
      </c>
      <c r="K114" s="68">
        <f>IF(K$51&lt;=Rates!$D$71,('Sell-Compute'!$C$40*(1+'Sell-Compute'!$C$50)^MOD(K$51-1,'Sell-Compute'!$C$21)-'Sell-Compute'!$C$42-'Sell-Compute'!$C$43)*($G$96/4)-'Sell-Compute'!$C$41-'Sell-Compute'!$C$44-'Sell-Compute'!$C$45-IF(AND(MOD(K$51,'Sell-Compute'!$C$21)=0,K$51&lt;Rates!$D$71),'Sell-Compute'!$C$34*($G$96/4),0),0)</f>
        <v/>
      </c>
      <c r="L114" s="68">
        <f>IF(L$51&lt;=Rates!$D$71,('Sell-Compute'!$C$40*(1+'Sell-Compute'!$C$50)^MOD(L$51-1,'Sell-Compute'!$C$21)-'Sell-Compute'!$C$42-'Sell-Compute'!$C$43)*($G$96/4)-'Sell-Compute'!$C$41-'Sell-Compute'!$C$44-'Sell-Compute'!$C$45-IF(AND(MOD(L$51,'Sell-Compute'!$C$21)=0,L$51&lt;Rates!$D$71),'Sell-Compute'!$C$34*($G$96/4),0),0)</f>
        <v/>
      </c>
      <c r="M114" s="68">
        <f>IF(M$51&lt;=Rates!$D$71,('Sell-Compute'!$C$40*(1+'Sell-Compute'!$C$50)^MOD(M$51-1,'Sell-Compute'!$C$21)-'Sell-Compute'!$C$42-'Sell-Compute'!$C$43)*($G$96/4)-'Sell-Compute'!$C$41-'Sell-Compute'!$C$44-'Sell-Compute'!$C$45-IF(AND(MOD(M$51,'Sell-Compute'!$C$21)=0,M$51&lt;Rates!$D$71),'Sell-Compute'!$C$34*($G$96/4),0),0)</f>
        <v/>
      </c>
      <c r="N114" s="68">
        <f>IF(N$51&lt;=Rates!$D$71,('Sell-Compute'!$C$40*(1+'Sell-Compute'!$C$50)^MOD(N$51-1,'Sell-Compute'!$C$21)-'Sell-Compute'!$C$42-'Sell-Compute'!$C$43)*($G$96/4)-'Sell-Compute'!$C$41-'Sell-Compute'!$C$44-'Sell-Compute'!$C$45-IF(AND(MOD(N$51,'Sell-Compute'!$C$21)=0,N$51&lt;Rates!$D$71),'Sell-Compute'!$C$34*($G$96/4),0),0)</f>
        <v/>
      </c>
      <c r="O114" s="68">
        <f>IF(O$51&lt;=Rates!$D$71,('Sell-Compute'!$C$40*(1+'Sell-Compute'!$C$50)^MOD(O$51-1,'Sell-Compute'!$C$21)-'Sell-Compute'!$C$42-'Sell-Compute'!$C$43)*($G$96/4)-'Sell-Compute'!$C$41-'Sell-Compute'!$C$44-'Sell-Compute'!$C$45-IF(AND(MOD(O$51,'Sell-Compute'!$C$21)=0,O$51&lt;Rates!$D$71),'Sell-Compute'!$C$34*($G$96/4),0),0)</f>
        <v/>
      </c>
      <c r="P114" s="68">
        <f>IF(P$51&lt;=Rates!$D$71,('Sell-Compute'!$C$40*(1+'Sell-Compute'!$C$50)^MOD(P$51-1,'Sell-Compute'!$C$21)-'Sell-Compute'!$C$42-'Sell-Compute'!$C$43)*($G$96/4)-'Sell-Compute'!$C$41-'Sell-Compute'!$C$44-'Sell-Compute'!$C$45-IF(AND(MOD(P$51,'Sell-Compute'!$C$21)=0,P$51&lt;Rates!$D$71),'Sell-Compute'!$C$34*($G$96/4),0),0)</f>
        <v/>
      </c>
      <c r="Q114" s="68">
        <f>IF(Q$51&lt;=Rates!$D$71,('Sell-Compute'!$C$40*(1+'Sell-Compute'!$C$50)^MOD(Q$51-1,'Sell-Compute'!$C$21)-'Sell-Compute'!$C$42-'Sell-Compute'!$C$43)*($G$96/4)-'Sell-Compute'!$C$41-'Sell-Compute'!$C$44-'Sell-Compute'!$C$45-IF(AND(MOD(Q$51,'Sell-Compute'!$C$21)=0,Q$51&lt;Rates!$D$71),'Sell-Compute'!$C$34*($G$96/4),0),0)</f>
        <v/>
      </c>
      <c r="R114" s="68">
        <f>IF(R$51&lt;=Rates!$D$71,('Sell-Compute'!$C$40*(1+'Sell-Compute'!$C$50)^MOD(R$51-1,'Sell-Compute'!$C$21)-'Sell-Compute'!$C$42-'Sell-Compute'!$C$43)*($G$96/4)-'Sell-Compute'!$C$41-'Sell-Compute'!$C$44-'Sell-Compute'!$C$45-IF(AND(MOD(R$51,'Sell-Compute'!$C$21)=0,R$51&lt;Rates!$D$71),'Sell-Compute'!$C$34*($G$96/4),0),0)</f>
        <v/>
      </c>
      <c r="S114" s="68">
        <f>IF(S$51&lt;=Rates!$D$71,('Sell-Compute'!$C$40*(1+'Sell-Compute'!$C$50)^MOD(S$51-1,'Sell-Compute'!$C$21)-'Sell-Compute'!$C$42-'Sell-Compute'!$C$43)*($G$96/4)-'Sell-Compute'!$C$41-'Sell-Compute'!$C$44-'Sell-Compute'!$C$45-IF(AND(MOD(S$51,'Sell-Compute'!$C$21)=0,S$51&lt;Rates!$D$71),'Sell-Compute'!$C$34*($G$96/4),0),0)</f>
        <v/>
      </c>
      <c r="T114" s="68">
        <f>IF(T$51&lt;=Rates!$D$71,('Sell-Compute'!$C$40*(1+'Sell-Compute'!$C$50)^MOD(T$51-1,'Sell-Compute'!$C$21)-'Sell-Compute'!$C$42-'Sell-Compute'!$C$43)*($G$96/4)-'Sell-Compute'!$C$41-'Sell-Compute'!$C$44-'Sell-Compute'!$C$45-IF(AND(MOD(T$51,'Sell-Compute'!$C$21)=0,T$51&lt;Rates!$D$71),'Sell-Compute'!$C$34*($G$96/4),0),0)</f>
        <v/>
      </c>
      <c r="U114" s="68">
        <f>IF(U$51&lt;=Rates!$D$71,('Sell-Compute'!$C$40*(1+'Sell-Compute'!$C$50)^MOD(U$51-1,'Sell-Compute'!$C$21)-'Sell-Compute'!$C$42-'Sell-Compute'!$C$43)*($G$96/4)-'Sell-Compute'!$C$41-'Sell-Compute'!$C$44-'Sell-Compute'!$C$45-IF(AND(MOD(U$51,'Sell-Compute'!$C$21)=0,U$51&lt;Rates!$D$71),'Sell-Compute'!$C$34*($G$96/4),0),0)</f>
        <v/>
      </c>
      <c r="V114" s="68">
        <f>IF(V$51&lt;=Rates!$D$71,('Sell-Compute'!$C$40*(1+'Sell-Compute'!$C$50)^MOD(V$51-1,'Sell-Compute'!$C$21)-'Sell-Compute'!$C$42-'Sell-Compute'!$C$43)*($G$96/4)-'Sell-Compute'!$C$41-'Sell-Compute'!$C$44-'Sell-Compute'!$C$45-IF(AND(MOD(V$51,'Sell-Compute'!$C$21)=0,V$51&lt;Rates!$D$71),'Sell-Compute'!$C$34*($G$96/4),0),0)</f>
        <v/>
      </c>
      <c r="W114" s="68">
        <f>IF(W$51&lt;=Rates!$D$71,('Sell-Compute'!$C$40*(1+'Sell-Compute'!$C$50)^MOD(W$51-1,'Sell-Compute'!$C$21)-'Sell-Compute'!$C$42-'Sell-Compute'!$C$43)*($G$96/4)-'Sell-Compute'!$C$41-'Sell-Compute'!$C$44-'Sell-Compute'!$C$45-IF(AND(MOD(W$51,'Sell-Compute'!$C$21)=0,W$51&lt;Rates!$D$71),'Sell-Compute'!$C$34*($G$96/4),0),0)</f>
        <v/>
      </c>
      <c r="X114" s="68">
        <f>IF(X$51&lt;=Rates!$D$71,('Sell-Compute'!$C$40*(1+'Sell-Compute'!$C$50)^MOD(X$51-1,'Sell-Compute'!$C$21)-'Sell-Compute'!$C$42-'Sell-Compute'!$C$43)*($G$96/4)-'Sell-Compute'!$C$41-'Sell-Compute'!$C$44-'Sell-Compute'!$C$45-IF(AND(MOD(X$51,'Sell-Compute'!$C$21)=0,X$51&lt;Rates!$D$71),'Sell-Compute'!$C$34*($G$96/4),0),0)</f>
        <v/>
      </c>
      <c r="Y114" s="68">
        <f>IF(Y$51&lt;=Rates!$D$71,('Sell-Compute'!$C$40*(1+'Sell-Compute'!$C$50)^MOD(Y$51-1,'Sell-Compute'!$C$21)-'Sell-Compute'!$C$42-'Sell-Compute'!$C$43)*($G$96/4)-'Sell-Compute'!$C$41-'Sell-Compute'!$C$44-'Sell-Compute'!$C$45-IF(AND(MOD(Y$51,'Sell-Compute'!$C$21)=0,Y$51&lt;Rates!$D$71),'Sell-Compute'!$C$34*($G$96/4),0),0)</f>
        <v/>
      </c>
      <c r="Z114" s="68">
        <f>IF(Z$51&lt;=Rates!$D$71,('Sell-Compute'!$C$40*(1+'Sell-Compute'!$C$50)^MOD(Z$51-1,'Sell-Compute'!$C$21)-'Sell-Compute'!$C$42-'Sell-Compute'!$C$43)*($G$96/4)-'Sell-Compute'!$C$41-'Sell-Compute'!$C$44-'Sell-Compute'!$C$45-IF(AND(MOD(Z$51,'Sell-Compute'!$C$21)=0,Z$51&lt;Rates!$D$71),'Sell-Compute'!$C$34*($G$96/4),0),0)</f>
        <v/>
      </c>
      <c r="AA114" s="68">
        <f>IF(AA$51&lt;=Rates!$D$71,('Sell-Compute'!$C$40*(1+'Sell-Compute'!$C$50)^MOD(AA$51-1,'Sell-Compute'!$C$21)-'Sell-Compute'!$C$42-'Sell-Compute'!$C$43)*($G$96/4)-'Sell-Compute'!$C$41-'Sell-Compute'!$C$44-'Sell-Compute'!$C$45-IF(AND(MOD(AA$51,'Sell-Compute'!$C$21)=0,AA$51&lt;Rates!$D$71),'Sell-Compute'!$C$34*($G$96/4),0),0)</f>
        <v/>
      </c>
      <c r="AB114" s="68">
        <f>IF(AB$51&lt;=Rates!$D$71,('Sell-Compute'!$C$40*(1+'Sell-Compute'!$C$50)^MOD(AB$51-1,'Sell-Compute'!$C$21)-'Sell-Compute'!$C$42-'Sell-Compute'!$C$43)*($G$96/4)-'Sell-Compute'!$C$41-'Sell-Compute'!$C$44-'Sell-Compute'!$C$45-IF(AND(MOD(AB$51,'Sell-Compute'!$C$21)=0,AB$51&lt;Rates!$D$71),'Sell-Compute'!$C$34*($G$96/4),0),0)</f>
        <v/>
      </c>
    </row>
    <row r="115">
      <c r="A115" s="68" t="inlineStr">
        <is>
          <t>(c) Build fewer modules | dec</t>
        </is>
      </c>
      <c r="C115" s="68">
        <f>-'Sell-Compute'!$B$36+(1-($G$96/4))*('Sell-Compute'!$B$34+('AU-Route'!$B$31*(1+Control!$B$13)))</f>
        <v/>
      </c>
      <c r="D115" s="68">
        <f>IF(D$51&lt;=Rates!$D$71,('Sell-Compute'!$B$40*(1+'Sell-Compute'!$B$50)^MOD(D$51-1,'Sell-Compute'!$C$21)-'Sell-Compute'!$B$42-'Sell-Compute'!$B$43)*($G$96/4)-'Sell-Compute'!$B$41-'Sell-Compute'!$B$44-'Sell-Compute'!$B$45-IF(AND(MOD(D$51,'Sell-Compute'!$C$21)=0,D$51&lt;Rates!$D$71),'Sell-Compute'!$B$34*($G$96/4),0),0)</f>
        <v/>
      </c>
      <c r="E115" s="68">
        <f>IF(E$51&lt;=Rates!$D$71,('Sell-Compute'!$B$40*(1+'Sell-Compute'!$B$50)^MOD(E$51-1,'Sell-Compute'!$C$21)-'Sell-Compute'!$B$42-'Sell-Compute'!$B$43)*($G$96/4)-'Sell-Compute'!$B$41-'Sell-Compute'!$B$44-'Sell-Compute'!$B$45-IF(AND(MOD(E$51,'Sell-Compute'!$C$21)=0,E$51&lt;Rates!$D$71),'Sell-Compute'!$B$34*($G$96/4),0),0)</f>
        <v/>
      </c>
      <c r="F115" s="68">
        <f>IF(F$51&lt;=Rates!$D$71,('Sell-Compute'!$B$40*(1+'Sell-Compute'!$B$50)^MOD(F$51-1,'Sell-Compute'!$C$21)-'Sell-Compute'!$B$42-'Sell-Compute'!$B$43)*($G$96/4)-'Sell-Compute'!$B$41-'Sell-Compute'!$B$44-'Sell-Compute'!$B$45-IF(AND(MOD(F$51,'Sell-Compute'!$C$21)=0,F$51&lt;Rates!$D$71),'Sell-Compute'!$B$34*($G$96/4),0),0)</f>
        <v/>
      </c>
      <c r="G115" s="68">
        <f>IF(G$51&lt;=Rates!$D$71,('Sell-Compute'!$B$40*(1+'Sell-Compute'!$B$50)^MOD(G$51-1,'Sell-Compute'!$C$21)-'Sell-Compute'!$B$42-'Sell-Compute'!$B$43)*($G$96/4)-'Sell-Compute'!$B$41-'Sell-Compute'!$B$44-'Sell-Compute'!$B$45-IF(AND(MOD(G$51,'Sell-Compute'!$C$21)=0,G$51&lt;Rates!$D$71),'Sell-Compute'!$B$34*($G$96/4),0),0)</f>
        <v/>
      </c>
      <c r="H115" s="68">
        <f>IF(H$51&lt;=Rates!$D$71,('Sell-Compute'!$B$40*(1+'Sell-Compute'!$B$50)^MOD(H$51-1,'Sell-Compute'!$C$21)-'Sell-Compute'!$B$42-'Sell-Compute'!$B$43)*($G$96/4)-'Sell-Compute'!$B$41-'Sell-Compute'!$B$44-'Sell-Compute'!$B$45-IF(AND(MOD(H$51,'Sell-Compute'!$C$21)=0,H$51&lt;Rates!$D$71),'Sell-Compute'!$B$34*($G$96/4),0),0)</f>
        <v/>
      </c>
      <c r="I115" s="68">
        <f>IF(I$51&lt;=Rates!$D$71,('Sell-Compute'!$B$40*(1+'Sell-Compute'!$B$50)^MOD(I$51-1,'Sell-Compute'!$C$21)-'Sell-Compute'!$B$42-'Sell-Compute'!$B$43)*($G$96/4)-'Sell-Compute'!$B$41-'Sell-Compute'!$B$44-'Sell-Compute'!$B$45-IF(AND(MOD(I$51,'Sell-Compute'!$C$21)=0,I$51&lt;Rates!$D$71),'Sell-Compute'!$B$34*($G$96/4),0),0)</f>
        <v/>
      </c>
      <c r="J115" s="68">
        <f>IF(J$51&lt;=Rates!$D$71,('Sell-Compute'!$B$40*(1+'Sell-Compute'!$B$50)^MOD(J$51-1,'Sell-Compute'!$C$21)-'Sell-Compute'!$B$42-'Sell-Compute'!$B$43)*($G$96/4)-'Sell-Compute'!$B$41-'Sell-Compute'!$B$44-'Sell-Compute'!$B$45-IF(AND(MOD(J$51,'Sell-Compute'!$C$21)=0,J$51&lt;Rates!$D$71),'Sell-Compute'!$B$34*($G$96/4),0),0)</f>
        <v/>
      </c>
      <c r="K115" s="68">
        <f>IF(K$51&lt;=Rates!$D$71,('Sell-Compute'!$B$40*(1+'Sell-Compute'!$B$50)^MOD(K$51-1,'Sell-Compute'!$C$21)-'Sell-Compute'!$B$42-'Sell-Compute'!$B$43)*($G$96/4)-'Sell-Compute'!$B$41-'Sell-Compute'!$B$44-'Sell-Compute'!$B$45-IF(AND(MOD(K$51,'Sell-Compute'!$C$21)=0,K$51&lt;Rates!$D$71),'Sell-Compute'!$B$34*($G$96/4),0),0)</f>
        <v/>
      </c>
      <c r="L115" s="68">
        <f>IF(L$51&lt;=Rates!$D$71,('Sell-Compute'!$B$40*(1+'Sell-Compute'!$B$50)^MOD(L$51-1,'Sell-Compute'!$C$21)-'Sell-Compute'!$B$42-'Sell-Compute'!$B$43)*($G$96/4)-'Sell-Compute'!$B$41-'Sell-Compute'!$B$44-'Sell-Compute'!$B$45-IF(AND(MOD(L$51,'Sell-Compute'!$C$21)=0,L$51&lt;Rates!$D$71),'Sell-Compute'!$B$34*($G$96/4),0),0)</f>
        <v/>
      </c>
      <c r="M115" s="68">
        <f>IF(M$51&lt;=Rates!$D$71,('Sell-Compute'!$B$40*(1+'Sell-Compute'!$B$50)^MOD(M$51-1,'Sell-Compute'!$C$21)-'Sell-Compute'!$B$42-'Sell-Compute'!$B$43)*($G$96/4)-'Sell-Compute'!$B$41-'Sell-Compute'!$B$44-'Sell-Compute'!$B$45-IF(AND(MOD(M$51,'Sell-Compute'!$C$21)=0,M$51&lt;Rates!$D$71),'Sell-Compute'!$B$34*($G$96/4),0),0)</f>
        <v/>
      </c>
      <c r="N115" s="68">
        <f>IF(N$51&lt;=Rates!$D$71,('Sell-Compute'!$B$40*(1+'Sell-Compute'!$B$50)^MOD(N$51-1,'Sell-Compute'!$C$21)-'Sell-Compute'!$B$42-'Sell-Compute'!$B$43)*($G$96/4)-'Sell-Compute'!$B$41-'Sell-Compute'!$B$44-'Sell-Compute'!$B$45-IF(AND(MOD(N$51,'Sell-Compute'!$C$21)=0,N$51&lt;Rates!$D$71),'Sell-Compute'!$B$34*($G$96/4),0),0)</f>
        <v/>
      </c>
      <c r="O115" s="68">
        <f>IF(O$51&lt;=Rates!$D$71,('Sell-Compute'!$B$40*(1+'Sell-Compute'!$B$50)^MOD(O$51-1,'Sell-Compute'!$C$21)-'Sell-Compute'!$B$42-'Sell-Compute'!$B$43)*($G$96/4)-'Sell-Compute'!$B$41-'Sell-Compute'!$B$44-'Sell-Compute'!$B$45-IF(AND(MOD(O$51,'Sell-Compute'!$C$21)=0,O$51&lt;Rates!$D$71),'Sell-Compute'!$B$34*($G$96/4),0),0)</f>
        <v/>
      </c>
      <c r="P115" s="68">
        <f>IF(P$51&lt;=Rates!$D$71,('Sell-Compute'!$B$40*(1+'Sell-Compute'!$B$50)^MOD(P$51-1,'Sell-Compute'!$C$21)-'Sell-Compute'!$B$42-'Sell-Compute'!$B$43)*($G$96/4)-'Sell-Compute'!$B$41-'Sell-Compute'!$B$44-'Sell-Compute'!$B$45-IF(AND(MOD(P$51,'Sell-Compute'!$C$21)=0,P$51&lt;Rates!$D$71),'Sell-Compute'!$B$34*($G$96/4),0),0)</f>
        <v/>
      </c>
      <c r="Q115" s="68">
        <f>IF(Q$51&lt;=Rates!$D$71,('Sell-Compute'!$B$40*(1+'Sell-Compute'!$B$50)^MOD(Q$51-1,'Sell-Compute'!$C$21)-'Sell-Compute'!$B$42-'Sell-Compute'!$B$43)*($G$96/4)-'Sell-Compute'!$B$41-'Sell-Compute'!$B$44-'Sell-Compute'!$B$45-IF(AND(MOD(Q$51,'Sell-Compute'!$C$21)=0,Q$51&lt;Rates!$D$71),'Sell-Compute'!$B$34*($G$96/4),0),0)</f>
        <v/>
      </c>
      <c r="R115" s="68">
        <f>IF(R$51&lt;=Rates!$D$71,('Sell-Compute'!$B$40*(1+'Sell-Compute'!$B$50)^MOD(R$51-1,'Sell-Compute'!$C$21)-'Sell-Compute'!$B$42-'Sell-Compute'!$B$43)*($G$96/4)-'Sell-Compute'!$B$41-'Sell-Compute'!$B$44-'Sell-Compute'!$B$45-IF(AND(MOD(R$51,'Sell-Compute'!$C$21)=0,R$51&lt;Rates!$D$71),'Sell-Compute'!$B$34*($G$96/4),0),0)</f>
        <v/>
      </c>
      <c r="S115" s="68">
        <f>IF(S$51&lt;=Rates!$D$71,('Sell-Compute'!$B$40*(1+'Sell-Compute'!$B$50)^MOD(S$51-1,'Sell-Compute'!$C$21)-'Sell-Compute'!$B$42-'Sell-Compute'!$B$43)*($G$96/4)-'Sell-Compute'!$B$41-'Sell-Compute'!$B$44-'Sell-Compute'!$B$45-IF(AND(MOD(S$51,'Sell-Compute'!$C$21)=0,S$51&lt;Rates!$D$71),'Sell-Compute'!$B$34*($G$96/4),0),0)</f>
        <v/>
      </c>
      <c r="T115" s="68">
        <f>IF(T$51&lt;=Rates!$D$71,('Sell-Compute'!$B$40*(1+'Sell-Compute'!$B$50)^MOD(T$51-1,'Sell-Compute'!$C$21)-'Sell-Compute'!$B$42-'Sell-Compute'!$B$43)*($G$96/4)-'Sell-Compute'!$B$41-'Sell-Compute'!$B$44-'Sell-Compute'!$B$45-IF(AND(MOD(T$51,'Sell-Compute'!$C$21)=0,T$51&lt;Rates!$D$71),'Sell-Compute'!$B$34*($G$96/4),0),0)</f>
        <v/>
      </c>
      <c r="U115" s="68">
        <f>IF(U$51&lt;=Rates!$D$71,('Sell-Compute'!$B$40*(1+'Sell-Compute'!$B$50)^MOD(U$51-1,'Sell-Compute'!$C$21)-'Sell-Compute'!$B$42-'Sell-Compute'!$B$43)*($G$96/4)-'Sell-Compute'!$B$41-'Sell-Compute'!$B$44-'Sell-Compute'!$B$45-IF(AND(MOD(U$51,'Sell-Compute'!$C$21)=0,U$51&lt;Rates!$D$71),'Sell-Compute'!$B$34*($G$96/4),0),0)</f>
        <v/>
      </c>
      <c r="V115" s="68">
        <f>IF(V$51&lt;=Rates!$D$71,('Sell-Compute'!$B$40*(1+'Sell-Compute'!$B$50)^MOD(V$51-1,'Sell-Compute'!$C$21)-'Sell-Compute'!$B$42-'Sell-Compute'!$B$43)*($G$96/4)-'Sell-Compute'!$B$41-'Sell-Compute'!$B$44-'Sell-Compute'!$B$45-IF(AND(MOD(V$51,'Sell-Compute'!$C$21)=0,V$51&lt;Rates!$D$71),'Sell-Compute'!$B$34*($G$96/4),0),0)</f>
        <v/>
      </c>
      <c r="W115" s="68">
        <f>IF(W$51&lt;=Rates!$D$71,('Sell-Compute'!$B$40*(1+'Sell-Compute'!$B$50)^MOD(W$51-1,'Sell-Compute'!$C$21)-'Sell-Compute'!$B$42-'Sell-Compute'!$B$43)*($G$96/4)-'Sell-Compute'!$B$41-'Sell-Compute'!$B$44-'Sell-Compute'!$B$45-IF(AND(MOD(W$51,'Sell-Compute'!$C$21)=0,W$51&lt;Rates!$D$71),'Sell-Compute'!$B$34*($G$96/4),0),0)</f>
        <v/>
      </c>
      <c r="X115" s="68">
        <f>IF(X$51&lt;=Rates!$D$71,('Sell-Compute'!$B$40*(1+'Sell-Compute'!$B$50)^MOD(X$51-1,'Sell-Compute'!$C$21)-'Sell-Compute'!$B$42-'Sell-Compute'!$B$43)*($G$96/4)-'Sell-Compute'!$B$41-'Sell-Compute'!$B$44-'Sell-Compute'!$B$45-IF(AND(MOD(X$51,'Sell-Compute'!$C$21)=0,X$51&lt;Rates!$D$71),'Sell-Compute'!$B$34*($G$96/4),0),0)</f>
        <v/>
      </c>
      <c r="Y115" s="68">
        <f>IF(Y$51&lt;=Rates!$D$71,('Sell-Compute'!$B$40*(1+'Sell-Compute'!$B$50)^MOD(Y$51-1,'Sell-Compute'!$C$21)-'Sell-Compute'!$B$42-'Sell-Compute'!$B$43)*($G$96/4)-'Sell-Compute'!$B$41-'Sell-Compute'!$B$44-'Sell-Compute'!$B$45-IF(AND(MOD(Y$51,'Sell-Compute'!$C$21)=0,Y$51&lt;Rates!$D$71),'Sell-Compute'!$B$34*($G$96/4),0),0)</f>
        <v/>
      </c>
      <c r="Z115" s="68">
        <f>IF(Z$51&lt;=Rates!$D$71,('Sell-Compute'!$B$40*(1+'Sell-Compute'!$B$50)^MOD(Z$51-1,'Sell-Compute'!$C$21)-'Sell-Compute'!$B$42-'Sell-Compute'!$B$43)*($G$96/4)-'Sell-Compute'!$B$41-'Sell-Compute'!$B$44-'Sell-Compute'!$B$45-IF(AND(MOD(Z$51,'Sell-Compute'!$C$21)=0,Z$51&lt;Rates!$D$71),'Sell-Compute'!$B$34*($G$96/4),0),0)</f>
        <v/>
      </c>
      <c r="AA115" s="68">
        <f>IF(AA$51&lt;=Rates!$D$71,('Sell-Compute'!$B$40*(1+'Sell-Compute'!$B$50)^MOD(AA$51-1,'Sell-Compute'!$C$21)-'Sell-Compute'!$B$42-'Sell-Compute'!$B$43)*($G$96/4)-'Sell-Compute'!$B$41-'Sell-Compute'!$B$44-'Sell-Compute'!$B$45-IF(AND(MOD(AA$51,'Sell-Compute'!$C$21)=0,AA$51&lt;Rates!$D$71),'Sell-Compute'!$B$34*($G$96/4),0),0)</f>
        <v/>
      </c>
      <c r="AB115" s="68">
        <f>IF(AB$51&lt;=Rates!$D$71,('Sell-Compute'!$B$40*(1+'Sell-Compute'!$B$50)^MOD(AB$51-1,'Sell-Compute'!$C$21)-'Sell-Compute'!$B$42-'Sell-Compute'!$B$43)*($G$96/4)-'Sell-Compute'!$B$41-'Sell-Compute'!$B$44-'Sell-Compute'!$B$45-IF(AND(MOD(AB$51,'Sell-Compute'!$C$21)=0,AB$51&lt;Rates!$D$71),'Sell-Compute'!$B$34*($G$96/4),0),0)</f>
        <v/>
      </c>
    </row>
    <row r="116">
      <c r="A116" s="68" t="inlineStr">
        <is>
          <t>(c) Build fewer modules | colo</t>
        </is>
      </c>
      <c r="C116" s="68">
        <f>-'Sell-Compute'!$I$36+(1-($G$96/4))*('AU-Route'!$B$31*(1+Control!$B$13))</f>
        <v/>
      </c>
      <c r="D116" s="68">
        <f>IF(D$51&lt;=Rates!$D$71,'Sell-Compute'!$I$46-'Sell-Compute'!$I$40*(1-($G$96/4)),0)</f>
        <v/>
      </c>
      <c r="E116" s="68">
        <f>IF(E$51&lt;=Rates!$D$71,'Sell-Compute'!$I$46-'Sell-Compute'!$I$40*(1-($G$96/4)),0)</f>
        <v/>
      </c>
      <c r="F116" s="68">
        <f>IF(F$51&lt;=Rates!$D$71,'Sell-Compute'!$I$46-'Sell-Compute'!$I$40*(1-($G$96/4)),0)</f>
        <v/>
      </c>
      <c r="G116" s="68">
        <f>IF(G$51&lt;=Rates!$D$71,'Sell-Compute'!$I$46-'Sell-Compute'!$I$40*(1-($G$96/4)),0)</f>
        <v/>
      </c>
      <c r="H116" s="68">
        <f>IF(H$51&lt;=Rates!$D$71,'Sell-Compute'!$I$46-'Sell-Compute'!$I$40*(1-($G$96/4)),0)</f>
        <v/>
      </c>
      <c r="I116" s="68">
        <f>IF(I$51&lt;=Rates!$D$71,'Sell-Compute'!$I$46-'Sell-Compute'!$I$40*(1-($G$96/4)),0)</f>
        <v/>
      </c>
      <c r="J116" s="68">
        <f>IF(J$51&lt;=Rates!$D$71,'Sell-Compute'!$I$46-'Sell-Compute'!$I$40*(1-($G$96/4)),0)</f>
        <v/>
      </c>
      <c r="K116" s="68">
        <f>IF(K$51&lt;=Rates!$D$71,'Sell-Compute'!$I$46-'Sell-Compute'!$I$40*(1-($G$96/4)),0)</f>
        <v/>
      </c>
      <c r="L116" s="68">
        <f>IF(L$51&lt;=Rates!$D$71,'Sell-Compute'!$I$46-'Sell-Compute'!$I$40*(1-($G$96/4)),0)</f>
        <v/>
      </c>
      <c r="M116" s="68">
        <f>IF(M$51&lt;=Rates!$D$71,'Sell-Compute'!$I$46-'Sell-Compute'!$I$40*(1-($G$96/4)),0)</f>
        <v/>
      </c>
      <c r="N116" s="68">
        <f>IF(N$51&lt;=Rates!$D$71,'Sell-Compute'!$I$46-'Sell-Compute'!$I$40*(1-($G$96/4)),0)</f>
        <v/>
      </c>
      <c r="O116" s="68">
        <f>IF(O$51&lt;=Rates!$D$71,'Sell-Compute'!$I$46-'Sell-Compute'!$I$40*(1-($G$96/4)),0)</f>
        <v/>
      </c>
      <c r="P116" s="68">
        <f>IF(P$51&lt;=Rates!$D$71,'Sell-Compute'!$I$46-'Sell-Compute'!$I$40*(1-($G$96/4)),0)</f>
        <v/>
      </c>
      <c r="Q116" s="68">
        <f>IF(Q$51&lt;=Rates!$D$71,'Sell-Compute'!$I$46-'Sell-Compute'!$I$40*(1-($G$96/4)),0)</f>
        <v/>
      </c>
      <c r="R116" s="68">
        <f>IF(R$51&lt;=Rates!$D$71,'Sell-Compute'!$I$46-'Sell-Compute'!$I$40*(1-($G$96/4)),0)</f>
        <v/>
      </c>
      <c r="S116" s="68">
        <f>IF(S$51&lt;=Rates!$D$71,'Sell-Compute'!$I$46-'Sell-Compute'!$I$40*(1-($G$96/4)),0)</f>
        <v/>
      </c>
      <c r="T116" s="68">
        <f>IF(T$51&lt;=Rates!$D$71,'Sell-Compute'!$I$46-'Sell-Compute'!$I$40*(1-($G$96/4)),0)</f>
        <v/>
      </c>
      <c r="U116" s="68">
        <f>IF(U$51&lt;=Rates!$D$71,'Sell-Compute'!$I$46-'Sell-Compute'!$I$40*(1-($G$96/4)),0)</f>
        <v/>
      </c>
      <c r="V116" s="68">
        <f>IF(V$51&lt;=Rates!$D$71,'Sell-Compute'!$I$46-'Sell-Compute'!$I$40*(1-($G$96/4)),0)</f>
        <v/>
      </c>
      <c r="W116" s="68">
        <f>IF(W$51&lt;=Rates!$D$71,'Sell-Compute'!$I$46-'Sell-Compute'!$I$40*(1-($G$96/4)),0)</f>
        <v/>
      </c>
      <c r="X116" s="68">
        <f>IF(X$51&lt;=Rates!$D$71,'Sell-Compute'!$I$46-'Sell-Compute'!$I$40*(1-($G$96/4)),0)</f>
        <v/>
      </c>
      <c r="Y116" s="68">
        <f>IF(Y$51&lt;=Rates!$D$71,'Sell-Compute'!$I$46-'Sell-Compute'!$I$40*(1-($G$96/4)),0)</f>
        <v/>
      </c>
      <c r="Z116" s="68">
        <f>IF(Z$51&lt;=Rates!$D$71,'Sell-Compute'!$I$46-'Sell-Compute'!$I$40*(1-($G$96/4)),0)</f>
        <v/>
      </c>
      <c r="AA116" s="68">
        <f>IF(AA$51&lt;=Rates!$D$71,'Sell-Compute'!$I$46-'Sell-Compute'!$I$40*(1-($G$96/4)),0)</f>
        <v/>
      </c>
      <c r="AB116" s="68">
        <f>IF(AB$51&lt;=Rates!$D$71,'Sell-Compute'!$I$46-'Sell-Compute'!$I$40*(1-($G$96/4)),0)</f>
        <v/>
      </c>
    </row>
    <row r="117"/>
    <row r="118">
      <c r="A118" s="68" t="inlineStr">
        <is>
          <t>rate: Intermediate 2.0 degC/yr (ASSUMPTION)</t>
        </is>
      </c>
      <c r="B118" s="123">
        <f>2</f>
        <v/>
      </c>
      <c r="D118" s="68" t="inlineStr">
        <is>
          <t>k (a)</t>
        </is>
      </c>
      <c r="E118" s="68">
        <f>IF(AA$119&lt;=0,"not feasible",MAX(0,CEILING(Decline!$C$20/AA$119-1E-9,1)-Decline!$C$19))</f>
        <v/>
      </c>
      <c r="F118" s="68" t="inlineStr">
        <is>
          <t>N (c)</t>
        </is>
      </c>
      <c r="G118" s="68">
        <f>MAX(0,MIN(4,INT(MIN(Decline!$C$20,Decline!$C$19*MAX(0,AA$119))*Decline!$C$21/Decline!$C$22+1E-9)))</f>
        <v/>
      </c>
    </row>
    <row r="119">
      <c r="A119" s="68" t="inlineStr">
        <is>
          <t>capability per producer by age (MW net)</t>
        </is>
      </c>
      <c r="C119" s="68">
        <f>(Rates!$D$66*((Decline!$C$15-$B$118*C$51)-Decline!$C$16-(Decline!$C$16+273.15)*LN(((Decline!$C$15-$B$118*C$51)+273.15)/(Decline!$C$16+273.15)))/Decline!$C$23*Decline!$C$24-Decline!$C$25)</f>
        <v/>
      </c>
      <c r="D119" s="68">
        <f>(Rates!$D$66*((Decline!$C$15-$B$118*D$51)-Decline!$C$16-(Decline!$C$16+273.15)*LN(((Decline!$C$15-$B$118*D$51)+273.15)/(Decline!$C$16+273.15)))/Decline!$C$23*Decline!$C$24-Decline!$C$25)</f>
        <v/>
      </c>
      <c r="E119" s="68">
        <f>(Rates!$D$66*((Decline!$C$15-$B$118*E$51)-Decline!$C$16-(Decline!$C$16+273.15)*LN(((Decline!$C$15-$B$118*E$51)+273.15)/(Decline!$C$16+273.15)))/Decline!$C$23*Decline!$C$24-Decline!$C$25)</f>
        <v/>
      </c>
      <c r="F119" s="68">
        <f>(Rates!$D$66*((Decline!$C$15-$B$118*F$51)-Decline!$C$16-(Decline!$C$16+273.15)*LN(((Decline!$C$15-$B$118*F$51)+273.15)/(Decline!$C$16+273.15)))/Decline!$C$23*Decline!$C$24-Decline!$C$25)</f>
        <v/>
      </c>
      <c r="G119" s="68">
        <f>(Rates!$D$66*((Decline!$C$15-$B$118*G$51)-Decline!$C$16-(Decline!$C$16+273.15)*LN(((Decline!$C$15-$B$118*G$51)+273.15)/(Decline!$C$16+273.15)))/Decline!$C$23*Decline!$C$24-Decline!$C$25)</f>
        <v/>
      </c>
      <c r="H119" s="68">
        <f>(Rates!$D$66*((Decline!$C$15-$B$118*H$51)-Decline!$C$16-(Decline!$C$16+273.15)*LN(((Decline!$C$15-$B$118*H$51)+273.15)/(Decline!$C$16+273.15)))/Decline!$C$23*Decline!$C$24-Decline!$C$25)</f>
        <v/>
      </c>
      <c r="I119" s="68">
        <f>(Rates!$D$66*((Decline!$C$15-$B$118*I$51)-Decline!$C$16-(Decline!$C$16+273.15)*LN(((Decline!$C$15-$B$118*I$51)+273.15)/(Decline!$C$16+273.15)))/Decline!$C$23*Decline!$C$24-Decline!$C$25)</f>
        <v/>
      </c>
      <c r="J119" s="68">
        <f>(Rates!$D$66*((Decline!$C$15-$B$118*J$51)-Decline!$C$16-(Decline!$C$16+273.15)*LN(((Decline!$C$15-$B$118*J$51)+273.15)/(Decline!$C$16+273.15)))/Decline!$C$23*Decline!$C$24-Decline!$C$25)</f>
        <v/>
      </c>
      <c r="K119" s="68">
        <f>(Rates!$D$66*((Decline!$C$15-$B$118*K$51)-Decline!$C$16-(Decline!$C$16+273.15)*LN(((Decline!$C$15-$B$118*K$51)+273.15)/(Decline!$C$16+273.15)))/Decline!$C$23*Decline!$C$24-Decline!$C$25)</f>
        <v/>
      </c>
      <c r="L119" s="68">
        <f>(Rates!$D$66*((Decline!$C$15-$B$118*L$51)-Decline!$C$16-(Decline!$C$16+273.15)*LN(((Decline!$C$15-$B$118*L$51)+273.15)/(Decline!$C$16+273.15)))/Decline!$C$23*Decline!$C$24-Decline!$C$25)</f>
        <v/>
      </c>
      <c r="M119" s="68">
        <f>(Rates!$D$66*((Decline!$C$15-$B$118*M$51)-Decline!$C$16-(Decline!$C$16+273.15)*LN(((Decline!$C$15-$B$118*M$51)+273.15)/(Decline!$C$16+273.15)))/Decline!$C$23*Decline!$C$24-Decline!$C$25)</f>
        <v/>
      </c>
      <c r="N119" s="68">
        <f>(Rates!$D$66*((Decline!$C$15-$B$118*N$51)-Decline!$C$16-(Decline!$C$16+273.15)*LN(((Decline!$C$15-$B$118*N$51)+273.15)/(Decline!$C$16+273.15)))/Decline!$C$23*Decline!$C$24-Decline!$C$25)</f>
        <v/>
      </c>
      <c r="O119" s="68">
        <f>(Rates!$D$66*((Decline!$C$15-$B$118*O$51)-Decline!$C$16-(Decline!$C$16+273.15)*LN(((Decline!$C$15-$B$118*O$51)+273.15)/(Decline!$C$16+273.15)))/Decline!$C$23*Decline!$C$24-Decline!$C$25)</f>
        <v/>
      </c>
      <c r="P119" s="68">
        <f>(Rates!$D$66*((Decline!$C$15-$B$118*P$51)-Decline!$C$16-(Decline!$C$16+273.15)*LN(((Decline!$C$15-$B$118*P$51)+273.15)/(Decline!$C$16+273.15)))/Decline!$C$23*Decline!$C$24-Decline!$C$25)</f>
        <v/>
      </c>
      <c r="Q119" s="68">
        <f>(Rates!$D$66*((Decline!$C$15-$B$118*Q$51)-Decline!$C$16-(Decline!$C$16+273.15)*LN(((Decline!$C$15-$B$118*Q$51)+273.15)/(Decline!$C$16+273.15)))/Decline!$C$23*Decline!$C$24-Decline!$C$25)</f>
        <v/>
      </c>
      <c r="R119" s="68">
        <f>(Rates!$D$66*((Decline!$C$15-$B$118*R$51)-Decline!$C$16-(Decline!$C$16+273.15)*LN(((Decline!$C$15-$B$118*R$51)+273.15)/(Decline!$C$16+273.15)))/Decline!$C$23*Decline!$C$24-Decline!$C$25)</f>
        <v/>
      </c>
      <c r="S119" s="68">
        <f>(Rates!$D$66*((Decline!$C$15-$B$118*S$51)-Decline!$C$16-(Decline!$C$16+273.15)*LN(((Decline!$C$15-$B$118*S$51)+273.15)/(Decline!$C$16+273.15)))/Decline!$C$23*Decline!$C$24-Decline!$C$25)</f>
        <v/>
      </c>
      <c r="T119" s="68">
        <f>(Rates!$D$66*((Decline!$C$15-$B$118*T$51)-Decline!$C$16-(Decline!$C$16+273.15)*LN(((Decline!$C$15-$B$118*T$51)+273.15)/(Decline!$C$16+273.15)))/Decline!$C$23*Decline!$C$24-Decline!$C$25)</f>
        <v/>
      </c>
      <c r="U119" s="68">
        <f>(Rates!$D$66*((Decline!$C$15-$B$118*U$51)-Decline!$C$16-(Decline!$C$16+273.15)*LN(((Decline!$C$15-$B$118*U$51)+273.15)/(Decline!$C$16+273.15)))/Decline!$C$23*Decline!$C$24-Decline!$C$25)</f>
        <v/>
      </c>
      <c r="V119" s="68">
        <f>(Rates!$D$66*((Decline!$C$15-$B$118*V$51)-Decline!$C$16-(Decline!$C$16+273.15)*LN(((Decline!$C$15-$B$118*V$51)+273.15)/(Decline!$C$16+273.15)))/Decline!$C$23*Decline!$C$24-Decline!$C$25)</f>
        <v/>
      </c>
      <c r="W119" s="68">
        <f>(Rates!$D$66*((Decline!$C$15-$B$118*W$51)-Decline!$C$16-(Decline!$C$16+273.15)*LN(((Decline!$C$15-$B$118*W$51)+273.15)/(Decline!$C$16+273.15)))/Decline!$C$23*Decline!$C$24-Decline!$C$25)</f>
        <v/>
      </c>
      <c r="X119" s="68">
        <f>(Rates!$D$66*((Decline!$C$15-$B$118*X$51)-Decline!$C$16-(Decline!$C$16+273.15)*LN(((Decline!$C$15-$B$118*X$51)+273.15)/(Decline!$C$16+273.15)))/Decline!$C$23*Decline!$C$24-Decline!$C$25)</f>
        <v/>
      </c>
      <c r="Y119" s="68">
        <f>(Rates!$D$66*((Decline!$C$15-$B$118*Y$51)-Decline!$C$16-(Decline!$C$16+273.15)*LN(((Decline!$C$15-$B$118*Y$51)+273.15)/(Decline!$C$16+273.15)))/Decline!$C$23*Decline!$C$24-Decline!$C$25)</f>
        <v/>
      </c>
      <c r="Z119" s="68">
        <f>(Rates!$D$66*((Decline!$C$15-$B$118*Z$51)-Decline!$C$16-(Decline!$C$16+273.15)*LN(((Decline!$C$15-$B$118*Z$51)+273.15)/(Decline!$C$16+273.15)))/Decline!$C$23*Decline!$C$24-Decline!$C$25)</f>
        <v/>
      </c>
      <c r="AA119" s="68">
        <f>(Rates!$D$66*((Decline!$C$15-$B$118*AA$51)-Decline!$C$16-(Decline!$C$16+273.15)*LN(((Decline!$C$15-$B$118*AA$51)+273.15)/(Decline!$C$16+273.15)))/Decline!$C$23*Decline!$C$24-Decline!$C$25)</f>
        <v/>
      </c>
      <c r="AB119" s="68">
        <f>(Rates!$D$66*((Decline!$C$15-$B$118*AB$51)-Decline!$C$16-(Decline!$C$16+273.15)*LN(((Decline!$C$15-$B$118*AB$51)+273.15)/(Decline!$C$16+273.15)))/Decline!$C$23*Decline!$C$24-Decline!$C$25)</f>
        <v/>
      </c>
    </row>
    <row r="120">
      <c r="A120" s="68" t="inlineStr">
        <is>
          <t>(b) capability before new wells</t>
        </is>
      </c>
      <c r="D120" s="68">
        <f>Decline!$C$19*C$119</f>
        <v/>
      </c>
      <c r="E120" s="68">
        <f>Decline!$C$19*D$119</f>
        <v/>
      </c>
      <c r="F120" s="68">
        <f>Decline!$C$19*E$119+E121*D$119</f>
        <v/>
      </c>
      <c r="G120" s="68">
        <f>Decline!$C$19*F$119+E121*E$119+F121*D$119</f>
        <v/>
      </c>
      <c r="H120" s="68">
        <f>Decline!$C$19*G$119+E121*F$119+F121*E$119+G121*D$119</f>
        <v/>
      </c>
      <c r="I120" s="68">
        <f>Decline!$C$19*H$119+E121*G$119+F121*F$119+G121*E$119+H121*D$119</f>
        <v/>
      </c>
      <c r="J120" s="68">
        <f>Decline!$C$19*I$119+E121*H$119+F121*G$119+G121*F$119+H121*E$119+I121*D$119</f>
        <v/>
      </c>
      <c r="K120" s="68">
        <f>Decline!$C$19*J$119+E121*I$119+F121*H$119+G121*G$119+H121*F$119+I121*E$119+J121*D$119</f>
        <v/>
      </c>
      <c r="L120" s="68">
        <f>Decline!$C$19*K$119+E121*J$119+F121*I$119+G121*H$119+H121*G$119+I121*F$119+J121*E$119+K121*D$119</f>
        <v/>
      </c>
      <c r="M120" s="68">
        <f>Decline!$C$19*L$119+E121*K$119+F121*J$119+G121*I$119+H121*H$119+I121*G$119+J121*F$119+K121*E$119+L121*D$119</f>
        <v/>
      </c>
      <c r="N120" s="68">
        <f>Decline!$C$19*M$119+E121*L$119+F121*K$119+G121*J$119+H121*I$119+I121*H$119+J121*G$119+K121*F$119+L121*E$119+M121*D$119</f>
        <v/>
      </c>
      <c r="O120" s="68">
        <f>Decline!$C$19*N$119+E121*M$119+F121*L$119+G121*K$119+H121*J$119+I121*I$119+J121*H$119+K121*G$119+L121*F$119+M121*E$119+N121*D$119</f>
        <v/>
      </c>
      <c r="P120" s="68">
        <f>Decline!$C$19*O$119+E121*N$119+F121*M$119+G121*L$119+H121*K$119+I121*J$119+J121*I$119+K121*H$119+L121*G$119+M121*F$119+N121*E$119+O121*D$119</f>
        <v/>
      </c>
      <c r="Q120" s="68">
        <f>Decline!$C$19*P$119+E121*O$119+F121*N$119+G121*M$119+H121*L$119+I121*K$119+J121*J$119+K121*I$119+L121*H$119+M121*G$119+N121*F$119+O121*E$119+P121*D$119</f>
        <v/>
      </c>
      <c r="R120" s="68">
        <f>Decline!$C$19*Q$119+E121*P$119+F121*O$119+G121*N$119+H121*M$119+I121*L$119+J121*K$119+K121*J$119+L121*I$119+M121*H$119+N121*G$119+O121*F$119+P121*E$119+Q121*D$119</f>
        <v/>
      </c>
      <c r="S120" s="68">
        <f>Decline!$C$19*R$119+E121*Q$119+F121*P$119+G121*O$119+H121*N$119+I121*M$119+J121*L$119+K121*K$119+L121*J$119+M121*I$119+N121*H$119+O121*G$119+P121*F$119+Q121*E$119+R121*D$119</f>
        <v/>
      </c>
      <c r="T120" s="68">
        <f>Decline!$C$19*S$119+E121*R$119+F121*Q$119+G121*P$119+H121*O$119+I121*N$119+J121*M$119+K121*L$119+L121*K$119+M121*J$119+N121*I$119+O121*H$119+P121*G$119+Q121*F$119+R121*E$119+S121*D$119</f>
        <v/>
      </c>
      <c r="U120" s="68">
        <f>Decline!$C$19*T$119+E121*S$119+F121*R$119+G121*Q$119+H121*P$119+I121*O$119+J121*N$119+K121*M$119+L121*L$119+M121*K$119+N121*J$119+O121*I$119+P121*H$119+Q121*G$119+R121*F$119+S121*E$119+T121*D$119</f>
        <v/>
      </c>
      <c r="V120" s="68">
        <f>Decline!$C$19*U$119+E121*T$119+F121*S$119+G121*R$119+H121*Q$119+I121*P$119+J121*O$119+K121*N$119+L121*M$119+M121*L$119+N121*K$119+O121*J$119+P121*I$119+Q121*H$119+R121*G$119+S121*F$119+T121*E$119+U121*D$119</f>
        <v/>
      </c>
      <c r="W120" s="68">
        <f>Decline!$C$19*V$119+E121*U$119+F121*T$119+G121*S$119+H121*R$119+I121*Q$119+J121*P$119+K121*O$119+L121*N$119+M121*M$119+N121*L$119+O121*K$119+P121*J$119+Q121*I$119+R121*H$119+S121*G$119+T121*F$119+U121*E$119+V121*D$119</f>
        <v/>
      </c>
      <c r="X120" s="68">
        <f>Decline!$C$19*W$119+E121*V$119+F121*U$119+G121*T$119+H121*S$119+I121*R$119+J121*Q$119+K121*P$119+L121*O$119+M121*N$119+N121*M$119+O121*L$119+P121*K$119+Q121*J$119+R121*I$119+S121*H$119+T121*G$119+U121*F$119+V121*E$119+W121*D$119</f>
        <v/>
      </c>
      <c r="Y120" s="68">
        <f>Decline!$C$19*X$119+E121*W$119+F121*V$119+G121*U$119+H121*T$119+I121*S$119+J121*R$119+K121*Q$119+L121*P$119+M121*O$119+N121*N$119+O121*M$119+P121*L$119+Q121*K$119+R121*J$119+S121*I$119+T121*H$119+U121*G$119+V121*F$119+W121*E$119+X121*D$119</f>
        <v/>
      </c>
      <c r="Z120" s="68">
        <f>Decline!$C$19*Y$119+E121*X$119+F121*W$119+G121*V$119+H121*U$119+I121*T$119+J121*S$119+K121*R$119+L121*Q$119+M121*P$119+N121*O$119+O121*N$119+P121*M$119+Q121*L$119+R121*K$119+S121*J$119+T121*I$119+U121*H$119+V121*G$119+W121*F$119+X121*E$119+Y121*D$119</f>
        <v/>
      </c>
      <c r="AA120" s="68">
        <f>Decline!$C$19*Z$119+E121*Y$119+F121*X$119+G121*W$119+H121*V$119+I121*U$119+J121*T$119+K121*S$119+L121*R$119+M121*Q$119+N121*P$119+O121*O$119+P121*N$119+Q121*M$119+R121*L$119+S121*K$119+T121*J$119+U121*I$119+V121*H$119+W121*G$119+X121*F$119+Y121*E$119+Z121*D$119</f>
        <v/>
      </c>
      <c r="AB120" s="68">
        <f>Decline!$C$19*AA$119+E121*Z$119+F121*Y$119+G121*X$119+H121*W$119+I121*V$119+J121*U$119+K121*T$119+L121*S$119+M121*R$119+N121*Q$119+O121*P$119+P121*O$119+Q121*N$119+R121*M$119+S121*L$119+T121*K$119+U121*J$119+V121*I$119+W121*H$119+X121*G$119+Y121*F$119+Z121*E$119+AA121*D$119</f>
        <v/>
      </c>
    </row>
    <row r="121">
      <c r="A121" s="68" t="inlineStr">
        <is>
          <t>(b) doublets online this year</t>
        </is>
      </c>
      <c r="C121" s="68" t="n">
        <v>0</v>
      </c>
      <c r="D121" s="68" t="n">
        <v>0</v>
      </c>
      <c r="E121" s="68">
        <f>IF(E120&lt;Decline!$C$20-1E-9,IF(C$119&lt;=0,0,CEILING((Decline!$C$20-E120)/C$119,1)),0)</f>
        <v/>
      </c>
      <c r="F121" s="68">
        <f>IF(F120&lt;Decline!$C$20-1E-9,IF(C$119&lt;=0,0,CEILING((Decline!$C$20-F120)/C$119,1)),0)</f>
        <v/>
      </c>
      <c r="G121" s="68">
        <f>IF(G120&lt;Decline!$C$20-1E-9,IF(C$119&lt;=0,0,CEILING((Decline!$C$20-G120)/C$119,1)),0)</f>
        <v/>
      </c>
      <c r="H121" s="68">
        <f>IF(H120&lt;Decline!$C$20-1E-9,IF(C$119&lt;=0,0,CEILING((Decline!$C$20-H120)/C$119,1)),0)</f>
        <v/>
      </c>
      <c r="I121" s="68">
        <f>IF(I120&lt;Decline!$C$20-1E-9,IF(C$119&lt;=0,0,CEILING((Decline!$C$20-I120)/C$119,1)),0)</f>
        <v/>
      </c>
      <c r="J121" s="68">
        <f>IF(J120&lt;Decline!$C$20-1E-9,IF(C$119&lt;=0,0,CEILING((Decline!$C$20-J120)/C$119,1)),0)</f>
        <v/>
      </c>
      <c r="K121" s="68">
        <f>IF(K120&lt;Decline!$C$20-1E-9,IF(C$119&lt;=0,0,CEILING((Decline!$C$20-K120)/C$119,1)),0)</f>
        <v/>
      </c>
      <c r="L121" s="68">
        <f>IF(L120&lt;Decline!$C$20-1E-9,IF(C$119&lt;=0,0,CEILING((Decline!$C$20-L120)/C$119,1)),0)</f>
        <v/>
      </c>
      <c r="M121" s="68">
        <f>IF(M120&lt;Decline!$C$20-1E-9,IF(C$119&lt;=0,0,CEILING((Decline!$C$20-M120)/C$119,1)),0)</f>
        <v/>
      </c>
      <c r="N121" s="68">
        <f>IF(N120&lt;Decline!$C$20-1E-9,IF(C$119&lt;=0,0,CEILING((Decline!$C$20-N120)/C$119,1)),0)</f>
        <v/>
      </c>
      <c r="O121" s="68">
        <f>IF(O120&lt;Decline!$C$20-1E-9,IF(C$119&lt;=0,0,CEILING((Decline!$C$20-O120)/C$119,1)),0)</f>
        <v/>
      </c>
      <c r="P121" s="68">
        <f>IF(P120&lt;Decline!$C$20-1E-9,IF(C$119&lt;=0,0,CEILING((Decline!$C$20-P120)/C$119,1)),0)</f>
        <v/>
      </c>
      <c r="Q121" s="68">
        <f>IF(Q120&lt;Decline!$C$20-1E-9,IF(C$119&lt;=0,0,CEILING((Decline!$C$20-Q120)/C$119,1)),0)</f>
        <v/>
      </c>
      <c r="R121" s="68">
        <f>IF(R120&lt;Decline!$C$20-1E-9,IF(C$119&lt;=0,0,CEILING((Decline!$C$20-R120)/C$119,1)),0)</f>
        <v/>
      </c>
      <c r="S121" s="68">
        <f>IF(S120&lt;Decline!$C$20-1E-9,IF(C$119&lt;=0,0,CEILING((Decline!$C$20-S120)/C$119,1)),0)</f>
        <v/>
      </c>
      <c r="T121" s="68">
        <f>IF(T120&lt;Decline!$C$20-1E-9,IF(C$119&lt;=0,0,CEILING((Decline!$C$20-T120)/C$119,1)),0)</f>
        <v/>
      </c>
      <c r="U121" s="68">
        <f>IF(U120&lt;Decline!$C$20-1E-9,IF(C$119&lt;=0,0,CEILING((Decline!$C$20-U120)/C$119,1)),0)</f>
        <v/>
      </c>
      <c r="V121" s="68">
        <f>IF(V120&lt;Decline!$C$20-1E-9,IF(C$119&lt;=0,0,CEILING((Decline!$C$20-V120)/C$119,1)),0)</f>
        <v/>
      </c>
      <c r="W121" s="68">
        <f>IF(W120&lt;Decline!$C$20-1E-9,IF(C$119&lt;=0,0,CEILING((Decline!$C$20-W120)/C$119,1)),0)</f>
        <v/>
      </c>
      <c r="X121" s="68">
        <f>IF(X120&lt;Decline!$C$20-1E-9,IF(C$119&lt;=0,0,CEILING((Decline!$C$20-X120)/C$119,1)),0)</f>
        <v/>
      </c>
      <c r="Y121" s="68">
        <f>IF(Y120&lt;Decline!$C$20-1E-9,IF(C$119&lt;=0,0,CEILING((Decline!$C$20-Y120)/C$119,1)),0)</f>
        <v/>
      </c>
      <c r="Z121" s="68">
        <f>IF(Z120&lt;Decline!$C$20-1E-9,IF(C$119&lt;=0,0,CEILING((Decline!$C$20-Z120)/C$119,1)),0)</f>
        <v/>
      </c>
      <c r="AA121" s="68">
        <f>IF(AA120&lt;Decline!$C$20-1E-9,IF(C$119&lt;=0,0,CEILING((Decline!$C$20-AA120)/C$119,1)),0)</f>
        <v/>
      </c>
      <c r="AB121" s="68">
        <f>IF(AB120&lt;Decline!$C$20-1E-9,IF(C$119&lt;=0,0,CEILING((Decline!$C$20-AB120)/C$119,1)),0)</f>
        <v/>
      </c>
    </row>
    <row r="122">
      <c r="A122" s="68" t="inlineStr">
        <is>
          <t>(b) capability after</t>
        </is>
      </c>
      <c r="D122" s="68">
        <f>D120+D121*C$119</f>
        <v/>
      </c>
      <c r="E122" s="68">
        <f>E120+E121*C$119</f>
        <v/>
      </c>
      <c r="F122" s="68">
        <f>F120+F121*C$119</f>
        <v/>
      </c>
      <c r="G122" s="68">
        <f>G120+G121*C$119</f>
        <v/>
      </c>
      <c r="H122" s="68">
        <f>H120+H121*C$119</f>
        <v/>
      </c>
      <c r="I122" s="68">
        <f>I120+I121*C$119</f>
        <v/>
      </c>
      <c r="J122" s="68">
        <f>J120+J121*C$119</f>
        <v/>
      </c>
      <c r="K122" s="68">
        <f>K120+K121*C$119</f>
        <v/>
      </c>
      <c r="L122" s="68">
        <f>L120+L121*C$119</f>
        <v/>
      </c>
      <c r="M122" s="68">
        <f>M120+M121*C$119</f>
        <v/>
      </c>
      <c r="N122" s="68">
        <f>N120+N121*C$119</f>
        <v/>
      </c>
      <c r="O122" s="68">
        <f>O120+O121*C$119</f>
        <v/>
      </c>
      <c r="P122" s="68">
        <f>P120+P121*C$119</f>
        <v/>
      </c>
      <c r="Q122" s="68">
        <f>Q120+Q121*C$119</f>
        <v/>
      </c>
      <c r="R122" s="68">
        <f>R120+R121*C$119</f>
        <v/>
      </c>
      <c r="S122" s="68">
        <f>S120+S121*C$119</f>
        <v/>
      </c>
      <c r="T122" s="68">
        <f>T120+T121*C$119</f>
        <v/>
      </c>
      <c r="U122" s="68">
        <f>U120+U121*C$119</f>
        <v/>
      </c>
      <c r="V122" s="68">
        <f>V120+V121*C$119</f>
        <v/>
      </c>
      <c r="W122" s="68">
        <f>W120+W121*C$119</f>
        <v/>
      </c>
      <c r="X122" s="68">
        <f>X120+X121*C$119</f>
        <v/>
      </c>
      <c r="Y122" s="68">
        <f>Y120+Y121*C$119</f>
        <v/>
      </c>
      <c r="Z122" s="68">
        <f>Z120+Z121*C$119</f>
        <v/>
      </c>
      <c r="AA122" s="68">
        <f>AA120+AA121*C$119</f>
        <v/>
      </c>
      <c r="AB122" s="68">
        <f>AB120+AB121*C$119</f>
        <v/>
      </c>
    </row>
    <row r="123">
      <c r="A123" s="68" t="inlineStr">
        <is>
          <t>(b) make-up capex (spent the year before)</t>
        </is>
      </c>
      <c r="C123" s="68">
        <f>IF(D121&gt;0,D121*(2*($C$11+$C$12)*(1+$C$14))+($C$13*(1+$C$14)),0)</f>
        <v/>
      </c>
      <c r="D123" s="68">
        <f>IF(E121&gt;0,E121*(2*($C$11+$C$12)*(1+$C$14))+($C$13*(1+$C$14)),0)</f>
        <v/>
      </c>
      <c r="E123" s="68">
        <f>IF(F121&gt;0,F121*(2*($C$11+$C$12)*(1+$C$14))+($C$13*(1+$C$14)),0)</f>
        <v/>
      </c>
      <c r="F123" s="68">
        <f>IF(G121&gt;0,G121*(2*($C$11+$C$12)*(1+$C$14))+($C$13*(1+$C$14)),0)</f>
        <v/>
      </c>
      <c r="G123" s="68">
        <f>IF(H121&gt;0,H121*(2*($C$11+$C$12)*(1+$C$14))+($C$13*(1+$C$14)),0)</f>
        <v/>
      </c>
      <c r="H123" s="68">
        <f>IF(I121&gt;0,I121*(2*($C$11+$C$12)*(1+$C$14))+($C$13*(1+$C$14)),0)</f>
        <v/>
      </c>
      <c r="I123" s="68">
        <f>IF(J121&gt;0,J121*(2*($C$11+$C$12)*(1+$C$14))+($C$13*(1+$C$14)),0)</f>
        <v/>
      </c>
      <c r="J123" s="68">
        <f>IF(K121&gt;0,K121*(2*($C$11+$C$12)*(1+$C$14))+($C$13*(1+$C$14)),0)</f>
        <v/>
      </c>
      <c r="K123" s="68">
        <f>IF(L121&gt;0,L121*(2*($C$11+$C$12)*(1+$C$14))+($C$13*(1+$C$14)),0)</f>
        <v/>
      </c>
      <c r="L123" s="68">
        <f>IF(M121&gt;0,M121*(2*($C$11+$C$12)*(1+$C$14))+($C$13*(1+$C$14)),0)</f>
        <v/>
      </c>
      <c r="M123" s="68">
        <f>IF(N121&gt;0,N121*(2*($C$11+$C$12)*(1+$C$14))+($C$13*(1+$C$14)),0)</f>
        <v/>
      </c>
      <c r="N123" s="68">
        <f>IF(O121&gt;0,O121*(2*($C$11+$C$12)*(1+$C$14))+($C$13*(1+$C$14)),0)</f>
        <v/>
      </c>
      <c r="O123" s="68">
        <f>IF(P121&gt;0,P121*(2*($C$11+$C$12)*(1+$C$14))+($C$13*(1+$C$14)),0)</f>
        <v/>
      </c>
      <c r="P123" s="68">
        <f>IF(Q121&gt;0,Q121*(2*($C$11+$C$12)*(1+$C$14))+($C$13*(1+$C$14)),0)</f>
        <v/>
      </c>
      <c r="Q123" s="68">
        <f>IF(R121&gt;0,R121*(2*($C$11+$C$12)*(1+$C$14))+($C$13*(1+$C$14)),0)</f>
        <v/>
      </c>
      <c r="R123" s="68">
        <f>IF(S121&gt;0,S121*(2*($C$11+$C$12)*(1+$C$14))+($C$13*(1+$C$14)),0)</f>
        <v/>
      </c>
      <c r="S123" s="68">
        <f>IF(T121&gt;0,T121*(2*($C$11+$C$12)*(1+$C$14))+($C$13*(1+$C$14)),0)</f>
        <v/>
      </c>
      <c r="T123" s="68">
        <f>IF(U121&gt;0,U121*(2*($C$11+$C$12)*(1+$C$14))+($C$13*(1+$C$14)),0)</f>
        <v/>
      </c>
      <c r="U123" s="68">
        <f>IF(V121&gt;0,V121*(2*($C$11+$C$12)*(1+$C$14))+($C$13*(1+$C$14)),0)</f>
        <v/>
      </c>
      <c r="V123" s="68">
        <f>IF(W121&gt;0,W121*(2*($C$11+$C$12)*(1+$C$14))+($C$13*(1+$C$14)),0)</f>
        <v/>
      </c>
      <c r="W123" s="68">
        <f>IF(X121&gt;0,X121*(2*($C$11+$C$12)*(1+$C$14))+($C$13*(1+$C$14)),0)</f>
        <v/>
      </c>
      <c r="X123" s="68">
        <f>IF(Y121&gt;0,Y121*(2*($C$11+$C$12)*(1+$C$14))+($C$13*(1+$C$14)),0)</f>
        <v/>
      </c>
      <c r="Y123" s="68">
        <f>IF(Z121&gt;0,Z121*(2*($C$11+$C$12)*(1+$C$14))+($C$13*(1+$C$14)),0)</f>
        <v/>
      </c>
      <c r="Z123" s="68">
        <f>IF(AA121&gt;0,AA121*(2*($C$11+$C$12)*(1+$C$14))+($C$13*(1+$C$14)),0)</f>
        <v/>
      </c>
      <c r="AA123" s="68">
        <f>IF(AB121&gt;0,AB121*(2*($C$11+$C$12)*(1+$C$14))+($C$13*(1+$C$14)),0)</f>
        <v/>
      </c>
      <c r="AB123" s="68" t="n">
        <v>0</v>
      </c>
    </row>
    <row r="124">
      <c r="A124" s="68" t="inlineStr">
        <is>
          <t>do nothing: lit modules</t>
        </is>
      </c>
      <c r="D124" s="68">
        <f>MAX(0,MIN(4,INT(MIN(Decline!$C$20,Decline!$C$19*C$119)*Decline!$C$21/Decline!$C$22+1E-9)))</f>
        <v/>
      </c>
      <c r="E124" s="68">
        <f>MAX(0,MIN(4,INT(MIN(Decline!$C$20,Decline!$C$19*D$119)*Decline!$C$21/Decline!$C$22+1E-9)))</f>
        <v/>
      </c>
      <c r="F124" s="68">
        <f>MAX(0,MIN(4,INT(MIN(Decline!$C$20,Decline!$C$19*E$119)*Decline!$C$21/Decline!$C$22+1E-9)))</f>
        <v/>
      </c>
      <c r="G124" s="68">
        <f>MAX(0,MIN(4,INT(MIN(Decline!$C$20,Decline!$C$19*F$119)*Decline!$C$21/Decline!$C$22+1E-9)))</f>
        <v/>
      </c>
      <c r="H124" s="68">
        <f>MAX(0,MIN(4,INT(MIN(Decline!$C$20,Decline!$C$19*G$119)*Decline!$C$21/Decline!$C$22+1E-9)))</f>
        <v/>
      </c>
      <c r="I124" s="68">
        <f>MAX(0,MIN(4,INT(MIN(Decline!$C$20,Decline!$C$19*H$119)*Decline!$C$21/Decline!$C$22+1E-9)))</f>
        <v/>
      </c>
      <c r="J124" s="68">
        <f>MAX(0,MIN(4,INT(MIN(Decline!$C$20,Decline!$C$19*I$119)*Decline!$C$21/Decline!$C$22+1E-9)))</f>
        <v/>
      </c>
      <c r="K124" s="68">
        <f>MAX(0,MIN(4,INT(MIN(Decline!$C$20,Decline!$C$19*J$119)*Decline!$C$21/Decline!$C$22+1E-9)))</f>
        <v/>
      </c>
      <c r="L124" s="68">
        <f>MAX(0,MIN(4,INT(MIN(Decline!$C$20,Decline!$C$19*K$119)*Decline!$C$21/Decline!$C$22+1E-9)))</f>
        <v/>
      </c>
      <c r="M124" s="68">
        <f>MAX(0,MIN(4,INT(MIN(Decline!$C$20,Decline!$C$19*L$119)*Decline!$C$21/Decline!$C$22+1E-9)))</f>
        <v/>
      </c>
      <c r="N124" s="68">
        <f>MAX(0,MIN(4,INT(MIN(Decline!$C$20,Decline!$C$19*M$119)*Decline!$C$21/Decline!$C$22+1E-9)))</f>
        <v/>
      </c>
      <c r="O124" s="68">
        <f>MAX(0,MIN(4,INT(MIN(Decline!$C$20,Decline!$C$19*N$119)*Decline!$C$21/Decline!$C$22+1E-9)))</f>
        <v/>
      </c>
      <c r="P124" s="68">
        <f>MAX(0,MIN(4,INT(MIN(Decline!$C$20,Decline!$C$19*O$119)*Decline!$C$21/Decline!$C$22+1E-9)))</f>
        <v/>
      </c>
      <c r="Q124" s="68">
        <f>MAX(0,MIN(4,INT(MIN(Decline!$C$20,Decline!$C$19*P$119)*Decline!$C$21/Decline!$C$22+1E-9)))</f>
        <v/>
      </c>
      <c r="R124" s="68">
        <f>MAX(0,MIN(4,INT(MIN(Decline!$C$20,Decline!$C$19*Q$119)*Decline!$C$21/Decline!$C$22+1E-9)))</f>
        <v/>
      </c>
      <c r="S124" s="68">
        <f>MAX(0,MIN(4,INT(MIN(Decline!$C$20,Decline!$C$19*R$119)*Decline!$C$21/Decline!$C$22+1E-9)))</f>
        <v/>
      </c>
      <c r="T124" s="68">
        <f>MAX(0,MIN(4,INT(MIN(Decline!$C$20,Decline!$C$19*S$119)*Decline!$C$21/Decline!$C$22+1E-9)))</f>
        <v/>
      </c>
      <c r="U124" s="68">
        <f>MAX(0,MIN(4,INT(MIN(Decline!$C$20,Decline!$C$19*T$119)*Decline!$C$21/Decline!$C$22+1E-9)))</f>
        <v/>
      </c>
      <c r="V124" s="68">
        <f>MAX(0,MIN(4,INT(MIN(Decline!$C$20,Decline!$C$19*U$119)*Decline!$C$21/Decline!$C$22+1E-9)))</f>
        <v/>
      </c>
      <c r="W124" s="68">
        <f>MAX(0,MIN(4,INT(MIN(Decline!$C$20,Decline!$C$19*V$119)*Decline!$C$21/Decline!$C$22+1E-9)))</f>
        <v/>
      </c>
      <c r="X124" s="68">
        <f>MAX(0,MIN(4,INT(MIN(Decline!$C$20,Decline!$C$19*W$119)*Decline!$C$21/Decline!$C$22+1E-9)))</f>
        <v/>
      </c>
      <c r="Y124" s="68">
        <f>MAX(0,MIN(4,INT(MIN(Decline!$C$20,Decline!$C$19*X$119)*Decline!$C$21/Decline!$C$22+1E-9)))</f>
        <v/>
      </c>
      <c r="Z124" s="68">
        <f>MAX(0,MIN(4,INT(MIN(Decline!$C$20,Decline!$C$19*Y$119)*Decline!$C$21/Decline!$C$22+1E-9)))</f>
        <v/>
      </c>
      <c r="AA124" s="68">
        <f>MAX(0,MIN(4,INT(MIN(Decline!$C$20,Decline!$C$19*Z$119)*Decline!$C$21/Decline!$C$22+1E-9)))</f>
        <v/>
      </c>
      <c r="AB124" s="68">
        <f>MAX(0,MIN(4,INT(MIN(Decline!$C$20,Decline!$C$19*AA$119)*Decline!$C$21/Decline!$C$22+1E-9)))</f>
        <v/>
      </c>
    </row>
    <row r="125">
      <c r="A125" s="68" t="inlineStr">
        <is>
          <t>(a) lit modules</t>
        </is>
      </c>
      <c r="D125" s="68">
        <f>MAX(0,MIN(4,INT(MIN(Decline!$C$20,(Decline!$C$19+IF(ISNUMBER($E$118),$E$118,0))*C$119)*Decline!$C$21/Decline!$C$22+1E-9)))</f>
        <v/>
      </c>
      <c r="E125" s="68">
        <f>MAX(0,MIN(4,INT(MIN(Decline!$C$20,(Decline!$C$19+IF(ISNUMBER($E$118),$E$118,0))*D$119)*Decline!$C$21/Decline!$C$22+1E-9)))</f>
        <v/>
      </c>
      <c r="F125" s="68">
        <f>MAX(0,MIN(4,INT(MIN(Decline!$C$20,(Decline!$C$19+IF(ISNUMBER($E$118),$E$118,0))*E$119)*Decline!$C$21/Decline!$C$22+1E-9)))</f>
        <v/>
      </c>
      <c r="G125" s="68">
        <f>MAX(0,MIN(4,INT(MIN(Decline!$C$20,(Decline!$C$19+IF(ISNUMBER($E$118),$E$118,0))*F$119)*Decline!$C$21/Decline!$C$22+1E-9)))</f>
        <v/>
      </c>
      <c r="H125" s="68">
        <f>MAX(0,MIN(4,INT(MIN(Decline!$C$20,(Decline!$C$19+IF(ISNUMBER($E$118),$E$118,0))*G$119)*Decline!$C$21/Decline!$C$22+1E-9)))</f>
        <v/>
      </c>
      <c r="I125" s="68">
        <f>MAX(0,MIN(4,INT(MIN(Decline!$C$20,(Decline!$C$19+IF(ISNUMBER($E$118),$E$118,0))*H$119)*Decline!$C$21/Decline!$C$22+1E-9)))</f>
        <v/>
      </c>
      <c r="J125" s="68">
        <f>MAX(0,MIN(4,INT(MIN(Decline!$C$20,(Decline!$C$19+IF(ISNUMBER($E$118),$E$118,0))*I$119)*Decline!$C$21/Decline!$C$22+1E-9)))</f>
        <v/>
      </c>
      <c r="K125" s="68">
        <f>MAX(0,MIN(4,INT(MIN(Decline!$C$20,(Decline!$C$19+IF(ISNUMBER($E$118),$E$118,0))*J$119)*Decline!$C$21/Decline!$C$22+1E-9)))</f>
        <v/>
      </c>
      <c r="L125" s="68">
        <f>MAX(0,MIN(4,INT(MIN(Decline!$C$20,(Decline!$C$19+IF(ISNUMBER($E$118),$E$118,0))*K$119)*Decline!$C$21/Decline!$C$22+1E-9)))</f>
        <v/>
      </c>
      <c r="M125" s="68">
        <f>MAX(0,MIN(4,INT(MIN(Decline!$C$20,(Decline!$C$19+IF(ISNUMBER($E$118),$E$118,0))*L$119)*Decline!$C$21/Decline!$C$22+1E-9)))</f>
        <v/>
      </c>
      <c r="N125" s="68">
        <f>MAX(0,MIN(4,INT(MIN(Decline!$C$20,(Decline!$C$19+IF(ISNUMBER($E$118),$E$118,0))*M$119)*Decline!$C$21/Decline!$C$22+1E-9)))</f>
        <v/>
      </c>
      <c r="O125" s="68">
        <f>MAX(0,MIN(4,INT(MIN(Decline!$C$20,(Decline!$C$19+IF(ISNUMBER($E$118),$E$118,0))*N$119)*Decline!$C$21/Decline!$C$22+1E-9)))</f>
        <v/>
      </c>
      <c r="P125" s="68">
        <f>MAX(0,MIN(4,INT(MIN(Decline!$C$20,(Decline!$C$19+IF(ISNUMBER($E$118),$E$118,0))*O$119)*Decline!$C$21/Decline!$C$22+1E-9)))</f>
        <v/>
      </c>
      <c r="Q125" s="68">
        <f>MAX(0,MIN(4,INT(MIN(Decline!$C$20,(Decline!$C$19+IF(ISNUMBER($E$118),$E$118,0))*P$119)*Decline!$C$21/Decline!$C$22+1E-9)))</f>
        <v/>
      </c>
      <c r="R125" s="68">
        <f>MAX(0,MIN(4,INT(MIN(Decline!$C$20,(Decline!$C$19+IF(ISNUMBER($E$118),$E$118,0))*Q$119)*Decline!$C$21/Decline!$C$22+1E-9)))</f>
        <v/>
      </c>
      <c r="S125" s="68">
        <f>MAX(0,MIN(4,INT(MIN(Decline!$C$20,(Decline!$C$19+IF(ISNUMBER($E$118),$E$118,0))*R$119)*Decline!$C$21/Decline!$C$22+1E-9)))</f>
        <v/>
      </c>
      <c r="T125" s="68">
        <f>MAX(0,MIN(4,INT(MIN(Decline!$C$20,(Decline!$C$19+IF(ISNUMBER($E$118),$E$118,0))*S$119)*Decline!$C$21/Decline!$C$22+1E-9)))</f>
        <v/>
      </c>
      <c r="U125" s="68">
        <f>MAX(0,MIN(4,INT(MIN(Decline!$C$20,(Decline!$C$19+IF(ISNUMBER($E$118),$E$118,0))*T$119)*Decline!$C$21/Decline!$C$22+1E-9)))</f>
        <v/>
      </c>
      <c r="V125" s="68">
        <f>MAX(0,MIN(4,INT(MIN(Decline!$C$20,(Decline!$C$19+IF(ISNUMBER($E$118),$E$118,0))*U$119)*Decline!$C$21/Decline!$C$22+1E-9)))</f>
        <v/>
      </c>
      <c r="W125" s="68">
        <f>MAX(0,MIN(4,INT(MIN(Decline!$C$20,(Decline!$C$19+IF(ISNUMBER($E$118),$E$118,0))*V$119)*Decline!$C$21/Decline!$C$22+1E-9)))</f>
        <v/>
      </c>
      <c r="X125" s="68">
        <f>MAX(0,MIN(4,INT(MIN(Decline!$C$20,(Decline!$C$19+IF(ISNUMBER($E$118),$E$118,0))*W$119)*Decline!$C$21/Decline!$C$22+1E-9)))</f>
        <v/>
      </c>
      <c r="Y125" s="68">
        <f>MAX(0,MIN(4,INT(MIN(Decline!$C$20,(Decline!$C$19+IF(ISNUMBER($E$118),$E$118,0))*X$119)*Decline!$C$21/Decline!$C$22+1E-9)))</f>
        <v/>
      </c>
      <c r="Z125" s="68">
        <f>MAX(0,MIN(4,INT(MIN(Decline!$C$20,(Decline!$C$19+IF(ISNUMBER($E$118),$E$118,0))*Y$119)*Decline!$C$21/Decline!$C$22+1E-9)))</f>
        <v/>
      </c>
      <c r="AA125" s="68">
        <f>MAX(0,MIN(4,INT(MIN(Decline!$C$20,(Decline!$C$19+IF(ISNUMBER($E$118),$E$118,0))*Z$119)*Decline!$C$21/Decline!$C$22+1E-9)))</f>
        <v/>
      </c>
      <c r="AB125" s="68">
        <f>MAX(0,MIN(4,INT(MIN(Decline!$C$20,(Decline!$C$19+IF(ISNUMBER($E$118),$E$118,0))*AA$119)*Decline!$C$21/Decline!$C$22+1E-9)))</f>
        <v/>
      </c>
    </row>
    <row r="126">
      <c r="A126" s="68" t="inlineStr">
        <is>
          <t>(b) lit modules</t>
        </is>
      </c>
      <c r="D126" s="68">
        <f>MAX(0,MIN(4,INT(MIN(Decline!$C$20,D122)*Decline!$C$21/Decline!$C$22+1E-9)))</f>
        <v/>
      </c>
      <c r="E126" s="68">
        <f>MAX(0,MIN(4,INT(MIN(Decline!$C$20,E122)*Decline!$C$21/Decline!$C$22+1E-9)))</f>
        <v/>
      </c>
      <c r="F126" s="68">
        <f>MAX(0,MIN(4,INT(MIN(Decline!$C$20,F122)*Decline!$C$21/Decline!$C$22+1E-9)))</f>
        <v/>
      </c>
      <c r="G126" s="68">
        <f>MAX(0,MIN(4,INT(MIN(Decline!$C$20,G122)*Decline!$C$21/Decline!$C$22+1E-9)))</f>
        <v/>
      </c>
      <c r="H126" s="68">
        <f>MAX(0,MIN(4,INT(MIN(Decline!$C$20,H122)*Decline!$C$21/Decline!$C$22+1E-9)))</f>
        <v/>
      </c>
      <c r="I126" s="68">
        <f>MAX(0,MIN(4,INT(MIN(Decline!$C$20,I122)*Decline!$C$21/Decline!$C$22+1E-9)))</f>
        <v/>
      </c>
      <c r="J126" s="68">
        <f>MAX(0,MIN(4,INT(MIN(Decline!$C$20,J122)*Decline!$C$21/Decline!$C$22+1E-9)))</f>
        <v/>
      </c>
      <c r="K126" s="68">
        <f>MAX(0,MIN(4,INT(MIN(Decline!$C$20,K122)*Decline!$C$21/Decline!$C$22+1E-9)))</f>
        <v/>
      </c>
      <c r="L126" s="68">
        <f>MAX(0,MIN(4,INT(MIN(Decline!$C$20,L122)*Decline!$C$21/Decline!$C$22+1E-9)))</f>
        <v/>
      </c>
      <c r="M126" s="68">
        <f>MAX(0,MIN(4,INT(MIN(Decline!$C$20,M122)*Decline!$C$21/Decline!$C$22+1E-9)))</f>
        <v/>
      </c>
      <c r="N126" s="68">
        <f>MAX(0,MIN(4,INT(MIN(Decline!$C$20,N122)*Decline!$C$21/Decline!$C$22+1E-9)))</f>
        <v/>
      </c>
      <c r="O126" s="68">
        <f>MAX(0,MIN(4,INT(MIN(Decline!$C$20,O122)*Decline!$C$21/Decline!$C$22+1E-9)))</f>
        <v/>
      </c>
      <c r="P126" s="68">
        <f>MAX(0,MIN(4,INT(MIN(Decline!$C$20,P122)*Decline!$C$21/Decline!$C$22+1E-9)))</f>
        <v/>
      </c>
      <c r="Q126" s="68">
        <f>MAX(0,MIN(4,INT(MIN(Decline!$C$20,Q122)*Decline!$C$21/Decline!$C$22+1E-9)))</f>
        <v/>
      </c>
      <c r="R126" s="68">
        <f>MAX(0,MIN(4,INT(MIN(Decline!$C$20,R122)*Decline!$C$21/Decline!$C$22+1E-9)))</f>
        <v/>
      </c>
      <c r="S126" s="68">
        <f>MAX(0,MIN(4,INT(MIN(Decline!$C$20,S122)*Decline!$C$21/Decline!$C$22+1E-9)))</f>
        <v/>
      </c>
      <c r="T126" s="68">
        <f>MAX(0,MIN(4,INT(MIN(Decline!$C$20,T122)*Decline!$C$21/Decline!$C$22+1E-9)))</f>
        <v/>
      </c>
      <c r="U126" s="68">
        <f>MAX(0,MIN(4,INT(MIN(Decline!$C$20,U122)*Decline!$C$21/Decline!$C$22+1E-9)))</f>
        <v/>
      </c>
      <c r="V126" s="68">
        <f>MAX(0,MIN(4,INT(MIN(Decline!$C$20,V122)*Decline!$C$21/Decline!$C$22+1E-9)))</f>
        <v/>
      </c>
      <c r="W126" s="68">
        <f>MAX(0,MIN(4,INT(MIN(Decline!$C$20,W122)*Decline!$C$21/Decline!$C$22+1E-9)))</f>
        <v/>
      </c>
      <c r="X126" s="68">
        <f>MAX(0,MIN(4,INT(MIN(Decline!$C$20,X122)*Decline!$C$21/Decline!$C$22+1E-9)))</f>
        <v/>
      </c>
      <c r="Y126" s="68">
        <f>MAX(0,MIN(4,INT(MIN(Decline!$C$20,Y122)*Decline!$C$21/Decline!$C$22+1E-9)))</f>
        <v/>
      </c>
      <c r="Z126" s="68">
        <f>MAX(0,MIN(4,INT(MIN(Decline!$C$20,Z122)*Decline!$C$21/Decline!$C$22+1E-9)))</f>
        <v/>
      </c>
      <c r="AA126" s="68">
        <f>MAX(0,MIN(4,INT(MIN(Decline!$C$20,AA122)*Decline!$C$21/Decline!$C$22+1E-9)))</f>
        <v/>
      </c>
      <c r="AB126" s="68">
        <f>MAX(0,MIN(4,INT(MIN(Decline!$C$20,AB122)*Decline!$C$21/Decline!$C$22+1E-9)))</f>
        <v/>
      </c>
    </row>
    <row r="127">
      <c r="A127" s="68" t="inlineStr">
        <is>
          <t>Do nothing (dark modules stop buying GPUs) | flat</t>
        </is>
      </c>
      <c r="C127" s="68">
        <f>-'Sell-Compute'!$C$36</f>
        <v/>
      </c>
      <c r="D127" s="68">
        <f>IF(D$51&lt;=Rates!$D$71,('Sell-Compute'!$C$40*(1+'Sell-Compute'!$C$50)^MOD(D$51-1,'Sell-Compute'!$C$21)-'Sell-Compute'!$C$42-'Sell-Compute'!$C$43)*(D124/4)-'Sell-Compute'!$C$41-'Sell-Compute'!$C$44-'Sell-Compute'!$C$45-IF(AND(MOD(D$51,'Sell-Compute'!$C$21)=0,D$51&lt;Rates!$D$71),'Sell-Compute'!$C$34*(D124/4),0),0)</f>
        <v/>
      </c>
      <c r="E127" s="68">
        <f>IF(E$51&lt;=Rates!$D$71,('Sell-Compute'!$C$40*(1+'Sell-Compute'!$C$50)^MOD(E$51-1,'Sell-Compute'!$C$21)-'Sell-Compute'!$C$42-'Sell-Compute'!$C$43)*(E124/4)-'Sell-Compute'!$C$41-'Sell-Compute'!$C$44-'Sell-Compute'!$C$45-IF(AND(MOD(E$51,'Sell-Compute'!$C$21)=0,E$51&lt;Rates!$D$71),'Sell-Compute'!$C$34*(E124/4),0),0)</f>
        <v/>
      </c>
      <c r="F127" s="68">
        <f>IF(F$51&lt;=Rates!$D$71,('Sell-Compute'!$C$40*(1+'Sell-Compute'!$C$50)^MOD(F$51-1,'Sell-Compute'!$C$21)-'Sell-Compute'!$C$42-'Sell-Compute'!$C$43)*(F124/4)-'Sell-Compute'!$C$41-'Sell-Compute'!$C$44-'Sell-Compute'!$C$45-IF(AND(MOD(F$51,'Sell-Compute'!$C$21)=0,F$51&lt;Rates!$D$71),'Sell-Compute'!$C$34*(F124/4),0),0)</f>
        <v/>
      </c>
      <c r="G127" s="68">
        <f>IF(G$51&lt;=Rates!$D$71,('Sell-Compute'!$C$40*(1+'Sell-Compute'!$C$50)^MOD(G$51-1,'Sell-Compute'!$C$21)-'Sell-Compute'!$C$42-'Sell-Compute'!$C$43)*(G124/4)-'Sell-Compute'!$C$41-'Sell-Compute'!$C$44-'Sell-Compute'!$C$45-IF(AND(MOD(G$51,'Sell-Compute'!$C$21)=0,G$51&lt;Rates!$D$71),'Sell-Compute'!$C$34*(G124/4),0),0)</f>
        <v/>
      </c>
      <c r="H127" s="68">
        <f>IF(H$51&lt;=Rates!$D$71,('Sell-Compute'!$C$40*(1+'Sell-Compute'!$C$50)^MOD(H$51-1,'Sell-Compute'!$C$21)-'Sell-Compute'!$C$42-'Sell-Compute'!$C$43)*(H124/4)-'Sell-Compute'!$C$41-'Sell-Compute'!$C$44-'Sell-Compute'!$C$45-IF(AND(MOD(H$51,'Sell-Compute'!$C$21)=0,H$51&lt;Rates!$D$71),'Sell-Compute'!$C$34*(H124/4),0),0)</f>
        <v/>
      </c>
      <c r="I127" s="68">
        <f>IF(I$51&lt;=Rates!$D$71,('Sell-Compute'!$C$40*(1+'Sell-Compute'!$C$50)^MOD(I$51-1,'Sell-Compute'!$C$21)-'Sell-Compute'!$C$42-'Sell-Compute'!$C$43)*(I124/4)-'Sell-Compute'!$C$41-'Sell-Compute'!$C$44-'Sell-Compute'!$C$45-IF(AND(MOD(I$51,'Sell-Compute'!$C$21)=0,I$51&lt;Rates!$D$71),'Sell-Compute'!$C$34*(I124/4),0),0)</f>
        <v/>
      </c>
      <c r="J127" s="68">
        <f>IF(J$51&lt;=Rates!$D$71,('Sell-Compute'!$C$40*(1+'Sell-Compute'!$C$50)^MOD(J$51-1,'Sell-Compute'!$C$21)-'Sell-Compute'!$C$42-'Sell-Compute'!$C$43)*(J124/4)-'Sell-Compute'!$C$41-'Sell-Compute'!$C$44-'Sell-Compute'!$C$45-IF(AND(MOD(J$51,'Sell-Compute'!$C$21)=0,J$51&lt;Rates!$D$71),'Sell-Compute'!$C$34*(J124/4),0),0)</f>
        <v/>
      </c>
      <c r="K127" s="68">
        <f>IF(K$51&lt;=Rates!$D$71,('Sell-Compute'!$C$40*(1+'Sell-Compute'!$C$50)^MOD(K$51-1,'Sell-Compute'!$C$21)-'Sell-Compute'!$C$42-'Sell-Compute'!$C$43)*(K124/4)-'Sell-Compute'!$C$41-'Sell-Compute'!$C$44-'Sell-Compute'!$C$45-IF(AND(MOD(K$51,'Sell-Compute'!$C$21)=0,K$51&lt;Rates!$D$71),'Sell-Compute'!$C$34*(K124/4),0),0)</f>
        <v/>
      </c>
      <c r="L127" s="68">
        <f>IF(L$51&lt;=Rates!$D$71,('Sell-Compute'!$C$40*(1+'Sell-Compute'!$C$50)^MOD(L$51-1,'Sell-Compute'!$C$21)-'Sell-Compute'!$C$42-'Sell-Compute'!$C$43)*(L124/4)-'Sell-Compute'!$C$41-'Sell-Compute'!$C$44-'Sell-Compute'!$C$45-IF(AND(MOD(L$51,'Sell-Compute'!$C$21)=0,L$51&lt;Rates!$D$71),'Sell-Compute'!$C$34*(L124/4),0),0)</f>
        <v/>
      </c>
      <c r="M127" s="68">
        <f>IF(M$51&lt;=Rates!$D$71,('Sell-Compute'!$C$40*(1+'Sell-Compute'!$C$50)^MOD(M$51-1,'Sell-Compute'!$C$21)-'Sell-Compute'!$C$42-'Sell-Compute'!$C$43)*(M124/4)-'Sell-Compute'!$C$41-'Sell-Compute'!$C$44-'Sell-Compute'!$C$45-IF(AND(MOD(M$51,'Sell-Compute'!$C$21)=0,M$51&lt;Rates!$D$71),'Sell-Compute'!$C$34*(M124/4),0),0)</f>
        <v/>
      </c>
      <c r="N127" s="68">
        <f>IF(N$51&lt;=Rates!$D$71,('Sell-Compute'!$C$40*(1+'Sell-Compute'!$C$50)^MOD(N$51-1,'Sell-Compute'!$C$21)-'Sell-Compute'!$C$42-'Sell-Compute'!$C$43)*(N124/4)-'Sell-Compute'!$C$41-'Sell-Compute'!$C$44-'Sell-Compute'!$C$45-IF(AND(MOD(N$51,'Sell-Compute'!$C$21)=0,N$51&lt;Rates!$D$71),'Sell-Compute'!$C$34*(N124/4),0),0)</f>
        <v/>
      </c>
      <c r="O127" s="68">
        <f>IF(O$51&lt;=Rates!$D$71,('Sell-Compute'!$C$40*(1+'Sell-Compute'!$C$50)^MOD(O$51-1,'Sell-Compute'!$C$21)-'Sell-Compute'!$C$42-'Sell-Compute'!$C$43)*(O124/4)-'Sell-Compute'!$C$41-'Sell-Compute'!$C$44-'Sell-Compute'!$C$45-IF(AND(MOD(O$51,'Sell-Compute'!$C$21)=0,O$51&lt;Rates!$D$71),'Sell-Compute'!$C$34*(O124/4),0),0)</f>
        <v/>
      </c>
      <c r="P127" s="68">
        <f>IF(P$51&lt;=Rates!$D$71,('Sell-Compute'!$C$40*(1+'Sell-Compute'!$C$50)^MOD(P$51-1,'Sell-Compute'!$C$21)-'Sell-Compute'!$C$42-'Sell-Compute'!$C$43)*(P124/4)-'Sell-Compute'!$C$41-'Sell-Compute'!$C$44-'Sell-Compute'!$C$45-IF(AND(MOD(P$51,'Sell-Compute'!$C$21)=0,P$51&lt;Rates!$D$71),'Sell-Compute'!$C$34*(P124/4),0),0)</f>
        <v/>
      </c>
      <c r="Q127" s="68">
        <f>IF(Q$51&lt;=Rates!$D$71,('Sell-Compute'!$C$40*(1+'Sell-Compute'!$C$50)^MOD(Q$51-1,'Sell-Compute'!$C$21)-'Sell-Compute'!$C$42-'Sell-Compute'!$C$43)*(Q124/4)-'Sell-Compute'!$C$41-'Sell-Compute'!$C$44-'Sell-Compute'!$C$45-IF(AND(MOD(Q$51,'Sell-Compute'!$C$21)=0,Q$51&lt;Rates!$D$71),'Sell-Compute'!$C$34*(Q124/4),0),0)</f>
        <v/>
      </c>
      <c r="R127" s="68">
        <f>IF(R$51&lt;=Rates!$D$71,('Sell-Compute'!$C$40*(1+'Sell-Compute'!$C$50)^MOD(R$51-1,'Sell-Compute'!$C$21)-'Sell-Compute'!$C$42-'Sell-Compute'!$C$43)*(R124/4)-'Sell-Compute'!$C$41-'Sell-Compute'!$C$44-'Sell-Compute'!$C$45-IF(AND(MOD(R$51,'Sell-Compute'!$C$21)=0,R$51&lt;Rates!$D$71),'Sell-Compute'!$C$34*(R124/4),0),0)</f>
        <v/>
      </c>
      <c r="S127" s="68">
        <f>IF(S$51&lt;=Rates!$D$71,('Sell-Compute'!$C$40*(1+'Sell-Compute'!$C$50)^MOD(S$51-1,'Sell-Compute'!$C$21)-'Sell-Compute'!$C$42-'Sell-Compute'!$C$43)*(S124/4)-'Sell-Compute'!$C$41-'Sell-Compute'!$C$44-'Sell-Compute'!$C$45-IF(AND(MOD(S$51,'Sell-Compute'!$C$21)=0,S$51&lt;Rates!$D$71),'Sell-Compute'!$C$34*(S124/4),0),0)</f>
        <v/>
      </c>
      <c r="T127" s="68">
        <f>IF(T$51&lt;=Rates!$D$71,('Sell-Compute'!$C$40*(1+'Sell-Compute'!$C$50)^MOD(T$51-1,'Sell-Compute'!$C$21)-'Sell-Compute'!$C$42-'Sell-Compute'!$C$43)*(T124/4)-'Sell-Compute'!$C$41-'Sell-Compute'!$C$44-'Sell-Compute'!$C$45-IF(AND(MOD(T$51,'Sell-Compute'!$C$21)=0,T$51&lt;Rates!$D$71),'Sell-Compute'!$C$34*(T124/4),0),0)</f>
        <v/>
      </c>
      <c r="U127" s="68">
        <f>IF(U$51&lt;=Rates!$D$71,('Sell-Compute'!$C$40*(1+'Sell-Compute'!$C$50)^MOD(U$51-1,'Sell-Compute'!$C$21)-'Sell-Compute'!$C$42-'Sell-Compute'!$C$43)*(U124/4)-'Sell-Compute'!$C$41-'Sell-Compute'!$C$44-'Sell-Compute'!$C$45-IF(AND(MOD(U$51,'Sell-Compute'!$C$21)=0,U$51&lt;Rates!$D$71),'Sell-Compute'!$C$34*(U124/4),0),0)</f>
        <v/>
      </c>
      <c r="V127" s="68">
        <f>IF(V$51&lt;=Rates!$D$71,('Sell-Compute'!$C$40*(1+'Sell-Compute'!$C$50)^MOD(V$51-1,'Sell-Compute'!$C$21)-'Sell-Compute'!$C$42-'Sell-Compute'!$C$43)*(V124/4)-'Sell-Compute'!$C$41-'Sell-Compute'!$C$44-'Sell-Compute'!$C$45-IF(AND(MOD(V$51,'Sell-Compute'!$C$21)=0,V$51&lt;Rates!$D$71),'Sell-Compute'!$C$34*(V124/4),0),0)</f>
        <v/>
      </c>
      <c r="W127" s="68">
        <f>IF(W$51&lt;=Rates!$D$71,('Sell-Compute'!$C$40*(1+'Sell-Compute'!$C$50)^MOD(W$51-1,'Sell-Compute'!$C$21)-'Sell-Compute'!$C$42-'Sell-Compute'!$C$43)*(W124/4)-'Sell-Compute'!$C$41-'Sell-Compute'!$C$44-'Sell-Compute'!$C$45-IF(AND(MOD(W$51,'Sell-Compute'!$C$21)=0,W$51&lt;Rates!$D$71),'Sell-Compute'!$C$34*(W124/4),0),0)</f>
        <v/>
      </c>
      <c r="X127" s="68">
        <f>IF(X$51&lt;=Rates!$D$71,('Sell-Compute'!$C$40*(1+'Sell-Compute'!$C$50)^MOD(X$51-1,'Sell-Compute'!$C$21)-'Sell-Compute'!$C$42-'Sell-Compute'!$C$43)*(X124/4)-'Sell-Compute'!$C$41-'Sell-Compute'!$C$44-'Sell-Compute'!$C$45-IF(AND(MOD(X$51,'Sell-Compute'!$C$21)=0,X$51&lt;Rates!$D$71),'Sell-Compute'!$C$34*(X124/4),0),0)</f>
        <v/>
      </c>
      <c r="Y127" s="68">
        <f>IF(Y$51&lt;=Rates!$D$71,('Sell-Compute'!$C$40*(1+'Sell-Compute'!$C$50)^MOD(Y$51-1,'Sell-Compute'!$C$21)-'Sell-Compute'!$C$42-'Sell-Compute'!$C$43)*(Y124/4)-'Sell-Compute'!$C$41-'Sell-Compute'!$C$44-'Sell-Compute'!$C$45-IF(AND(MOD(Y$51,'Sell-Compute'!$C$21)=0,Y$51&lt;Rates!$D$71),'Sell-Compute'!$C$34*(Y124/4),0),0)</f>
        <v/>
      </c>
      <c r="Z127" s="68">
        <f>IF(Z$51&lt;=Rates!$D$71,('Sell-Compute'!$C$40*(1+'Sell-Compute'!$C$50)^MOD(Z$51-1,'Sell-Compute'!$C$21)-'Sell-Compute'!$C$42-'Sell-Compute'!$C$43)*(Z124/4)-'Sell-Compute'!$C$41-'Sell-Compute'!$C$44-'Sell-Compute'!$C$45-IF(AND(MOD(Z$51,'Sell-Compute'!$C$21)=0,Z$51&lt;Rates!$D$71),'Sell-Compute'!$C$34*(Z124/4),0),0)</f>
        <v/>
      </c>
      <c r="AA127" s="68">
        <f>IF(AA$51&lt;=Rates!$D$71,('Sell-Compute'!$C$40*(1+'Sell-Compute'!$C$50)^MOD(AA$51-1,'Sell-Compute'!$C$21)-'Sell-Compute'!$C$42-'Sell-Compute'!$C$43)*(AA124/4)-'Sell-Compute'!$C$41-'Sell-Compute'!$C$44-'Sell-Compute'!$C$45-IF(AND(MOD(AA$51,'Sell-Compute'!$C$21)=0,AA$51&lt;Rates!$D$71),'Sell-Compute'!$C$34*(AA124/4),0),0)</f>
        <v/>
      </c>
      <c r="AB127" s="68">
        <f>IF(AB$51&lt;=Rates!$D$71,('Sell-Compute'!$C$40*(1+'Sell-Compute'!$C$50)^MOD(AB$51-1,'Sell-Compute'!$C$21)-'Sell-Compute'!$C$42-'Sell-Compute'!$C$43)*(AB124/4)-'Sell-Compute'!$C$41-'Sell-Compute'!$C$44-'Sell-Compute'!$C$45-IF(AND(MOD(AB$51,'Sell-Compute'!$C$21)=0,AB$51&lt;Rates!$D$71),'Sell-Compute'!$C$34*(AB124/4),0),0)</f>
        <v/>
      </c>
    </row>
    <row r="128">
      <c r="A128" s="68" t="inlineStr">
        <is>
          <t>Do nothing (dark modules stop buying GPUs) | dec</t>
        </is>
      </c>
      <c r="C128" s="68">
        <f>-'Sell-Compute'!$B$36</f>
        <v/>
      </c>
      <c r="D128" s="68">
        <f>IF(D$51&lt;=Rates!$D$71,('Sell-Compute'!$B$40*(1+'Sell-Compute'!$B$50)^MOD(D$51-1,'Sell-Compute'!$C$21)-'Sell-Compute'!$B$42-'Sell-Compute'!$B$43)*(D124/4)-'Sell-Compute'!$B$41-'Sell-Compute'!$B$44-'Sell-Compute'!$B$45-IF(AND(MOD(D$51,'Sell-Compute'!$C$21)=0,D$51&lt;Rates!$D$71),'Sell-Compute'!$B$34*(D124/4),0),0)</f>
        <v/>
      </c>
      <c r="E128" s="68">
        <f>IF(E$51&lt;=Rates!$D$71,('Sell-Compute'!$B$40*(1+'Sell-Compute'!$B$50)^MOD(E$51-1,'Sell-Compute'!$C$21)-'Sell-Compute'!$B$42-'Sell-Compute'!$B$43)*(E124/4)-'Sell-Compute'!$B$41-'Sell-Compute'!$B$44-'Sell-Compute'!$B$45-IF(AND(MOD(E$51,'Sell-Compute'!$C$21)=0,E$51&lt;Rates!$D$71),'Sell-Compute'!$B$34*(E124/4),0),0)</f>
        <v/>
      </c>
      <c r="F128" s="68">
        <f>IF(F$51&lt;=Rates!$D$71,('Sell-Compute'!$B$40*(1+'Sell-Compute'!$B$50)^MOD(F$51-1,'Sell-Compute'!$C$21)-'Sell-Compute'!$B$42-'Sell-Compute'!$B$43)*(F124/4)-'Sell-Compute'!$B$41-'Sell-Compute'!$B$44-'Sell-Compute'!$B$45-IF(AND(MOD(F$51,'Sell-Compute'!$C$21)=0,F$51&lt;Rates!$D$71),'Sell-Compute'!$B$34*(F124/4),0),0)</f>
        <v/>
      </c>
      <c r="G128" s="68">
        <f>IF(G$51&lt;=Rates!$D$71,('Sell-Compute'!$B$40*(1+'Sell-Compute'!$B$50)^MOD(G$51-1,'Sell-Compute'!$C$21)-'Sell-Compute'!$B$42-'Sell-Compute'!$B$43)*(G124/4)-'Sell-Compute'!$B$41-'Sell-Compute'!$B$44-'Sell-Compute'!$B$45-IF(AND(MOD(G$51,'Sell-Compute'!$C$21)=0,G$51&lt;Rates!$D$71),'Sell-Compute'!$B$34*(G124/4),0),0)</f>
        <v/>
      </c>
      <c r="H128" s="68">
        <f>IF(H$51&lt;=Rates!$D$71,('Sell-Compute'!$B$40*(1+'Sell-Compute'!$B$50)^MOD(H$51-1,'Sell-Compute'!$C$21)-'Sell-Compute'!$B$42-'Sell-Compute'!$B$43)*(H124/4)-'Sell-Compute'!$B$41-'Sell-Compute'!$B$44-'Sell-Compute'!$B$45-IF(AND(MOD(H$51,'Sell-Compute'!$C$21)=0,H$51&lt;Rates!$D$71),'Sell-Compute'!$B$34*(H124/4),0),0)</f>
        <v/>
      </c>
      <c r="I128" s="68">
        <f>IF(I$51&lt;=Rates!$D$71,('Sell-Compute'!$B$40*(1+'Sell-Compute'!$B$50)^MOD(I$51-1,'Sell-Compute'!$C$21)-'Sell-Compute'!$B$42-'Sell-Compute'!$B$43)*(I124/4)-'Sell-Compute'!$B$41-'Sell-Compute'!$B$44-'Sell-Compute'!$B$45-IF(AND(MOD(I$51,'Sell-Compute'!$C$21)=0,I$51&lt;Rates!$D$71),'Sell-Compute'!$B$34*(I124/4),0),0)</f>
        <v/>
      </c>
      <c r="J128" s="68">
        <f>IF(J$51&lt;=Rates!$D$71,('Sell-Compute'!$B$40*(1+'Sell-Compute'!$B$50)^MOD(J$51-1,'Sell-Compute'!$C$21)-'Sell-Compute'!$B$42-'Sell-Compute'!$B$43)*(J124/4)-'Sell-Compute'!$B$41-'Sell-Compute'!$B$44-'Sell-Compute'!$B$45-IF(AND(MOD(J$51,'Sell-Compute'!$C$21)=0,J$51&lt;Rates!$D$71),'Sell-Compute'!$B$34*(J124/4),0),0)</f>
        <v/>
      </c>
      <c r="K128" s="68">
        <f>IF(K$51&lt;=Rates!$D$71,('Sell-Compute'!$B$40*(1+'Sell-Compute'!$B$50)^MOD(K$51-1,'Sell-Compute'!$C$21)-'Sell-Compute'!$B$42-'Sell-Compute'!$B$43)*(K124/4)-'Sell-Compute'!$B$41-'Sell-Compute'!$B$44-'Sell-Compute'!$B$45-IF(AND(MOD(K$51,'Sell-Compute'!$C$21)=0,K$51&lt;Rates!$D$71),'Sell-Compute'!$B$34*(K124/4),0),0)</f>
        <v/>
      </c>
      <c r="L128" s="68">
        <f>IF(L$51&lt;=Rates!$D$71,('Sell-Compute'!$B$40*(1+'Sell-Compute'!$B$50)^MOD(L$51-1,'Sell-Compute'!$C$21)-'Sell-Compute'!$B$42-'Sell-Compute'!$B$43)*(L124/4)-'Sell-Compute'!$B$41-'Sell-Compute'!$B$44-'Sell-Compute'!$B$45-IF(AND(MOD(L$51,'Sell-Compute'!$C$21)=0,L$51&lt;Rates!$D$71),'Sell-Compute'!$B$34*(L124/4),0),0)</f>
        <v/>
      </c>
      <c r="M128" s="68">
        <f>IF(M$51&lt;=Rates!$D$71,('Sell-Compute'!$B$40*(1+'Sell-Compute'!$B$50)^MOD(M$51-1,'Sell-Compute'!$C$21)-'Sell-Compute'!$B$42-'Sell-Compute'!$B$43)*(M124/4)-'Sell-Compute'!$B$41-'Sell-Compute'!$B$44-'Sell-Compute'!$B$45-IF(AND(MOD(M$51,'Sell-Compute'!$C$21)=0,M$51&lt;Rates!$D$71),'Sell-Compute'!$B$34*(M124/4),0),0)</f>
        <v/>
      </c>
      <c r="N128" s="68">
        <f>IF(N$51&lt;=Rates!$D$71,('Sell-Compute'!$B$40*(1+'Sell-Compute'!$B$50)^MOD(N$51-1,'Sell-Compute'!$C$21)-'Sell-Compute'!$B$42-'Sell-Compute'!$B$43)*(N124/4)-'Sell-Compute'!$B$41-'Sell-Compute'!$B$44-'Sell-Compute'!$B$45-IF(AND(MOD(N$51,'Sell-Compute'!$C$21)=0,N$51&lt;Rates!$D$71),'Sell-Compute'!$B$34*(N124/4),0),0)</f>
        <v/>
      </c>
      <c r="O128" s="68">
        <f>IF(O$51&lt;=Rates!$D$71,('Sell-Compute'!$B$40*(1+'Sell-Compute'!$B$50)^MOD(O$51-1,'Sell-Compute'!$C$21)-'Sell-Compute'!$B$42-'Sell-Compute'!$B$43)*(O124/4)-'Sell-Compute'!$B$41-'Sell-Compute'!$B$44-'Sell-Compute'!$B$45-IF(AND(MOD(O$51,'Sell-Compute'!$C$21)=0,O$51&lt;Rates!$D$71),'Sell-Compute'!$B$34*(O124/4),0),0)</f>
        <v/>
      </c>
      <c r="P128" s="68">
        <f>IF(P$51&lt;=Rates!$D$71,('Sell-Compute'!$B$40*(1+'Sell-Compute'!$B$50)^MOD(P$51-1,'Sell-Compute'!$C$21)-'Sell-Compute'!$B$42-'Sell-Compute'!$B$43)*(P124/4)-'Sell-Compute'!$B$41-'Sell-Compute'!$B$44-'Sell-Compute'!$B$45-IF(AND(MOD(P$51,'Sell-Compute'!$C$21)=0,P$51&lt;Rates!$D$71),'Sell-Compute'!$B$34*(P124/4),0),0)</f>
        <v/>
      </c>
      <c r="Q128" s="68">
        <f>IF(Q$51&lt;=Rates!$D$71,('Sell-Compute'!$B$40*(1+'Sell-Compute'!$B$50)^MOD(Q$51-1,'Sell-Compute'!$C$21)-'Sell-Compute'!$B$42-'Sell-Compute'!$B$43)*(Q124/4)-'Sell-Compute'!$B$41-'Sell-Compute'!$B$44-'Sell-Compute'!$B$45-IF(AND(MOD(Q$51,'Sell-Compute'!$C$21)=0,Q$51&lt;Rates!$D$71),'Sell-Compute'!$B$34*(Q124/4),0),0)</f>
        <v/>
      </c>
      <c r="R128" s="68">
        <f>IF(R$51&lt;=Rates!$D$71,('Sell-Compute'!$B$40*(1+'Sell-Compute'!$B$50)^MOD(R$51-1,'Sell-Compute'!$C$21)-'Sell-Compute'!$B$42-'Sell-Compute'!$B$43)*(R124/4)-'Sell-Compute'!$B$41-'Sell-Compute'!$B$44-'Sell-Compute'!$B$45-IF(AND(MOD(R$51,'Sell-Compute'!$C$21)=0,R$51&lt;Rates!$D$71),'Sell-Compute'!$B$34*(R124/4),0),0)</f>
        <v/>
      </c>
      <c r="S128" s="68">
        <f>IF(S$51&lt;=Rates!$D$71,('Sell-Compute'!$B$40*(1+'Sell-Compute'!$B$50)^MOD(S$51-1,'Sell-Compute'!$C$21)-'Sell-Compute'!$B$42-'Sell-Compute'!$B$43)*(S124/4)-'Sell-Compute'!$B$41-'Sell-Compute'!$B$44-'Sell-Compute'!$B$45-IF(AND(MOD(S$51,'Sell-Compute'!$C$21)=0,S$51&lt;Rates!$D$71),'Sell-Compute'!$B$34*(S124/4),0),0)</f>
        <v/>
      </c>
      <c r="T128" s="68">
        <f>IF(T$51&lt;=Rates!$D$71,('Sell-Compute'!$B$40*(1+'Sell-Compute'!$B$50)^MOD(T$51-1,'Sell-Compute'!$C$21)-'Sell-Compute'!$B$42-'Sell-Compute'!$B$43)*(T124/4)-'Sell-Compute'!$B$41-'Sell-Compute'!$B$44-'Sell-Compute'!$B$45-IF(AND(MOD(T$51,'Sell-Compute'!$C$21)=0,T$51&lt;Rates!$D$71),'Sell-Compute'!$B$34*(T124/4),0),0)</f>
        <v/>
      </c>
      <c r="U128" s="68">
        <f>IF(U$51&lt;=Rates!$D$71,('Sell-Compute'!$B$40*(1+'Sell-Compute'!$B$50)^MOD(U$51-1,'Sell-Compute'!$C$21)-'Sell-Compute'!$B$42-'Sell-Compute'!$B$43)*(U124/4)-'Sell-Compute'!$B$41-'Sell-Compute'!$B$44-'Sell-Compute'!$B$45-IF(AND(MOD(U$51,'Sell-Compute'!$C$21)=0,U$51&lt;Rates!$D$71),'Sell-Compute'!$B$34*(U124/4),0),0)</f>
        <v/>
      </c>
      <c r="V128" s="68">
        <f>IF(V$51&lt;=Rates!$D$71,('Sell-Compute'!$B$40*(1+'Sell-Compute'!$B$50)^MOD(V$51-1,'Sell-Compute'!$C$21)-'Sell-Compute'!$B$42-'Sell-Compute'!$B$43)*(V124/4)-'Sell-Compute'!$B$41-'Sell-Compute'!$B$44-'Sell-Compute'!$B$45-IF(AND(MOD(V$51,'Sell-Compute'!$C$21)=0,V$51&lt;Rates!$D$71),'Sell-Compute'!$B$34*(V124/4),0),0)</f>
        <v/>
      </c>
      <c r="W128" s="68">
        <f>IF(W$51&lt;=Rates!$D$71,('Sell-Compute'!$B$40*(1+'Sell-Compute'!$B$50)^MOD(W$51-1,'Sell-Compute'!$C$21)-'Sell-Compute'!$B$42-'Sell-Compute'!$B$43)*(W124/4)-'Sell-Compute'!$B$41-'Sell-Compute'!$B$44-'Sell-Compute'!$B$45-IF(AND(MOD(W$51,'Sell-Compute'!$C$21)=0,W$51&lt;Rates!$D$71),'Sell-Compute'!$B$34*(W124/4),0),0)</f>
        <v/>
      </c>
      <c r="X128" s="68">
        <f>IF(X$51&lt;=Rates!$D$71,('Sell-Compute'!$B$40*(1+'Sell-Compute'!$B$50)^MOD(X$51-1,'Sell-Compute'!$C$21)-'Sell-Compute'!$B$42-'Sell-Compute'!$B$43)*(X124/4)-'Sell-Compute'!$B$41-'Sell-Compute'!$B$44-'Sell-Compute'!$B$45-IF(AND(MOD(X$51,'Sell-Compute'!$C$21)=0,X$51&lt;Rates!$D$71),'Sell-Compute'!$B$34*(X124/4),0),0)</f>
        <v/>
      </c>
      <c r="Y128" s="68">
        <f>IF(Y$51&lt;=Rates!$D$71,('Sell-Compute'!$B$40*(1+'Sell-Compute'!$B$50)^MOD(Y$51-1,'Sell-Compute'!$C$21)-'Sell-Compute'!$B$42-'Sell-Compute'!$B$43)*(Y124/4)-'Sell-Compute'!$B$41-'Sell-Compute'!$B$44-'Sell-Compute'!$B$45-IF(AND(MOD(Y$51,'Sell-Compute'!$C$21)=0,Y$51&lt;Rates!$D$71),'Sell-Compute'!$B$34*(Y124/4),0),0)</f>
        <v/>
      </c>
      <c r="Z128" s="68">
        <f>IF(Z$51&lt;=Rates!$D$71,('Sell-Compute'!$B$40*(1+'Sell-Compute'!$B$50)^MOD(Z$51-1,'Sell-Compute'!$C$21)-'Sell-Compute'!$B$42-'Sell-Compute'!$B$43)*(Z124/4)-'Sell-Compute'!$B$41-'Sell-Compute'!$B$44-'Sell-Compute'!$B$45-IF(AND(MOD(Z$51,'Sell-Compute'!$C$21)=0,Z$51&lt;Rates!$D$71),'Sell-Compute'!$B$34*(Z124/4),0),0)</f>
        <v/>
      </c>
      <c r="AA128" s="68">
        <f>IF(AA$51&lt;=Rates!$D$71,('Sell-Compute'!$B$40*(1+'Sell-Compute'!$B$50)^MOD(AA$51-1,'Sell-Compute'!$C$21)-'Sell-Compute'!$B$42-'Sell-Compute'!$B$43)*(AA124/4)-'Sell-Compute'!$B$41-'Sell-Compute'!$B$44-'Sell-Compute'!$B$45-IF(AND(MOD(AA$51,'Sell-Compute'!$C$21)=0,AA$51&lt;Rates!$D$71),'Sell-Compute'!$B$34*(AA124/4),0),0)</f>
        <v/>
      </c>
      <c r="AB128" s="68">
        <f>IF(AB$51&lt;=Rates!$D$71,('Sell-Compute'!$B$40*(1+'Sell-Compute'!$B$50)^MOD(AB$51-1,'Sell-Compute'!$C$21)-'Sell-Compute'!$B$42-'Sell-Compute'!$B$43)*(AB124/4)-'Sell-Compute'!$B$41-'Sell-Compute'!$B$44-'Sell-Compute'!$B$45-IF(AND(MOD(AB$51,'Sell-Compute'!$C$21)=0,AB$51&lt;Rates!$D$71),'Sell-Compute'!$B$34*(AB124/4),0),0)</f>
        <v/>
      </c>
    </row>
    <row r="129">
      <c r="A129" s="68" t="inlineStr">
        <is>
          <t>Do nothing (dark modules stop buying GPUs) | colo</t>
        </is>
      </c>
      <c r="C129" s="68">
        <f>-'Sell-Compute'!$I$36</f>
        <v/>
      </c>
      <c r="D129" s="68">
        <f>IF(D$51&lt;=Rates!$D$71,'Sell-Compute'!$I$46-'Sell-Compute'!$I$40*(1-(D124/4)),0)</f>
        <v/>
      </c>
      <c r="E129" s="68">
        <f>IF(E$51&lt;=Rates!$D$71,'Sell-Compute'!$I$46-'Sell-Compute'!$I$40*(1-(E124/4)),0)</f>
        <v/>
      </c>
      <c r="F129" s="68">
        <f>IF(F$51&lt;=Rates!$D$71,'Sell-Compute'!$I$46-'Sell-Compute'!$I$40*(1-(F124/4)),0)</f>
        <v/>
      </c>
      <c r="G129" s="68">
        <f>IF(G$51&lt;=Rates!$D$71,'Sell-Compute'!$I$46-'Sell-Compute'!$I$40*(1-(G124/4)),0)</f>
        <v/>
      </c>
      <c r="H129" s="68">
        <f>IF(H$51&lt;=Rates!$D$71,'Sell-Compute'!$I$46-'Sell-Compute'!$I$40*(1-(H124/4)),0)</f>
        <v/>
      </c>
      <c r="I129" s="68">
        <f>IF(I$51&lt;=Rates!$D$71,'Sell-Compute'!$I$46-'Sell-Compute'!$I$40*(1-(I124/4)),0)</f>
        <v/>
      </c>
      <c r="J129" s="68">
        <f>IF(J$51&lt;=Rates!$D$71,'Sell-Compute'!$I$46-'Sell-Compute'!$I$40*(1-(J124/4)),0)</f>
        <v/>
      </c>
      <c r="K129" s="68">
        <f>IF(K$51&lt;=Rates!$D$71,'Sell-Compute'!$I$46-'Sell-Compute'!$I$40*(1-(K124/4)),0)</f>
        <v/>
      </c>
      <c r="L129" s="68">
        <f>IF(L$51&lt;=Rates!$D$71,'Sell-Compute'!$I$46-'Sell-Compute'!$I$40*(1-(L124/4)),0)</f>
        <v/>
      </c>
      <c r="M129" s="68">
        <f>IF(M$51&lt;=Rates!$D$71,'Sell-Compute'!$I$46-'Sell-Compute'!$I$40*(1-(M124/4)),0)</f>
        <v/>
      </c>
      <c r="N129" s="68">
        <f>IF(N$51&lt;=Rates!$D$71,'Sell-Compute'!$I$46-'Sell-Compute'!$I$40*(1-(N124/4)),0)</f>
        <v/>
      </c>
      <c r="O129" s="68">
        <f>IF(O$51&lt;=Rates!$D$71,'Sell-Compute'!$I$46-'Sell-Compute'!$I$40*(1-(O124/4)),0)</f>
        <v/>
      </c>
      <c r="P129" s="68">
        <f>IF(P$51&lt;=Rates!$D$71,'Sell-Compute'!$I$46-'Sell-Compute'!$I$40*(1-(P124/4)),0)</f>
        <v/>
      </c>
      <c r="Q129" s="68">
        <f>IF(Q$51&lt;=Rates!$D$71,'Sell-Compute'!$I$46-'Sell-Compute'!$I$40*(1-(Q124/4)),0)</f>
        <v/>
      </c>
      <c r="R129" s="68">
        <f>IF(R$51&lt;=Rates!$D$71,'Sell-Compute'!$I$46-'Sell-Compute'!$I$40*(1-(R124/4)),0)</f>
        <v/>
      </c>
      <c r="S129" s="68">
        <f>IF(S$51&lt;=Rates!$D$71,'Sell-Compute'!$I$46-'Sell-Compute'!$I$40*(1-(S124/4)),0)</f>
        <v/>
      </c>
      <c r="T129" s="68">
        <f>IF(T$51&lt;=Rates!$D$71,'Sell-Compute'!$I$46-'Sell-Compute'!$I$40*(1-(T124/4)),0)</f>
        <v/>
      </c>
      <c r="U129" s="68">
        <f>IF(U$51&lt;=Rates!$D$71,'Sell-Compute'!$I$46-'Sell-Compute'!$I$40*(1-(U124/4)),0)</f>
        <v/>
      </c>
      <c r="V129" s="68">
        <f>IF(V$51&lt;=Rates!$D$71,'Sell-Compute'!$I$46-'Sell-Compute'!$I$40*(1-(V124/4)),0)</f>
        <v/>
      </c>
      <c r="W129" s="68">
        <f>IF(W$51&lt;=Rates!$D$71,'Sell-Compute'!$I$46-'Sell-Compute'!$I$40*(1-(W124/4)),0)</f>
        <v/>
      </c>
      <c r="X129" s="68">
        <f>IF(X$51&lt;=Rates!$D$71,'Sell-Compute'!$I$46-'Sell-Compute'!$I$40*(1-(X124/4)),0)</f>
        <v/>
      </c>
      <c r="Y129" s="68">
        <f>IF(Y$51&lt;=Rates!$D$71,'Sell-Compute'!$I$46-'Sell-Compute'!$I$40*(1-(Y124/4)),0)</f>
        <v/>
      </c>
      <c r="Z129" s="68">
        <f>IF(Z$51&lt;=Rates!$D$71,'Sell-Compute'!$I$46-'Sell-Compute'!$I$40*(1-(Z124/4)),0)</f>
        <v/>
      </c>
      <c r="AA129" s="68">
        <f>IF(AA$51&lt;=Rates!$D$71,'Sell-Compute'!$I$46-'Sell-Compute'!$I$40*(1-(AA124/4)),0)</f>
        <v/>
      </c>
      <c r="AB129" s="68">
        <f>IF(AB$51&lt;=Rates!$D$71,'Sell-Compute'!$I$46-'Sell-Compute'!$I$40*(1-(AB124/4)),0)</f>
        <v/>
      </c>
    </row>
    <row r="130">
      <c r="A130" s="68" t="inlineStr">
        <is>
          <t>(a) Extra doublets at start | flat</t>
        </is>
      </c>
      <c r="C130" s="68">
        <f>-'Sell-Compute'!$C$36-IF(ISNUMBER($E$118),$E$118*(2*($C$11+$C$12)*(1+$C$14)),0)</f>
        <v/>
      </c>
      <c r="D130" s="68">
        <f>IF(D$51&lt;=Rates!$D$71,('Sell-Compute'!$C$40*(1+'Sell-Compute'!$C$50)^MOD(D$51-1,'Sell-Compute'!$C$21)-'Sell-Compute'!$C$42-'Sell-Compute'!$C$43)*(D125/4)-'Sell-Compute'!$C$41-'Sell-Compute'!$C$44-'Sell-Compute'!$C$45-IF(AND(MOD(D$51,'Sell-Compute'!$C$21)=0,D$51&lt;Rates!$D$71),'Sell-Compute'!$C$34*(D125/4),0),0)</f>
        <v/>
      </c>
      <c r="E130" s="68">
        <f>IF(E$51&lt;=Rates!$D$71,('Sell-Compute'!$C$40*(1+'Sell-Compute'!$C$50)^MOD(E$51-1,'Sell-Compute'!$C$21)-'Sell-Compute'!$C$42-'Sell-Compute'!$C$43)*(E125/4)-'Sell-Compute'!$C$41-'Sell-Compute'!$C$44-'Sell-Compute'!$C$45-IF(AND(MOD(E$51,'Sell-Compute'!$C$21)=0,E$51&lt;Rates!$D$71),'Sell-Compute'!$C$34*(E125/4),0),0)</f>
        <v/>
      </c>
      <c r="F130" s="68">
        <f>IF(F$51&lt;=Rates!$D$71,('Sell-Compute'!$C$40*(1+'Sell-Compute'!$C$50)^MOD(F$51-1,'Sell-Compute'!$C$21)-'Sell-Compute'!$C$42-'Sell-Compute'!$C$43)*(F125/4)-'Sell-Compute'!$C$41-'Sell-Compute'!$C$44-'Sell-Compute'!$C$45-IF(AND(MOD(F$51,'Sell-Compute'!$C$21)=0,F$51&lt;Rates!$D$71),'Sell-Compute'!$C$34*(F125/4),0),0)</f>
        <v/>
      </c>
      <c r="G130" s="68">
        <f>IF(G$51&lt;=Rates!$D$71,('Sell-Compute'!$C$40*(1+'Sell-Compute'!$C$50)^MOD(G$51-1,'Sell-Compute'!$C$21)-'Sell-Compute'!$C$42-'Sell-Compute'!$C$43)*(G125/4)-'Sell-Compute'!$C$41-'Sell-Compute'!$C$44-'Sell-Compute'!$C$45-IF(AND(MOD(G$51,'Sell-Compute'!$C$21)=0,G$51&lt;Rates!$D$71),'Sell-Compute'!$C$34*(G125/4),0),0)</f>
        <v/>
      </c>
      <c r="H130" s="68">
        <f>IF(H$51&lt;=Rates!$D$71,('Sell-Compute'!$C$40*(1+'Sell-Compute'!$C$50)^MOD(H$51-1,'Sell-Compute'!$C$21)-'Sell-Compute'!$C$42-'Sell-Compute'!$C$43)*(H125/4)-'Sell-Compute'!$C$41-'Sell-Compute'!$C$44-'Sell-Compute'!$C$45-IF(AND(MOD(H$51,'Sell-Compute'!$C$21)=0,H$51&lt;Rates!$D$71),'Sell-Compute'!$C$34*(H125/4),0),0)</f>
        <v/>
      </c>
      <c r="I130" s="68">
        <f>IF(I$51&lt;=Rates!$D$71,('Sell-Compute'!$C$40*(1+'Sell-Compute'!$C$50)^MOD(I$51-1,'Sell-Compute'!$C$21)-'Sell-Compute'!$C$42-'Sell-Compute'!$C$43)*(I125/4)-'Sell-Compute'!$C$41-'Sell-Compute'!$C$44-'Sell-Compute'!$C$45-IF(AND(MOD(I$51,'Sell-Compute'!$C$21)=0,I$51&lt;Rates!$D$71),'Sell-Compute'!$C$34*(I125/4),0),0)</f>
        <v/>
      </c>
      <c r="J130" s="68">
        <f>IF(J$51&lt;=Rates!$D$71,('Sell-Compute'!$C$40*(1+'Sell-Compute'!$C$50)^MOD(J$51-1,'Sell-Compute'!$C$21)-'Sell-Compute'!$C$42-'Sell-Compute'!$C$43)*(J125/4)-'Sell-Compute'!$C$41-'Sell-Compute'!$C$44-'Sell-Compute'!$C$45-IF(AND(MOD(J$51,'Sell-Compute'!$C$21)=0,J$51&lt;Rates!$D$71),'Sell-Compute'!$C$34*(J125/4),0),0)</f>
        <v/>
      </c>
      <c r="K130" s="68">
        <f>IF(K$51&lt;=Rates!$D$71,('Sell-Compute'!$C$40*(1+'Sell-Compute'!$C$50)^MOD(K$51-1,'Sell-Compute'!$C$21)-'Sell-Compute'!$C$42-'Sell-Compute'!$C$43)*(K125/4)-'Sell-Compute'!$C$41-'Sell-Compute'!$C$44-'Sell-Compute'!$C$45-IF(AND(MOD(K$51,'Sell-Compute'!$C$21)=0,K$51&lt;Rates!$D$71),'Sell-Compute'!$C$34*(K125/4),0),0)</f>
        <v/>
      </c>
      <c r="L130" s="68">
        <f>IF(L$51&lt;=Rates!$D$71,('Sell-Compute'!$C$40*(1+'Sell-Compute'!$C$50)^MOD(L$51-1,'Sell-Compute'!$C$21)-'Sell-Compute'!$C$42-'Sell-Compute'!$C$43)*(L125/4)-'Sell-Compute'!$C$41-'Sell-Compute'!$C$44-'Sell-Compute'!$C$45-IF(AND(MOD(L$51,'Sell-Compute'!$C$21)=0,L$51&lt;Rates!$D$71),'Sell-Compute'!$C$34*(L125/4),0),0)</f>
        <v/>
      </c>
      <c r="M130" s="68">
        <f>IF(M$51&lt;=Rates!$D$71,('Sell-Compute'!$C$40*(1+'Sell-Compute'!$C$50)^MOD(M$51-1,'Sell-Compute'!$C$21)-'Sell-Compute'!$C$42-'Sell-Compute'!$C$43)*(M125/4)-'Sell-Compute'!$C$41-'Sell-Compute'!$C$44-'Sell-Compute'!$C$45-IF(AND(MOD(M$51,'Sell-Compute'!$C$21)=0,M$51&lt;Rates!$D$71),'Sell-Compute'!$C$34*(M125/4),0),0)</f>
        <v/>
      </c>
      <c r="N130" s="68">
        <f>IF(N$51&lt;=Rates!$D$71,('Sell-Compute'!$C$40*(1+'Sell-Compute'!$C$50)^MOD(N$51-1,'Sell-Compute'!$C$21)-'Sell-Compute'!$C$42-'Sell-Compute'!$C$43)*(N125/4)-'Sell-Compute'!$C$41-'Sell-Compute'!$C$44-'Sell-Compute'!$C$45-IF(AND(MOD(N$51,'Sell-Compute'!$C$21)=0,N$51&lt;Rates!$D$71),'Sell-Compute'!$C$34*(N125/4),0),0)</f>
        <v/>
      </c>
      <c r="O130" s="68">
        <f>IF(O$51&lt;=Rates!$D$71,('Sell-Compute'!$C$40*(1+'Sell-Compute'!$C$50)^MOD(O$51-1,'Sell-Compute'!$C$21)-'Sell-Compute'!$C$42-'Sell-Compute'!$C$43)*(O125/4)-'Sell-Compute'!$C$41-'Sell-Compute'!$C$44-'Sell-Compute'!$C$45-IF(AND(MOD(O$51,'Sell-Compute'!$C$21)=0,O$51&lt;Rates!$D$71),'Sell-Compute'!$C$34*(O125/4),0),0)</f>
        <v/>
      </c>
      <c r="P130" s="68">
        <f>IF(P$51&lt;=Rates!$D$71,('Sell-Compute'!$C$40*(1+'Sell-Compute'!$C$50)^MOD(P$51-1,'Sell-Compute'!$C$21)-'Sell-Compute'!$C$42-'Sell-Compute'!$C$43)*(P125/4)-'Sell-Compute'!$C$41-'Sell-Compute'!$C$44-'Sell-Compute'!$C$45-IF(AND(MOD(P$51,'Sell-Compute'!$C$21)=0,P$51&lt;Rates!$D$71),'Sell-Compute'!$C$34*(P125/4),0),0)</f>
        <v/>
      </c>
      <c r="Q130" s="68">
        <f>IF(Q$51&lt;=Rates!$D$71,('Sell-Compute'!$C$40*(1+'Sell-Compute'!$C$50)^MOD(Q$51-1,'Sell-Compute'!$C$21)-'Sell-Compute'!$C$42-'Sell-Compute'!$C$43)*(Q125/4)-'Sell-Compute'!$C$41-'Sell-Compute'!$C$44-'Sell-Compute'!$C$45-IF(AND(MOD(Q$51,'Sell-Compute'!$C$21)=0,Q$51&lt;Rates!$D$71),'Sell-Compute'!$C$34*(Q125/4),0),0)</f>
        <v/>
      </c>
      <c r="R130" s="68">
        <f>IF(R$51&lt;=Rates!$D$71,('Sell-Compute'!$C$40*(1+'Sell-Compute'!$C$50)^MOD(R$51-1,'Sell-Compute'!$C$21)-'Sell-Compute'!$C$42-'Sell-Compute'!$C$43)*(R125/4)-'Sell-Compute'!$C$41-'Sell-Compute'!$C$44-'Sell-Compute'!$C$45-IF(AND(MOD(R$51,'Sell-Compute'!$C$21)=0,R$51&lt;Rates!$D$71),'Sell-Compute'!$C$34*(R125/4),0),0)</f>
        <v/>
      </c>
      <c r="S130" s="68">
        <f>IF(S$51&lt;=Rates!$D$71,('Sell-Compute'!$C$40*(1+'Sell-Compute'!$C$50)^MOD(S$51-1,'Sell-Compute'!$C$21)-'Sell-Compute'!$C$42-'Sell-Compute'!$C$43)*(S125/4)-'Sell-Compute'!$C$41-'Sell-Compute'!$C$44-'Sell-Compute'!$C$45-IF(AND(MOD(S$51,'Sell-Compute'!$C$21)=0,S$51&lt;Rates!$D$71),'Sell-Compute'!$C$34*(S125/4),0),0)</f>
        <v/>
      </c>
      <c r="T130" s="68">
        <f>IF(T$51&lt;=Rates!$D$71,('Sell-Compute'!$C$40*(1+'Sell-Compute'!$C$50)^MOD(T$51-1,'Sell-Compute'!$C$21)-'Sell-Compute'!$C$42-'Sell-Compute'!$C$43)*(T125/4)-'Sell-Compute'!$C$41-'Sell-Compute'!$C$44-'Sell-Compute'!$C$45-IF(AND(MOD(T$51,'Sell-Compute'!$C$21)=0,T$51&lt;Rates!$D$71),'Sell-Compute'!$C$34*(T125/4),0),0)</f>
        <v/>
      </c>
      <c r="U130" s="68">
        <f>IF(U$51&lt;=Rates!$D$71,('Sell-Compute'!$C$40*(1+'Sell-Compute'!$C$50)^MOD(U$51-1,'Sell-Compute'!$C$21)-'Sell-Compute'!$C$42-'Sell-Compute'!$C$43)*(U125/4)-'Sell-Compute'!$C$41-'Sell-Compute'!$C$44-'Sell-Compute'!$C$45-IF(AND(MOD(U$51,'Sell-Compute'!$C$21)=0,U$51&lt;Rates!$D$71),'Sell-Compute'!$C$34*(U125/4),0),0)</f>
        <v/>
      </c>
      <c r="V130" s="68">
        <f>IF(V$51&lt;=Rates!$D$71,('Sell-Compute'!$C$40*(1+'Sell-Compute'!$C$50)^MOD(V$51-1,'Sell-Compute'!$C$21)-'Sell-Compute'!$C$42-'Sell-Compute'!$C$43)*(V125/4)-'Sell-Compute'!$C$41-'Sell-Compute'!$C$44-'Sell-Compute'!$C$45-IF(AND(MOD(V$51,'Sell-Compute'!$C$21)=0,V$51&lt;Rates!$D$71),'Sell-Compute'!$C$34*(V125/4),0),0)</f>
        <v/>
      </c>
      <c r="W130" s="68">
        <f>IF(W$51&lt;=Rates!$D$71,('Sell-Compute'!$C$40*(1+'Sell-Compute'!$C$50)^MOD(W$51-1,'Sell-Compute'!$C$21)-'Sell-Compute'!$C$42-'Sell-Compute'!$C$43)*(W125/4)-'Sell-Compute'!$C$41-'Sell-Compute'!$C$44-'Sell-Compute'!$C$45-IF(AND(MOD(W$51,'Sell-Compute'!$C$21)=0,W$51&lt;Rates!$D$71),'Sell-Compute'!$C$34*(W125/4),0),0)</f>
        <v/>
      </c>
      <c r="X130" s="68">
        <f>IF(X$51&lt;=Rates!$D$71,('Sell-Compute'!$C$40*(1+'Sell-Compute'!$C$50)^MOD(X$51-1,'Sell-Compute'!$C$21)-'Sell-Compute'!$C$42-'Sell-Compute'!$C$43)*(X125/4)-'Sell-Compute'!$C$41-'Sell-Compute'!$C$44-'Sell-Compute'!$C$45-IF(AND(MOD(X$51,'Sell-Compute'!$C$21)=0,X$51&lt;Rates!$D$71),'Sell-Compute'!$C$34*(X125/4),0),0)</f>
        <v/>
      </c>
      <c r="Y130" s="68">
        <f>IF(Y$51&lt;=Rates!$D$71,('Sell-Compute'!$C$40*(1+'Sell-Compute'!$C$50)^MOD(Y$51-1,'Sell-Compute'!$C$21)-'Sell-Compute'!$C$42-'Sell-Compute'!$C$43)*(Y125/4)-'Sell-Compute'!$C$41-'Sell-Compute'!$C$44-'Sell-Compute'!$C$45-IF(AND(MOD(Y$51,'Sell-Compute'!$C$21)=0,Y$51&lt;Rates!$D$71),'Sell-Compute'!$C$34*(Y125/4),0),0)</f>
        <v/>
      </c>
      <c r="Z130" s="68">
        <f>IF(Z$51&lt;=Rates!$D$71,('Sell-Compute'!$C$40*(1+'Sell-Compute'!$C$50)^MOD(Z$51-1,'Sell-Compute'!$C$21)-'Sell-Compute'!$C$42-'Sell-Compute'!$C$43)*(Z125/4)-'Sell-Compute'!$C$41-'Sell-Compute'!$C$44-'Sell-Compute'!$C$45-IF(AND(MOD(Z$51,'Sell-Compute'!$C$21)=0,Z$51&lt;Rates!$D$71),'Sell-Compute'!$C$34*(Z125/4),0),0)</f>
        <v/>
      </c>
      <c r="AA130" s="68">
        <f>IF(AA$51&lt;=Rates!$D$71,('Sell-Compute'!$C$40*(1+'Sell-Compute'!$C$50)^MOD(AA$51-1,'Sell-Compute'!$C$21)-'Sell-Compute'!$C$42-'Sell-Compute'!$C$43)*(AA125/4)-'Sell-Compute'!$C$41-'Sell-Compute'!$C$44-'Sell-Compute'!$C$45-IF(AND(MOD(AA$51,'Sell-Compute'!$C$21)=0,AA$51&lt;Rates!$D$71),'Sell-Compute'!$C$34*(AA125/4),0),0)</f>
        <v/>
      </c>
      <c r="AB130" s="68">
        <f>IF(AB$51&lt;=Rates!$D$71,('Sell-Compute'!$C$40*(1+'Sell-Compute'!$C$50)^MOD(AB$51-1,'Sell-Compute'!$C$21)-'Sell-Compute'!$C$42-'Sell-Compute'!$C$43)*(AB125/4)-'Sell-Compute'!$C$41-'Sell-Compute'!$C$44-'Sell-Compute'!$C$45-IF(AND(MOD(AB$51,'Sell-Compute'!$C$21)=0,AB$51&lt;Rates!$D$71),'Sell-Compute'!$C$34*(AB125/4),0),0)</f>
        <v/>
      </c>
    </row>
    <row r="131">
      <c r="A131" s="68" t="inlineStr">
        <is>
          <t>(a) Extra doublets at start | dec</t>
        </is>
      </c>
      <c r="C131" s="68">
        <f>-'Sell-Compute'!$B$36-IF(ISNUMBER($E$118),$E$118*(2*($C$11+$C$12)*(1+$C$14)),0)</f>
        <v/>
      </c>
      <c r="D131" s="68">
        <f>IF(D$51&lt;=Rates!$D$71,('Sell-Compute'!$B$40*(1+'Sell-Compute'!$B$50)^MOD(D$51-1,'Sell-Compute'!$C$21)-'Sell-Compute'!$B$42-'Sell-Compute'!$B$43)*(D125/4)-'Sell-Compute'!$B$41-'Sell-Compute'!$B$44-'Sell-Compute'!$B$45-IF(AND(MOD(D$51,'Sell-Compute'!$C$21)=0,D$51&lt;Rates!$D$71),'Sell-Compute'!$B$34*(D125/4),0),0)</f>
        <v/>
      </c>
      <c r="E131" s="68">
        <f>IF(E$51&lt;=Rates!$D$71,('Sell-Compute'!$B$40*(1+'Sell-Compute'!$B$50)^MOD(E$51-1,'Sell-Compute'!$C$21)-'Sell-Compute'!$B$42-'Sell-Compute'!$B$43)*(E125/4)-'Sell-Compute'!$B$41-'Sell-Compute'!$B$44-'Sell-Compute'!$B$45-IF(AND(MOD(E$51,'Sell-Compute'!$C$21)=0,E$51&lt;Rates!$D$71),'Sell-Compute'!$B$34*(E125/4),0),0)</f>
        <v/>
      </c>
      <c r="F131" s="68">
        <f>IF(F$51&lt;=Rates!$D$71,('Sell-Compute'!$B$40*(1+'Sell-Compute'!$B$50)^MOD(F$51-1,'Sell-Compute'!$C$21)-'Sell-Compute'!$B$42-'Sell-Compute'!$B$43)*(F125/4)-'Sell-Compute'!$B$41-'Sell-Compute'!$B$44-'Sell-Compute'!$B$45-IF(AND(MOD(F$51,'Sell-Compute'!$C$21)=0,F$51&lt;Rates!$D$71),'Sell-Compute'!$B$34*(F125/4),0),0)</f>
        <v/>
      </c>
      <c r="G131" s="68">
        <f>IF(G$51&lt;=Rates!$D$71,('Sell-Compute'!$B$40*(1+'Sell-Compute'!$B$50)^MOD(G$51-1,'Sell-Compute'!$C$21)-'Sell-Compute'!$B$42-'Sell-Compute'!$B$43)*(G125/4)-'Sell-Compute'!$B$41-'Sell-Compute'!$B$44-'Sell-Compute'!$B$45-IF(AND(MOD(G$51,'Sell-Compute'!$C$21)=0,G$51&lt;Rates!$D$71),'Sell-Compute'!$B$34*(G125/4),0),0)</f>
        <v/>
      </c>
      <c r="H131" s="68">
        <f>IF(H$51&lt;=Rates!$D$71,('Sell-Compute'!$B$40*(1+'Sell-Compute'!$B$50)^MOD(H$51-1,'Sell-Compute'!$C$21)-'Sell-Compute'!$B$42-'Sell-Compute'!$B$43)*(H125/4)-'Sell-Compute'!$B$41-'Sell-Compute'!$B$44-'Sell-Compute'!$B$45-IF(AND(MOD(H$51,'Sell-Compute'!$C$21)=0,H$51&lt;Rates!$D$71),'Sell-Compute'!$B$34*(H125/4),0),0)</f>
        <v/>
      </c>
      <c r="I131" s="68">
        <f>IF(I$51&lt;=Rates!$D$71,('Sell-Compute'!$B$40*(1+'Sell-Compute'!$B$50)^MOD(I$51-1,'Sell-Compute'!$C$21)-'Sell-Compute'!$B$42-'Sell-Compute'!$B$43)*(I125/4)-'Sell-Compute'!$B$41-'Sell-Compute'!$B$44-'Sell-Compute'!$B$45-IF(AND(MOD(I$51,'Sell-Compute'!$C$21)=0,I$51&lt;Rates!$D$71),'Sell-Compute'!$B$34*(I125/4),0),0)</f>
        <v/>
      </c>
      <c r="J131" s="68">
        <f>IF(J$51&lt;=Rates!$D$71,('Sell-Compute'!$B$40*(1+'Sell-Compute'!$B$50)^MOD(J$51-1,'Sell-Compute'!$C$21)-'Sell-Compute'!$B$42-'Sell-Compute'!$B$43)*(J125/4)-'Sell-Compute'!$B$41-'Sell-Compute'!$B$44-'Sell-Compute'!$B$45-IF(AND(MOD(J$51,'Sell-Compute'!$C$21)=0,J$51&lt;Rates!$D$71),'Sell-Compute'!$B$34*(J125/4),0),0)</f>
        <v/>
      </c>
      <c r="K131" s="68">
        <f>IF(K$51&lt;=Rates!$D$71,('Sell-Compute'!$B$40*(1+'Sell-Compute'!$B$50)^MOD(K$51-1,'Sell-Compute'!$C$21)-'Sell-Compute'!$B$42-'Sell-Compute'!$B$43)*(K125/4)-'Sell-Compute'!$B$41-'Sell-Compute'!$B$44-'Sell-Compute'!$B$45-IF(AND(MOD(K$51,'Sell-Compute'!$C$21)=0,K$51&lt;Rates!$D$71),'Sell-Compute'!$B$34*(K125/4),0),0)</f>
        <v/>
      </c>
      <c r="L131" s="68">
        <f>IF(L$51&lt;=Rates!$D$71,('Sell-Compute'!$B$40*(1+'Sell-Compute'!$B$50)^MOD(L$51-1,'Sell-Compute'!$C$21)-'Sell-Compute'!$B$42-'Sell-Compute'!$B$43)*(L125/4)-'Sell-Compute'!$B$41-'Sell-Compute'!$B$44-'Sell-Compute'!$B$45-IF(AND(MOD(L$51,'Sell-Compute'!$C$21)=0,L$51&lt;Rates!$D$71),'Sell-Compute'!$B$34*(L125/4),0),0)</f>
        <v/>
      </c>
      <c r="M131" s="68">
        <f>IF(M$51&lt;=Rates!$D$71,('Sell-Compute'!$B$40*(1+'Sell-Compute'!$B$50)^MOD(M$51-1,'Sell-Compute'!$C$21)-'Sell-Compute'!$B$42-'Sell-Compute'!$B$43)*(M125/4)-'Sell-Compute'!$B$41-'Sell-Compute'!$B$44-'Sell-Compute'!$B$45-IF(AND(MOD(M$51,'Sell-Compute'!$C$21)=0,M$51&lt;Rates!$D$71),'Sell-Compute'!$B$34*(M125/4),0),0)</f>
        <v/>
      </c>
      <c r="N131" s="68">
        <f>IF(N$51&lt;=Rates!$D$71,('Sell-Compute'!$B$40*(1+'Sell-Compute'!$B$50)^MOD(N$51-1,'Sell-Compute'!$C$21)-'Sell-Compute'!$B$42-'Sell-Compute'!$B$43)*(N125/4)-'Sell-Compute'!$B$41-'Sell-Compute'!$B$44-'Sell-Compute'!$B$45-IF(AND(MOD(N$51,'Sell-Compute'!$C$21)=0,N$51&lt;Rates!$D$71),'Sell-Compute'!$B$34*(N125/4),0),0)</f>
        <v/>
      </c>
      <c r="O131" s="68">
        <f>IF(O$51&lt;=Rates!$D$71,('Sell-Compute'!$B$40*(1+'Sell-Compute'!$B$50)^MOD(O$51-1,'Sell-Compute'!$C$21)-'Sell-Compute'!$B$42-'Sell-Compute'!$B$43)*(O125/4)-'Sell-Compute'!$B$41-'Sell-Compute'!$B$44-'Sell-Compute'!$B$45-IF(AND(MOD(O$51,'Sell-Compute'!$C$21)=0,O$51&lt;Rates!$D$71),'Sell-Compute'!$B$34*(O125/4),0),0)</f>
        <v/>
      </c>
      <c r="P131" s="68">
        <f>IF(P$51&lt;=Rates!$D$71,('Sell-Compute'!$B$40*(1+'Sell-Compute'!$B$50)^MOD(P$51-1,'Sell-Compute'!$C$21)-'Sell-Compute'!$B$42-'Sell-Compute'!$B$43)*(P125/4)-'Sell-Compute'!$B$41-'Sell-Compute'!$B$44-'Sell-Compute'!$B$45-IF(AND(MOD(P$51,'Sell-Compute'!$C$21)=0,P$51&lt;Rates!$D$71),'Sell-Compute'!$B$34*(P125/4),0),0)</f>
        <v/>
      </c>
      <c r="Q131" s="68">
        <f>IF(Q$51&lt;=Rates!$D$71,('Sell-Compute'!$B$40*(1+'Sell-Compute'!$B$50)^MOD(Q$51-1,'Sell-Compute'!$C$21)-'Sell-Compute'!$B$42-'Sell-Compute'!$B$43)*(Q125/4)-'Sell-Compute'!$B$41-'Sell-Compute'!$B$44-'Sell-Compute'!$B$45-IF(AND(MOD(Q$51,'Sell-Compute'!$C$21)=0,Q$51&lt;Rates!$D$71),'Sell-Compute'!$B$34*(Q125/4),0),0)</f>
        <v/>
      </c>
      <c r="R131" s="68">
        <f>IF(R$51&lt;=Rates!$D$71,('Sell-Compute'!$B$40*(1+'Sell-Compute'!$B$50)^MOD(R$51-1,'Sell-Compute'!$C$21)-'Sell-Compute'!$B$42-'Sell-Compute'!$B$43)*(R125/4)-'Sell-Compute'!$B$41-'Sell-Compute'!$B$44-'Sell-Compute'!$B$45-IF(AND(MOD(R$51,'Sell-Compute'!$C$21)=0,R$51&lt;Rates!$D$71),'Sell-Compute'!$B$34*(R125/4),0),0)</f>
        <v/>
      </c>
      <c r="S131" s="68">
        <f>IF(S$51&lt;=Rates!$D$71,('Sell-Compute'!$B$40*(1+'Sell-Compute'!$B$50)^MOD(S$51-1,'Sell-Compute'!$C$21)-'Sell-Compute'!$B$42-'Sell-Compute'!$B$43)*(S125/4)-'Sell-Compute'!$B$41-'Sell-Compute'!$B$44-'Sell-Compute'!$B$45-IF(AND(MOD(S$51,'Sell-Compute'!$C$21)=0,S$51&lt;Rates!$D$71),'Sell-Compute'!$B$34*(S125/4),0),0)</f>
        <v/>
      </c>
      <c r="T131" s="68">
        <f>IF(T$51&lt;=Rates!$D$71,('Sell-Compute'!$B$40*(1+'Sell-Compute'!$B$50)^MOD(T$51-1,'Sell-Compute'!$C$21)-'Sell-Compute'!$B$42-'Sell-Compute'!$B$43)*(T125/4)-'Sell-Compute'!$B$41-'Sell-Compute'!$B$44-'Sell-Compute'!$B$45-IF(AND(MOD(T$51,'Sell-Compute'!$C$21)=0,T$51&lt;Rates!$D$71),'Sell-Compute'!$B$34*(T125/4),0),0)</f>
        <v/>
      </c>
      <c r="U131" s="68">
        <f>IF(U$51&lt;=Rates!$D$71,('Sell-Compute'!$B$40*(1+'Sell-Compute'!$B$50)^MOD(U$51-1,'Sell-Compute'!$C$21)-'Sell-Compute'!$B$42-'Sell-Compute'!$B$43)*(U125/4)-'Sell-Compute'!$B$41-'Sell-Compute'!$B$44-'Sell-Compute'!$B$45-IF(AND(MOD(U$51,'Sell-Compute'!$C$21)=0,U$51&lt;Rates!$D$71),'Sell-Compute'!$B$34*(U125/4),0),0)</f>
        <v/>
      </c>
      <c r="V131" s="68">
        <f>IF(V$51&lt;=Rates!$D$71,('Sell-Compute'!$B$40*(1+'Sell-Compute'!$B$50)^MOD(V$51-1,'Sell-Compute'!$C$21)-'Sell-Compute'!$B$42-'Sell-Compute'!$B$43)*(V125/4)-'Sell-Compute'!$B$41-'Sell-Compute'!$B$44-'Sell-Compute'!$B$45-IF(AND(MOD(V$51,'Sell-Compute'!$C$21)=0,V$51&lt;Rates!$D$71),'Sell-Compute'!$B$34*(V125/4),0),0)</f>
        <v/>
      </c>
      <c r="W131" s="68">
        <f>IF(W$51&lt;=Rates!$D$71,('Sell-Compute'!$B$40*(1+'Sell-Compute'!$B$50)^MOD(W$51-1,'Sell-Compute'!$C$21)-'Sell-Compute'!$B$42-'Sell-Compute'!$B$43)*(W125/4)-'Sell-Compute'!$B$41-'Sell-Compute'!$B$44-'Sell-Compute'!$B$45-IF(AND(MOD(W$51,'Sell-Compute'!$C$21)=0,W$51&lt;Rates!$D$71),'Sell-Compute'!$B$34*(W125/4),0),0)</f>
        <v/>
      </c>
      <c r="X131" s="68">
        <f>IF(X$51&lt;=Rates!$D$71,('Sell-Compute'!$B$40*(1+'Sell-Compute'!$B$50)^MOD(X$51-1,'Sell-Compute'!$C$21)-'Sell-Compute'!$B$42-'Sell-Compute'!$B$43)*(X125/4)-'Sell-Compute'!$B$41-'Sell-Compute'!$B$44-'Sell-Compute'!$B$45-IF(AND(MOD(X$51,'Sell-Compute'!$C$21)=0,X$51&lt;Rates!$D$71),'Sell-Compute'!$B$34*(X125/4),0),0)</f>
        <v/>
      </c>
      <c r="Y131" s="68">
        <f>IF(Y$51&lt;=Rates!$D$71,('Sell-Compute'!$B$40*(1+'Sell-Compute'!$B$50)^MOD(Y$51-1,'Sell-Compute'!$C$21)-'Sell-Compute'!$B$42-'Sell-Compute'!$B$43)*(Y125/4)-'Sell-Compute'!$B$41-'Sell-Compute'!$B$44-'Sell-Compute'!$B$45-IF(AND(MOD(Y$51,'Sell-Compute'!$C$21)=0,Y$51&lt;Rates!$D$71),'Sell-Compute'!$B$34*(Y125/4),0),0)</f>
        <v/>
      </c>
      <c r="Z131" s="68">
        <f>IF(Z$51&lt;=Rates!$D$71,('Sell-Compute'!$B$40*(1+'Sell-Compute'!$B$50)^MOD(Z$51-1,'Sell-Compute'!$C$21)-'Sell-Compute'!$B$42-'Sell-Compute'!$B$43)*(Z125/4)-'Sell-Compute'!$B$41-'Sell-Compute'!$B$44-'Sell-Compute'!$B$45-IF(AND(MOD(Z$51,'Sell-Compute'!$C$21)=0,Z$51&lt;Rates!$D$71),'Sell-Compute'!$B$34*(Z125/4),0),0)</f>
        <v/>
      </c>
      <c r="AA131" s="68">
        <f>IF(AA$51&lt;=Rates!$D$71,('Sell-Compute'!$B$40*(1+'Sell-Compute'!$B$50)^MOD(AA$51-1,'Sell-Compute'!$C$21)-'Sell-Compute'!$B$42-'Sell-Compute'!$B$43)*(AA125/4)-'Sell-Compute'!$B$41-'Sell-Compute'!$B$44-'Sell-Compute'!$B$45-IF(AND(MOD(AA$51,'Sell-Compute'!$C$21)=0,AA$51&lt;Rates!$D$71),'Sell-Compute'!$B$34*(AA125/4),0),0)</f>
        <v/>
      </c>
      <c r="AB131" s="68">
        <f>IF(AB$51&lt;=Rates!$D$71,('Sell-Compute'!$B$40*(1+'Sell-Compute'!$B$50)^MOD(AB$51-1,'Sell-Compute'!$C$21)-'Sell-Compute'!$B$42-'Sell-Compute'!$B$43)*(AB125/4)-'Sell-Compute'!$B$41-'Sell-Compute'!$B$44-'Sell-Compute'!$B$45-IF(AND(MOD(AB$51,'Sell-Compute'!$C$21)=0,AB$51&lt;Rates!$D$71),'Sell-Compute'!$B$34*(AB125/4),0),0)</f>
        <v/>
      </c>
    </row>
    <row r="132">
      <c r="A132" s="68" t="inlineStr">
        <is>
          <t>(a) Extra doublets at start | colo</t>
        </is>
      </c>
      <c r="C132" s="68">
        <f>-'Sell-Compute'!$I$36-IF(ISNUMBER($E$118),$E$118*(2*($C$11+$C$12)*(1+$C$14)),0)</f>
        <v/>
      </c>
      <c r="D132" s="68">
        <f>IF(D$51&lt;=Rates!$D$71,'Sell-Compute'!$I$46-'Sell-Compute'!$I$40*(1-(D125/4)),0)</f>
        <v/>
      </c>
      <c r="E132" s="68">
        <f>IF(E$51&lt;=Rates!$D$71,'Sell-Compute'!$I$46-'Sell-Compute'!$I$40*(1-(E125/4)),0)</f>
        <v/>
      </c>
      <c r="F132" s="68">
        <f>IF(F$51&lt;=Rates!$D$71,'Sell-Compute'!$I$46-'Sell-Compute'!$I$40*(1-(F125/4)),0)</f>
        <v/>
      </c>
      <c r="G132" s="68">
        <f>IF(G$51&lt;=Rates!$D$71,'Sell-Compute'!$I$46-'Sell-Compute'!$I$40*(1-(G125/4)),0)</f>
        <v/>
      </c>
      <c r="H132" s="68">
        <f>IF(H$51&lt;=Rates!$D$71,'Sell-Compute'!$I$46-'Sell-Compute'!$I$40*(1-(H125/4)),0)</f>
        <v/>
      </c>
      <c r="I132" s="68">
        <f>IF(I$51&lt;=Rates!$D$71,'Sell-Compute'!$I$46-'Sell-Compute'!$I$40*(1-(I125/4)),0)</f>
        <v/>
      </c>
      <c r="J132" s="68">
        <f>IF(J$51&lt;=Rates!$D$71,'Sell-Compute'!$I$46-'Sell-Compute'!$I$40*(1-(J125/4)),0)</f>
        <v/>
      </c>
      <c r="K132" s="68">
        <f>IF(K$51&lt;=Rates!$D$71,'Sell-Compute'!$I$46-'Sell-Compute'!$I$40*(1-(K125/4)),0)</f>
        <v/>
      </c>
      <c r="L132" s="68">
        <f>IF(L$51&lt;=Rates!$D$71,'Sell-Compute'!$I$46-'Sell-Compute'!$I$40*(1-(L125/4)),0)</f>
        <v/>
      </c>
      <c r="M132" s="68">
        <f>IF(M$51&lt;=Rates!$D$71,'Sell-Compute'!$I$46-'Sell-Compute'!$I$40*(1-(M125/4)),0)</f>
        <v/>
      </c>
      <c r="N132" s="68">
        <f>IF(N$51&lt;=Rates!$D$71,'Sell-Compute'!$I$46-'Sell-Compute'!$I$40*(1-(N125/4)),0)</f>
        <v/>
      </c>
      <c r="O132" s="68">
        <f>IF(O$51&lt;=Rates!$D$71,'Sell-Compute'!$I$46-'Sell-Compute'!$I$40*(1-(O125/4)),0)</f>
        <v/>
      </c>
      <c r="P132" s="68">
        <f>IF(P$51&lt;=Rates!$D$71,'Sell-Compute'!$I$46-'Sell-Compute'!$I$40*(1-(P125/4)),0)</f>
        <v/>
      </c>
      <c r="Q132" s="68">
        <f>IF(Q$51&lt;=Rates!$D$71,'Sell-Compute'!$I$46-'Sell-Compute'!$I$40*(1-(Q125/4)),0)</f>
        <v/>
      </c>
      <c r="R132" s="68">
        <f>IF(R$51&lt;=Rates!$D$71,'Sell-Compute'!$I$46-'Sell-Compute'!$I$40*(1-(R125/4)),0)</f>
        <v/>
      </c>
      <c r="S132" s="68">
        <f>IF(S$51&lt;=Rates!$D$71,'Sell-Compute'!$I$46-'Sell-Compute'!$I$40*(1-(S125/4)),0)</f>
        <v/>
      </c>
      <c r="T132" s="68">
        <f>IF(T$51&lt;=Rates!$D$71,'Sell-Compute'!$I$46-'Sell-Compute'!$I$40*(1-(T125/4)),0)</f>
        <v/>
      </c>
      <c r="U132" s="68">
        <f>IF(U$51&lt;=Rates!$D$71,'Sell-Compute'!$I$46-'Sell-Compute'!$I$40*(1-(U125/4)),0)</f>
        <v/>
      </c>
      <c r="V132" s="68">
        <f>IF(V$51&lt;=Rates!$D$71,'Sell-Compute'!$I$46-'Sell-Compute'!$I$40*(1-(V125/4)),0)</f>
        <v/>
      </c>
      <c r="W132" s="68">
        <f>IF(W$51&lt;=Rates!$D$71,'Sell-Compute'!$I$46-'Sell-Compute'!$I$40*(1-(W125/4)),0)</f>
        <v/>
      </c>
      <c r="X132" s="68">
        <f>IF(X$51&lt;=Rates!$D$71,'Sell-Compute'!$I$46-'Sell-Compute'!$I$40*(1-(X125/4)),0)</f>
        <v/>
      </c>
      <c r="Y132" s="68">
        <f>IF(Y$51&lt;=Rates!$D$71,'Sell-Compute'!$I$46-'Sell-Compute'!$I$40*(1-(Y125/4)),0)</f>
        <v/>
      </c>
      <c r="Z132" s="68">
        <f>IF(Z$51&lt;=Rates!$D$71,'Sell-Compute'!$I$46-'Sell-Compute'!$I$40*(1-(Z125/4)),0)</f>
        <v/>
      </c>
      <c r="AA132" s="68">
        <f>IF(AA$51&lt;=Rates!$D$71,'Sell-Compute'!$I$46-'Sell-Compute'!$I$40*(1-(AA125/4)),0)</f>
        <v/>
      </c>
      <c r="AB132" s="68">
        <f>IF(AB$51&lt;=Rates!$D$71,'Sell-Compute'!$I$46-'Sell-Compute'!$I$40*(1-(AB125/4)),0)</f>
        <v/>
      </c>
    </row>
    <row r="133">
      <c r="A133" s="68" t="inlineStr">
        <is>
          <t>(b) Make-up doublets on a monitored trigger | flat</t>
        </is>
      </c>
      <c r="C133" s="68">
        <f>-'Sell-Compute'!$C$36-C123</f>
        <v/>
      </c>
      <c r="D133" s="68">
        <f>IF(D$51&lt;=Rates!$D$71,('Sell-Compute'!$C$40*(1+'Sell-Compute'!$C$50)^MOD(D$51-1,'Sell-Compute'!$C$21)-'Sell-Compute'!$C$42-'Sell-Compute'!$C$43)*(D126/4)-'Sell-Compute'!$C$41-'Sell-Compute'!$C$44-'Sell-Compute'!$C$45-IF(AND(MOD(D$51,'Sell-Compute'!$C$21)=0,D$51&lt;Rates!$D$71),'Sell-Compute'!$C$34*(D126/4),0),0)-D123</f>
        <v/>
      </c>
      <c r="E133" s="68">
        <f>IF(E$51&lt;=Rates!$D$71,('Sell-Compute'!$C$40*(1+'Sell-Compute'!$C$50)^MOD(E$51-1,'Sell-Compute'!$C$21)-'Sell-Compute'!$C$42-'Sell-Compute'!$C$43)*(E126/4)-'Sell-Compute'!$C$41-'Sell-Compute'!$C$44-'Sell-Compute'!$C$45-IF(AND(MOD(E$51,'Sell-Compute'!$C$21)=0,E$51&lt;Rates!$D$71),'Sell-Compute'!$C$34*(E126/4),0),0)-E123</f>
        <v/>
      </c>
      <c r="F133" s="68">
        <f>IF(F$51&lt;=Rates!$D$71,('Sell-Compute'!$C$40*(1+'Sell-Compute'!$C$50)^MOD(F$51-1,'Sell-Compute'!$C$21)-'Sell-Compute'!$C$42-'Sell-Compute'!$C$43)*(F126/4)-'Sell-Compute'!$C$41-'Sell-Compute'!$C$44-'Sell-Compute'!$C$45-IF(AND(MOD(F$51,'Sell-Compute'!$C$21)=0,F$51&lt;Rates!$D$71),'Sell-Compute'!$C$34*(F126/4),0),0)-F123</f>
        <v/>
      </c>
      <c r="G133" s="68">
        <f>IF(G$51&lt;=Rates!$D$71,('Sell-Compute'!$C$40*(1+'Sell-Compute'!$C$50)^MOD(G$51-1,'Sell-Compute'!$C$21)-'Sell-Compute'!$C$42-'Sell-Compute'!$C$43)*(G126/4)-'Sell-Compute'!$C$41-'Sell-Compute'!$C$44-'Sell-Compute'!$C$45-IF(AND(MOD(G$51,'Sell-Compute'!$C$21)=0,G$51&lt;Rates!$D$71),'Sell-Compute'!$C$34*(G126/4),0),0)-G123</f>
        <v/>
      </c>
      <c r="H133" s="68">
        <f>IF(H$51&lt;=Rates!$D$71,('Sell-Compute'!$C$40*(1+'Sell-Compute'!$C$50)^MOD(H$51-1,'Sell-Compute'!$C$21)-'Sell-Compute'!$C$42-'Sell-Compute'!$C$43)*(H126/4)-'Sell-Compute'!$C$41-'Sell-Compute'!$C$44-'Sell-Compute'!$C$45-IF(AND(MOD(H$51,'Sell-Compute'!$C$21)=0,H$51&lt;Rates!$D$71),'Sell-Compute'!$C$34*(H126/4),0),0)-H123</f>
        <v/>
      </c>
      <c r="I133" s="68">
        <f>IF(I$51&lt;=Rates!$D$71,('Sell-Compute'!$C$40*(1+'Sell-Compute'!$C$50)^MOD(I$51-1,'Sell-Compute'!$C$21)-'Sell-Compute'!$C$42-'Sell-Compute'!$C$43)*(I126/4)-'Sell-Compute'!$C$41-'Sell-Compute'!$C$44-'Sell-Compute'!$C$45-IF(AND(MOD(I$51,'Sell-Compute'!$C$21)=0,I$51&lt;Rates!$D$71),'Sell-Compute'!$C$34*(I126/4),0),0)-I123</f>
        <v/>
      </c>
      <c r="J133" s="68">
        <f>IF(J$51&lt;=Rates!$D$71,('Sell-Compute'!$C$40*(1+'Sell-Compute'!$C$50)^MOD(J$51-1,'Sell-Compute'!$C$21)-'Sell-Compute'!$C$42-'Sell-Compute'!$C$43)*(J126/4)-'Sell-Compute'!$C$41-'Sell-Compute'!$C$44-'Sell-Compute'!$C$45-IF(AND(MOD(J$51,'Sell-Compute'!$C$21)=0,J$51&lt;Rates!$D$71),'Sell-Compute'!$C$34*(J126/4),0),0)-J123</f>
        <v/>
      </c>
      <c r="K133" s="68">
        <f>IF(K$51&lt;=Rates!$D$71,('Sell-Compute'!$C$40*(1+'Sell-Compute'!$C$50)^MOD(K$51-1,'Sell-Compute'!$C$21)-'Sell-Compute'!$C$42-'Sell-Compute'!$C$43)*(K126/4)-'Sell-Compute'!$C$41-'Sell-Compute'!$C$44-'Sell-Compute'!$C$45-IF(AND(MOD(K$51,'Sell-Compute'!$C$21)=0,K$51&lt;Rates!$D$71),'Sell-Compute'!$C$34*(K126/4),0),0)-K123</f>
        <v/>
      </c>
      <c r="L133" s="68">
        <f>IF(L$51&lt;=Rates!$D$71,('Sell-Compute'!$C$40*(1+'Sell-Compute'!$C$50)^MOD(L$51-1,'Sell-Compute'!$C$21)-'Sell-Compute'!$C$42-'Sell-Compute'!$C$43)*(L126/4)-'Sell-Compute'!$C$41-'Sell-Compute'!$C$44-'Sell-Compute'!$C$45-IF(AND(MOD(L$51,'Sell-Compute'!$C$21)=0,L$51&lt;Rates!$D$71),'Sell-Compute'!$C$34*(L126/4),0),0)-L123</f>
        <v/>
      </c>
      <c r="M133" s="68">
        <f>IF(M$51&lt;=Rates!$D$71,('Sell-Compute'!$C$40*(1+'Sell-Compute'!$C$50)^MOD(M$51-1,'Sell-Compute'!$C$21)-'Sell-Compute'!$C$42-'Sell-Compute'!$C$43)*(M126/4)-'Sell-Compute'!$C$41-'Sell-Compute'!$C$44-'Sell-Compute'!$C$45-IF(AND(MOD(M$51,'Sell-Compute'!$C$21)=0,M$51&lt;Rates!$D$71),'Sell-Compute'!$C$34*(M126/4),0),0)-M123</f>
        <v/>
      </c>
      <c r="N133" s="68">
        <f>IF(N$51&lt;=Rates!$D$71,('Sell-Compute'!$C$40*(1+'Sell-Compute'!$C$50)^MOD(N$51-1,'Sell-Compute'!$C$21)-'Sell-Compute'!$C$42-'Sell-Compute'!$C$43)*(N126/4)-'Sell-Compute'!$C$41-'Sell-Compute'!$C$44-'Sell-Compute'!$C$45-IF(AND(MOD(N$51,'Sell-Compute'!$C$21)=0,N$51&lt;Rates!$D$71),'Sell-Compute'!$C$34*(N126/4),0),0)-N123</f>
        <v/>
      </c>
      <c r="O133" s="68">
        <f>IF(O$51&lt;=Rates!$D$71,('Sell-Compute'!$C$40*(1+'Sell-Compute'!$C$50)^MOD(O$51-1,'Sell-Compute'!$C$21)-'Sell-Compute'!$C$42-'Sell-Compute'!$C$43)*(O126/4)-'Sell-Compute'!$C$41-'Sell-Compute'!$C$44-'Sell-Compute'!$C$45-IF(AND(MOD(O$51,'Sell-Compute'!$C$21)=0,O$51&lt;Rates!$D$71),'Sell-Compute'!$C$34*(O126/4),0),0)-O123</f>
        <v/>
      </c>
      <c r="P133" s="68">
        <f>IF(P$51&lt;=Rates!$D$71,('Sell-Compute'!$C$40*(1+'Sell-Compute'!$C$50)^MOD(P$51-1,'Sell-Compute'!$C$21)-'Sell-Compute'!$C$42-'Sell-Compute'!$C$43)*(P126/4)-'Sell-Compute'!$C$41-'Sell-Compute'!$C$44-'Sell-Compute'!$C$45-IF(AND(MOD(P$51,'Sell-Compute'!$C$21)=0,P$51&lt;Rates!$D$71),'Sell-Compute'!$C$34*(P126/4),0),0)-P123</f>
        <v/>
      </c>
      <c r="Q133" s="68">
        <f>IF(Q$51&lt;=Rates!$D$71,('Sell-Compute'!$C$40*(1+'Sell-Compute'!$C$50)^MOD(Q$51-1,'Sell-Compute'!$C$21)-'Sell-Compute'!$C$42-'Sell-Compute'!$C$43)*(Q126/4)-'Sell-Compute'!$C$41-'Sell-Compute'!$C$44-'Sell-Compute'!$C$45-IF(AND(MOD(Q$51,'Sell-Compute'!$C$21)=0,Q$51&lt;Rates!$D$71),'Sell-Compute'!$C$34*(Q126/4),0),0)-Q123</f>
        <v/>
      </c>
      <c r="R133" s="68">
        <f>IF(R$51&lt;=Rates!$D$71,('Sell-Compute'!$C$40*(1+'Sell-Compute'!$C$50)^MOD(R$51-1,'Sell-Compute'!$C$21)-'Sell-Compute'!$C$42-'Sell-Compute'!$C$43)*(R126/4)-'Sell-Compute'!$C$41-'Sell-Compute'!$C$44-'Sell-Compute'!$C$45-IF(AND(MOD(R$51,'Sell-Compute'!$C$21)=0,R$51&lt;Rates!$D$71),'Sell-Compute'!$C$34*(R126/4),0),0)-R123</f>
        <v/>
      </c>
      <c r="S133" s="68">
        <f>IF(S$51&lt;=Rates!$D$71,('Sell-Compute'!$C$40*(1+'Sell-Compute'!$C$50)^MOD(S$51-1,'Sell-Compute'!$C$21)-'Sell-Compute'!$C$42-'Sell-Compute'!$C$43)*(S126/4)-'Sell-Compute'!$C$41-'Sell-Compute'!$C$44-'Sell-Compute'!$C$45-IF(AND(MOD(S$51,'Sell-Compute'!$C$21)=0,S$51&lt;Rates!$D$71),'Sell-Compute'!$C$34*(S126/4),0),0)-S123</f>
        <v/>
      </c>
      <c r="T133" s="68">
        <f>IF(T$51&lt;=Rates!$D$71,('Sell-Compute'!$C$40*(1+'Sell-Compute'!$C$50)^MOD(T$51-1,'Sell-Compute'!$C$21)-'Sell-Compute'!$C$42-'Sell-Compute'!$C$43)*(T126/4)-'Sell-Compute'!$C$41-'Sell-Compute'!$C$44-'Sell-Compute'!$C$45-IF(AND(MOD(T$51,'Sell-Compute'!$C$21)=0,T$51&lt;Rates!$D$71),'Sell-Compute'!$C$34*(T126/4),0),0)-T123</f>
        <v/>
      </c>
      <c r="U133" s="68">
        <f>IF(U$51&lt;=Rates!$D$71,('Sell-Compute'!$C$40*(1+'Sell-Compute'!$C$50)^MOD(U$51-1,'Sell-Compute'!$C$21)-'Sell-Compute'!$C$42-'Sell-Compute'!$C$43)*(U126/4)-'Sell-Compute'!$C$41-'Sell-Compute'!$C$44-'Sell-Compute'!$C$45-IF(AND(MOD(U$51,'Sell-Compute'!$C$21)=0,U$51&lt;Rates!$D$71),'Sell-Compute'!$C$34*(U126/4),0),0)-U123</f>
        <v/>
      </c>
      <c r="V133" s="68">
        <f>IF(V$51&lt;=Rates!$D$71,('Sell-Compute'!$C$40*(1+'Sell-Compute'!$C$50)^MOD(V$51-1,'Sell-Compute'!$C$21)-'Sell-Compute'!$C$42-'Sell-Compute'!$C$43)*(V126/4)-'Sell-Compute'!$C$41-'Sell-Compute'!$C$44-'Sell-Compute'!$C$45-IF(AND(MOD(V$51,'Sell-Compute'!$C$21)=0,V$51&lt;Rates!$D$71),'Sell-Compute'!$C$34*(V126/4),0),0)-V123</f>
        <v/>
      </c>
      <c r="W133" s="68">
        <f>IF(W$51&lt;=Rates!$D$71,('Sell-Compute'!$C$40*(1+'Sell-Compute'!$C$50)^MOD(W$51-1,'Sell-Compute'!$C$21)-'Sell-Compute'!$C$42-'Sell-Compute'!$C$43)*(W126/4)-'Sell-Compute'!$C$41-'Sell-Compute'!$C$44-'Sell-Compute'!$C$45-IF(AND(MOD(W$51,'Sell-Compute'!$C$21)=0,W$51&lt;Rates!$D$71),'Sell-Compute'!$C$34*(W126/4),0),0)-W123</f>
        <v/>
      </c>
      <c r="X133" s="68">
        <f>IF(X$51&lt;=Rates!$D$71,('Sell-Compute'!$C$40*(1+'Sell-Compute'!$C$50)^MOD(X$51-1,'Sell-Compute'!$C$21)-'Sell-Compute'!$C$42-'Sell-Compute'!$C$43)*(X126/4)-'Sell-Compute'!$C$41-'Sell-Compute'!$C$44-'Sell-Compute'!$C$45-IF(AND(MOD(X$51,'Sell-Compute'!$C$21)=0,X$51&lt;Rates!$D$71),'Sell-Compute'!$C$34*(X126/4),0),0)-X123</f>
        <v/>
      </c>
      <c r="Y133" s="68">
        <f>IF(Y$51&lt;=Rates!$D$71,('Sell-Compute'!$C$40*(1+'Sell-Compute'!$C$50)^MOD(Y$51-1,'Sell-Compute'!$C$21)-'Sell-Compute'!$C$42-'Sell-Compute'!$C$43)*(Y126/4)-'Sell-Compute'!$C$41-'Sell-Compute'!$C$44-'Sell-Compute'!$C$45-IF(AND(MOD(Y$51,'Sell-Compute'!$C$21)=0,Y$51&lt;Rates!$D$71),'Sell-Compute'!$C$34*(Y126/4),0),0)-Y123</f>
        <v/>
      </c>
      <c r="Z133" s="68">
        <f>IF(Z$51&lt;=Rates!$D$71,('Sell-Compute'!$C$40*(1+'Sell-Compute'!$C$50)^MOD(Z$51-1,'Sell-Compute'!$C$21)-'Sell-Compute'!$C$42-'Sell-Compute'!$C$43)*(Z126/4)-'Sell-Compute'!$C$41-'Sell-Compute'!$C$44-'Sell-Compute'!$C$45-IF(AND(MOD(Z$51,'Sell-Compute'!$C$21)=0,Z$51&lt;Rates!$D$71),'Sell-Compute'!$C$34*(Z126/4),0),0)-Z123</f>
        <v/>
      </c>
      <c r="AA133" s="68">
        <f>IF(AA$51&lt;=Rates!$D$71,('Sell-Compute'!$C$40*(1+'Sell-Compute'!$C$50)^MOD(AA$51-1,'Sell-Compute'!$C$21)-'Sell-Compute'!$C$42-'Sell-Compute'!$C$43)*(AA126/4)-'Sell-Compute'!$C$41-'Sell-Compute'!$C$44-'Sell-Compute'!$C$45-IF(AND(MOD(AA$51,'Sell-Compute'!$C$21)=0,AA$51&lt;Rates!$D$71),'Sell-Compute'!$C$34*(AA126/4),0),0)-AA123</f>
        <v/>
      </c>
      <c r="AB133" s="68">
        <f>IF(AB$51&lt;=Rates!$D$71,('Sell-Compute'!$C$40*(1+'Sell-Compute'!$C$50)^MOD(AB$51-1,'Sell-Compute'!$C$21)-'Sell-Compute'!$C$42-'Sell-Compute'!$C$43)*(AB126/4)-'Sell-Compute'!$C$41-'Sell-Compute'!$C$44-'Sell-Compute'!$C$45-IF(AND(MOD(AB$51,'Sell-Compute'!$C$21)=0,AB$51&lt;Rates!$D$71),'Sell-Compute'!$C$34*(AB126/4),0),0)-AB123</f>
        <v/>
      </c>
    </row>
    <row r="134">
      <c r="A134" s="68" t="inlineStr">
        <is>
          <t>(b) Make-up doublets on a monitored trigger | dec</t>
        </is>
      </c>
      <c r="C134" s="68">
        <f>-'Sell-Compute'!$B$36-C123</f>
        <v/>
      </c>
      <c r="D134" s="68">
        <f>IF(D$51&lt;=Rates!$D$71,('Sell-Compute'!$B$40*(1+'Sell-Compute'!$B$50)^MOD(D$51-1,'Sell-Compute'!$C$21)-'Sell-Compute'!$B$42-'Sell-Compute'!$B$43)*(D126/4)-'Sell-Compute'!$B$41-'Sell-Compute'!$B$44-'Sell-Compute'!$B$45-IF(AND(MOD(D$51,'Sell-Compute'!$C$21)=0,D$51&lt;Rates!$D$71),'Sell-Compute'!$B$34*(D126/4),0),0)-D123</f>
        <v/>
      </c>
      <c r="E134" s="68">
        <f>IF(E$51&lt;=Rates!$D$71,('Sell-Compute'!$B$40*(1+'Sell-Compute'!$B$50)^MOD(E$51-1,'Sell-Compute'!$C$21)-'Sell-Compute'!$B$42-'Sell-Compute'!$B$43)*(E126/4)-'Sell-Compute'!$B$41-'Sell-Compute'!$B$44-'Sell-Compute'!$B$45-IF(AND(MOD(E$51,'Sell-Compute'!$C$21)=0,E$51&lt;Rates!$D$71),'Sell-Compute'!$B$34*(E126/4),0),0)-E123</f>
        <v/>
      </c>
      <c r="F134" s="68">
        <f>IF(F$51&lt;=Rates!$D$71,('Sell-Compute'!$B$40*(1+'Sell-Compute'!$B$50)^MOD(F$51-1,'Sell-Compute'!$C$21)-'Sell-Compute'!$B$42-'Sell-Compute'!$B$43)*(F126/4)-'Sell-Compute'!$B$41-'Sell-Compute'!$B$44-'Sell-Compute'!$B$45-IF(AND(MOD(F$51,'Sell-Compute'!$C$21)=0,F$51&lt;Rates!$D$71),'Sell-Compute'!$B$34*(F126/4),0),0)-F123</f>
        <v/>
      </c>
      <c r="G134" s="68">
        <f>IF(G$51&lt;=Rates!$D$71,('Sell-Compute'!$B$40*(1+'Sell-Compute'!$B$50)^MOD(G$51-1,'Sell-Compute'!$C$21)-'Sell-Compute'!$B$42-'Sell-Compute'!$B$43)*(G126/4)-'Sell-Compute'!$B$41-'Sell-Compute'!$B$44-'Sell-Compute'!$B$45-IF(AND(MOD(G$51,'Sell-Compute'!$C$21)=0,G$51&lt;Rates!$D$71),'Sell-Compute'!$B$34*(G126/4),0),0)-G123</f>
        <v/>
      </c>
      <c r="H134" s="68">
        <f>IF(H$51&lt;=Rates!$D$71,('Sell-Compute'!$B$40*(1+'Sell-Compute'!$B$50)^MOD(H$51-1,'Sell-Compute'!$C$21)-'Sell-Compute'!$B$42-'Sell-Compute'!$B$43)*(H126/4)-'Sell-Compute'!$B$41-'Sell-Compute'!$B$44-'Sell-Compute'!$B$45-IF(AND(MOD(H$51,'Sell-Compute'!$C$21)=0,H$51&lt;Rates!$D$71),'Sell-Compute'!$B$34*(H126/4),0),0)-H123</f>
        <v/>
      </c>
      <c r="I134" s="68">
        <f>IF(I$51&lt;=Rates!$D$71,('Sell-Compute'!$B$40*(1+'Sell-Compute'!$B$50)^MOD(I$51-1,'Sell-Compute'!$C$21)-'Sell-Compute'!$B$42-'Sell-Compute'!$B$43)*(I126/4)-'Sell-Compute'!$B$41-'Sell-Compute'!$B$44-'Sell-Compute'!$B$45-IF(AND(MOD(I$51,'Sell-Compute'!$C$21)=0,I$51&lt;Rates!$D$71),'Sell-Compute'!$B$34*(I126/4),0),0)-I123</f>
        <v/>
      </c>
      <c r="J134" s="68">
        <f>IF(J$51&lt;=Rates!$D$71,('Sell-Compute'!$B$40*(1+'Sell-Compute'!$B$50)^MOD(J$51-1,'Sell-Compute'!$C$21)-'Sell-Compute'!$B$42-'Sell-Compute'!$B$43)*(J126/4)-'Sell-Compute'!$B$41-'Sell-Compute'!$B$44-'Sell-Compute'!$B$45-IF(AND(MOD(J$51,'Sell-Compute'!$C$21)=0,J$51&lt;Rates!$D$71),'Sell-Compute'!$B$34*(J126/4),0),0)-J123</f>
        <v/>
      </c>
      <c r="K134" s="68">
        <f>IF(K$51&lt;=Rates!$D$71,('Sell-Compute'!$B$40*(1+'Sell-Compute'!$B$50)^MOD(K$51-1,'Sell-Compute'!$C$21)-'Sell-Compute'!$B$42-'Sell-Compute'!$B$43)*(K126/4)-'Sell-Compute'!$B$41-'Sell-Compute'!$B$44-'Sell-Compute'!$B$45-IF(AND(MOD(K$51,'Sell-Compute'!$C$21)=0,K$51&lt;Rates!$D$71),'Sell-Compute'!$B$34*(K126/4),0),0)-K123</f>
        <v/>
      </c>
      <c r="L134" s="68">
        <f>IF(L$51&lt;=Rates!$D$71,('Sell-Compute'!$B$40*(1+'Sell-Compute'!$B$50)^MOD(L$51-1,'Sell-Compute'!$C$21)-'Sell-Compute'!$B$42-'Sell-Compute'!$B$43)*(L126/4)-'Sell-Compute'!$B$41-'Sell-Compute'!$B$44-'Sell-Compute'!$B$45-IF(AND(MOD(L$51,'Sell-Compute'!$C$21)=0,L$51&lt;Rates!$D$71),'Sell-Compute'!$B$34*(L126/4),0),0)-L123</f>
        <v/>
      </c>
      <c r="M134" s="68">
        <f>IF(M$51&lt;=Rates!$D$71,('Sell-Compute'!$B$40*(1+'Sell-Compute'!$B$50)^MOD(M$51-1,'Sell-Compute'!$C$21)-'Sell-Compute'!$B$42-'Sell-Compute'!$B$43)*(M126/4)-'Sell-Compute'!$B$41-'Sell-Compute'!$B$44-'Sell-Compute'!$B$45-IF(AND(MOD(M$51,'Sell-Compute'!$C$21)=0,M$51&lt;Rates!$D$71),'Sell-Compute'!$B$34*(M126/4),0),0)-M123</f>
        <v/>
      </c>
      <c r="N134" s="68">
        <f>IF(N$51&lt;=Rates!$D$71,('Sell-Compute'!$B$40*(1+'Sell-Compute'!$B$50)^MOD(N$51-1,'Sell-Compute'!$C$21)-'Sell-Compute'!$B$42-'Sell-Compute'!$B$43)*(N126/4)-'Sell-Compute'!$B$41-'Sell-Compute'!$B$44-'Sell-Compute'!$B$45-IF(AND(MOD(N$51,'Sell-Compute'!$C$21)=0,N$51&lt;Rates!$D$71),'Sell-Compute'!$B$34*(N126/4),0),0)-N123</f>
        <v/>
      </c>
      <c r="O134" s="68">
        <f>IF(O$51&lt;=Rates!$D$71,('Sell-Compute'!$B$40*(1+'Sell-Compute'!$B$50)^MOD(O$51-1,'Sell-Compute'!$C$21)-'Sell-Compute'!$B$42-'Sell-Compute'!$B$43)*(O126/4)-'Sell-Compute'!$B$41-'Sell-Compute'!$B$44-'Sell-Compute'!$B$45-IF(AND(MOD(O$51,'Sell-Compute'!$C$21)=0,O$51&lt;Rates!$D$71),'Sell-Compute'!$B$34*(O126/4),0),0)-O123</f>
        <v/>
      </c>
      <c r="P134" s="68">
        <f>IF(P$51&lt;=Rates!$D$71,('Sell-Compute'!$B$40*(1+'Sell-Compute'!$B$50)^MOD(P$51-1,'Sell-Compute'!$C$21)-'Sell-Compute'!$B$42-'Sell-Compute'!$B$43)*(P126/4)-'Sell-Compute'!$B$41-'Sell-Compute'!$B$44-'Sell-Compute'!$B$45-IF(AND(MOD(P$51,'Sell-Compute'!$C$21)=0,P$51&lt;Rates!$D$71),'Sell-Compute'!$B$34*(P126/4),0),0)-P123</f>
        <v/>
      </c>
      <c r="Q134" s="68">
        <f>IF(Q$51&lt;=Rates!$D$71,('Sell-Compute'!$B$40*(1+'Sell-Compute'!$B$50)^MOD(Q$51-1,'Sell-Compute'!$C$21)-'Sell-Compute'!$B$42-'Sell-Compute'!$B$43)*(Q126/4)-'Sell-Compute'!$B$41-'Sell-Compute'!$B$44-'Sell-Compute'!$B$45-IF(AND(MOD(Q$51,'Sell-Compute'!$C$21)=0,Q$51&lt;Rates!$D$71),'Sell-Compute'!$B$34*(Q126/4),0),0)-Q123</f>
        <v/>
      </c>
      <c r="R134" s="68">
        <f>IF(R$51&lt;=Rates!$D$71,('Sell-Compute'!$B$40*(1+'Sell-Compute'!$B$50)^MOD(R$51-1,'Sell-Compute'!$C$21)-'Sell-Compute'!$B$42-'Sell-Compute'!$B$43)*(R126/4)-'Sell-Compute'!$B$41-'Sell-Compute'!$B$44-'Sell-Compute'!$B$45-IF(AND(MOD(R$51,'Sell-Compute'!$C$21)=0,R$51&lt;Rates!$D$71),'Sell-Compute'!$B$34*(R126/4),0),0)-R123</f>
        <v/>
      </c>
      <c r="S134" s="68">
        <f>IF(S$51&lt;=Rates!$D$71,('Sell-Compute'!$B$40*(1+'Sell-Compute'!$B$50)^MOD(S$51-1,'Sell-Compute'!$C$21)-'Sell-Compute'!$B$42-'Sell-Compute'!$B$43)*(S126/4)-'Sell-Compute'!$B$41-'Sell-Compute'!$B$44-'Sell-Compute'!$B$45-IF(AND(MOD(S$51,'Sell-Compute'!$C$21)=0,S$51&lt;Rates!$D$71),'Sell-Compute'!$B$34*(S126/4),0),0)-S123</f>
        <v/>
      </c>
      <c r="T134" s="68">
        <f>IF(T$51&lt;=Rates!$D$71,('Sell-Compute'!$B$40*(1+'Sell-Compute'!$B$50)^MOD(T$51-1,'Sell-Compute'!$C$21)-'Sell-Compute'!$B$42-'Sell-Compute'!$B$43)*(T126/4)-'Sell-Compute'!$B$41-'Sell-Compute'!$B$44-'Sell-Compute'!$B$45-IF(AND(MOD(T$51,'Sell-Compute'!$C$21)=0,T$51&lt;Rates!$D$71),'Sell-Compute'!$B$34*(T126/4),0),0)-T123</f>
        <v/>
      </c>
      <c r="U134" s="68">
        <f>IF(U$51&lt;=Rates!$D$71,('Sell-Compute'!$B$40*(1+'Sell-Compute'!$B$50)^MOD(U$51-1,'Sell-Compute'!$C$21)-'Sell-Compute'!$B$42-'Sell-Compute'!$B$43)*(U126/4)-'Sell-Compute'!$B$41-'Sell-Compute'!$B$44-'Sell-Compute'!$B$45-IF(AND(MOD(U$51,'Sell-Compute'!$C$21)=0,U$51&lt;Rates!$D$71),'Sell-Compute'!$B$34*(U126/4),0),0)-U123</f>
        <v/>
      </c>
      <c r="V134" s="68">
        <f>IF(V$51&lt;=Rates!$D$71,('Sell-Compute'!$B$40*(1+'Sell-Compute'!$B$50)^MOD(V$51-1,'Sell-Compute'!$C$21)-'Sell-Compute'!$B$42-'Sell-Compute'!$B$43)*(V126/4)-'Sell-Compute'!$B$41-'Sell-Compute'!$B$44-'Sell-Compute'!$B$45-IF(AND(MOD(V$51,'Sell-Compute'!$C$21)=0,V$51&lt;Rates!$D$71),'Sell-Compute'!$B$34*(V126/4),0),0)-V123</f>
        <v/>
      </c>
      <c r="W134" s="68">
        <f>IF(W$51&lt;=Rates!$D$71,('Sell-Compute'!$B$40*(1+'Sell-Compute'!$B$50)^MOD(W$51-1,'Sell-Compute'!$C$21)-'Sell-Compute'!$B$42-'Sell-Compute'!$B$43)*(W126/4)-'Sell-Compute'!$B$41-'Sell-Compute'!$B$44-'Sell-Compute'!$B$45-IF(AND(MOD(W$51,'Sell-Compute'!$C$21)=0,W$51&lt;Rates!$D$71),'Sell-Compute'!$B$34*(W126/4),0),0)-W123</f>
        <v/>
      </c>
      <c r="X134" s="68">
        <f>IF(X$51&lt;=Rates!$D$71,('Sell-Compute'!$B$40*(1+'Sell-Compute'!$B$50)^MOD(X$51-1,'Sell-Compute'!$C$21)-'Sell-Compute'!$B$42-'Sell-Compute'!$B$43)*(X126/4)-'Sell-Compute'!$B$41-'Sell-Compute'!$B$44-'Sell-Compute'!$B$45-IF(AND(MOD(X$51,'Sell-Compute'!$C$21)=0,X$51&lt;Rates!$D$71),'Sell-Compute'!$B$34*(X126/4),0),0)-X123</f>
        <v/>
      </c>
      <c r="Y134" s="68">
        <f>IF(Y$51&lt;=Rates!$D$71,('Sell-Compute'!$B$40*(1+'Sell-Compute'!$B$50)^MOD(Y$51-1,'Sell-Compute'!$C$21)-'Sell-Compute'!$B$42-'Sell-Compute'!$B$43)*(Y126/4)-'Sell-Compute'!$B$41-'Sell-Compute'!$B$44-'Sell-Compute'!$B$45-IF(AND(MOD(Y$51,'Sell-Compute'!$C$21)=0,Y$51&lt;Rates!$D$71),'Sell-Compute'!$B$34*(Y126/4),0),0)-Y123</f>
        <v/>
      </c>
      <c r="Z134" s="68">
        <f>IF(Z$51&lt;=Rates!$D$71,('Sell-Compute'!$B$40*(1+'Sell-Compute'!$B$50)^MOD(Z$51-1,'Sell-Compute'!$C$21)-'Sell-Compute'!$B$42-'Sell-Compute'!$B$43)*(Z126/4)-'Sell-Compute'!$B$41-'Sell-Compute'!$B$44-'Sell-Compute'!$B$45-IF(AND(MOD(Z$51,'Sell-Compute'!$C$21)=0,Z$51&lt;Rates!$D$71),'Sell-Compute'!$B$34*(Z126/4),0),0)-Z123</f>
        <v/>
      </c>
      <c r="AA134" s="68">
        <f>IF(AA$51&lt;=Rates!$D$71,('Sell-Compute'!$B$40*(1+'Sell-Compute'!$B$50)^MOD(AA$51-1,'Sell-Compute'!$C$21)-'Sell-Compute'!$B$42-'Sell-Compute'!$B$43)*(AA126/4)-'Sell-Compute'!$B$41-'Sell-Compute'!$B$44-'Sell-Compute'!$B$45-IF(AND(MOD(AA$51,'Sell-Compute'!$C$21)=0,AA$51&lt;Rates!$D$71),'Sell-Compute'!$B$34*(AA126/4),0),0)-AA123</f>
        <v/>
      </c>
      <c r="AB134" s="68">
        <f>IF(AB$51&lt;=Rates!$D$71,('Sell-Compute'!$B$40*(1+'Sell-Compute'!$B$50)^MOD(AB$51-1,'Sell-Compute'!$C$21)-'Sell-Compute'!$B$42-'Sell-Compute'!$B$43)*(AB126/4)-'Sell-Compute'!$B$41-'Sell-Compute'!$B$44-'Sell-Compute'!$B$45-IF(AND(MOD(AB$51,'Sell-Compute'!$C$21)=0,AB$51&lt;Rates!$D$71),'Sell-Compute'!$B$34*(AB126/4),0),0)-AB123</f>
        <v/>
      </c>
    </row>
    <row r="135">
      <c r="A135" s="68" t="inlineStr">
        <is>
          <t>(b) Make-up doublets on a monitored trigger | colo</t>
        </is>
      </c>
      <c r="C135" s="68">
        <f>-'Sell-Compute'!$I$36-C123</f>
        <v/>
      </c>
      <c r="D135" s="68">
        <f>IF(D$51&lt;=Rates!$D$71,'Sell-Compute'!$I$46-'Sell-Compute'!$I$40*(1-(D126/4)),0)-D123</f>
        <v/>
      </c>
      <c r="E135" s="68">
        <f>IF(E$51&lt;=Rates!$D$71,'Sell-Compute'!$I$46-'Sell-Compute'!$I$40*(1-(E126/4)),0)-E123</f>
        <v/>
      </c>
      <c r="F135" s="68">
        <f>IF(F$51&lt;=Rates!$D$71,'Sell-Compute'!$I$46-'Sell-Compute'!$I$40*(1-(F126/4)),0)-F123</f>
        <v/>
      </c>
      <c r="G135" s="68">
        <f>IF(G$51&lt;=Rates!$D$71,'Sell-Compute'!$I$46-'Sell-Compute'!$I$40*(1-(G126/4)),0)-G123</f>
        <v/>
      </c>
      <c r="H135" s="68">
        <f>IF(H$51&lt;=Rates!$D$71,'Sell-Compute'!$I$46-'Sell-Compute'!$I$40*(1-(H126/4)),0)-H123</f>
        <v/>
      </c>
      <c r="I135" s="68">
        <f>IF(I$51&lt;=Rates!$D$71,'Sell-Compute'!$I$46-'Sell-Compute'!$I$40*(1-(I126/4)),0)-I123</f>
        <v/>
      </c>
      <c r="J135" s="68">
        <f>IF(J$51&lt;=Rates!$D$71,'Sell-Compute'!$I$46-'Sell-Compute'!$I$40*(1-(J126/4)),0)-J123</f>
        <v/>
      </c>
      <c r="K135" s="68">
        <f>IF(K$51&lt;=Rates!$D$71,'Sell-Compute'!$I$46-'Sell-Compute'!$I$40*(1-(K126/4)),0)-K123</f>
        <v/>
      </c>
      <c r="L135" s="68">
        <f>IF(L$51&lt;=Rates!$D$71,'Sell-Compute'!$I$46-'Sell-Compute'!$I$40*(1-(L126/4)),0)-L123</f>
        <v/>
      </c>
      <c r="M135" s="68">
        <f>IF(M$51&lt;=Rates!$D$71,'Sell-Compute'!$I$46-'Sell-Compute'!$I$40*(1-(M126/4)),0)-M123</f>
        <v/>
      </c>
      <c r="N135" s="68">
        <f>IF(N$51&lt;=Rates!$D$71,'Sell-Compute'!$I$46-'Sell-Compute'!$I$40*(1-(N126/4)),0)-N123</f>
        <v/>
      </c>
      <c r="O135" s="68">
        <f>IF(O$51&lt;=Rates!$D$71,'Sell-Compute'!$I$46-'Sell-Compute'!$I$40*(1-(O126/4)),0)-O123</f>
        <v/>
      </c>
      <c r="P135" s="68">
        <f>IF(P$51&lt;=Rates!$D$71,'Sell-Compute'!$I$46-'Sell-Compute'!$I$40*(1-(P126/4)),0)-P123</f>
        <v/>
      </c>
      <c r="Q135" s="68">
        <f>IF(Q$51&lt;=Rates!$D$71,'Sell-Compute'!$I$46-'Sell-Compute'!$I$40*(1-(Q126/4)),0)-Q123</f>
        <v/>
      </c>
      <c r="R135" s="68">
        <f>IF(R$51&lt;=Rates!$D$71,'Sell-Compute'!$I$46-'Sell-Compute'!$I$40*(1-(R126/4)),0)-R123</f>
        <v/>
      </c>
      <c r="S135" s="68">
        <f>IF(S$51&lt;=Rates!$D$71,'Sell-Compute'!$I$46-'Sell-Compute'!$I$40*(1-(S126/4)),0)-S123</f>
        <v/>
      </c>
      <c r="T135" s="68">
        <f>IF(T$51&lt;=Rates!$D$71,'Sell-Compute'!$I$46-'Sell-Compute'!$I$40*(1-(T126/4)),0)-T123</f>
        <v/>
      </c>
      <c r="U135" s="68">
        <f>IF(U$51&lt;=Rates!$D$71,'Sell-Compute'!$I$46-'Sell-Compute'!$I$40*(1-(U126/4)),0)-U123</f>
        <v/>
      </c>
      <c r="V135" s="68">
        <f>IF(V$51&lt;=Rates!$D$71,'Sell-Compute'!$I$46-'Sell-Compute'!$I$40*(1-(V126/4)),0)-V123</f>
        <v/>
      </c>
      <c r="W135" s="68">
        <f>IF(W$51&lt;=Rates!$D$71,'Sell-Compute'!$I$46-'Sell-Compute'!$I$40*(1-(W126/4)),0)-W123</f>
        <v/>
      </c>
      <c r="X135" s="68">
        <f>IF(X$51&lt;=Rates!$D$71,'Sell-Compute'!$I$46-'Sell-Compute'!$I$40*(1-(X126/4)),0)-X123</f>
        <v/>
      </c>
      <c r="Y135" s="68">
        <f>IF(Y$51&lt;=Rates!$D$71,'Sell-Compute'!$I$46-'Sell-Compute'!$I$40*(1-(Y126/4)),0)-Y123</f>
        <v/>
      </c>
      <c r="Z135" s="68">
        <f>IF(Z$51&lt;=Rates!$D$71,'Sell-Compute'!$I$46-'Sell-Compute'!$I$40*(1-(Z126/4)),0)-Z123</f>
        <v/>
      </c>
      <c r="AA135" s="68">
        <f>IF(AA$51&lt;=Rates!$D$71,'Sell-Compute'!$I$46-'Sell-Compute'!$I$40*(1-(AA126/4)),0)-AA123</f>
        <v/>
      </c>
      <c r="AB135" s="68">
        <f>IF(AB$51&lt;=Rates!$D$71,'Sell-Compute'!$I$46-'Sell-Compute'!$I$40*(1-(AB126/4)),0)-AB123</f>
        <v/>
      </c>
    </row>
    <row r="136">
      <c r="A136" s="68" t="inlineStr">
        <is>
          <t>(c) Build fewer modules | flat</t>
        </is>
      </c>
      <c r="C136" s="68">
        <f>-'Sell-Compute'!$C$36+(1-($G$118/4))*('Sell-Compute'!$C$34+('AU-Route'!$B$31*(1+Control!$B$13)))</f>
        <v/>
      </c>
      <c r="D136" s="68">
        <f>IF(D$51&lt;=Rates!$D$71,('Sell-Compute'!$C$40*(1+'Sell-Compute'!$C$50)^MOD(D$51-1,'Sell-Compute'!$C$21)-'Sell-Compute'!$C$42-'Sell-Compute'!$C$43)*($G$118/4)-'Sell-Compute'!$C$41-'Sell-Compute'!$C$44-'Sell-Compute'!$C$45-IF(AND(MOD(D$51,'Sell-Compute'!$C$21)=0,D$51&lt;Rates!$D$71),'Sell-Compute'!$C$34*($G$118/4),0),0)</f>
        <v/>
      </c>
      <c r="E136" s="68">
        <f>IF(E$51&lt;=Rates!$D$71,('Sell-Compute'!$C$40*(1+'Sell-Compute'!$C$50)^MOD(E$51-1,'Sell-Compute'!$C$21)-'Sell-Compute'!$C$42-'Sell-Compute'!$C$43)*($G$118/4)-'Sell-Compute'!$C$41-'Sell-Compute'!$C$44-'Sell-Compute'!$C$45-IF(AND(MOD(E$51,'Sell-Compute'!$C$21)=0,E$51&lt;Rates!$D$71),'Sell-Compute'!$C$34*($G$118/4),0),0)</f>
        <v/>
      </c>
      <c r="F136" s="68">
        <f>IF(F$51&lt;=Rates!$D$71,('Sell-Compute'!$C$40*(1+'Sell-Compute'!$C$50)^MOD(F$51-1,'Sell-Compute'!$C$21)-'Sell-Compute'!$C$42-'Sell-Compute'!$C$43)*($G$118/4)-'Sell-Compute'!$C$41-'Sell-Compute'!$C$44-'Sell-Compute'!$C$45-IF(AND(MOD(F$51,'Sell-Compute'!$C$21)=0,F$51&lt;Rates!$D$71),'Sell-Compute'!$C$34*($G$118/4),0),0)</f>
        <v/>
      </c>
      <c r="G136" s="68">
        <f>IF(G$51&lt;=Rates!$D$71,('Sell-Compute'!$C$40*(1+'Sell-Compute'!$C$50)^MOD(G$51-1,'Sell-Compute'!$C$21)-'Sell-Compute'!$C$42-'Sell-Compute'!$C$43)*($G$118/4)-'Sell-Compute'!$C$41-'Sell-Compute'!$C$44-'Sell-Compute'!$C$45-IF(AND(MOD(G$51,'Sell-Compute'!$C$21)=0,G$51&lt;Rates!$D$71),'Sell-Compute'!$C$34*($G$118/4),0),0)</f>
        <v/>
      </c>
      <c r="H136" s="68">
        <f>IF(H$51&lt;=Rates!$D$71,('Sell-Compute'!$C$40*(1+'Sell-Compute'!$C$50)^MOD(H$51-1,'Sell-Compute'!$C$21)-'Sell-Compute'!$C$42-'Sell-Compute'!$C$43)*($G$118/4)-'Sell-Compute'!$C$41-'Sell-Compute'!$C$44-'Sell-Compute'!$C$45-IF(AND(MOD(H$51,'Sell-Compute'!$C$21)=0,H$51&lt;Rates!$D$71),'Sell-Compute'!$C$34*($G$118/4),0),0)</f>
        <v/>
      </c>
      <c r="I136" s="68">
        <f>IF(I$51&lt;=Rates!$D$71,('Sell-Compute'!$C$40*(1+'Sell-Compute'!$C$50)^MOD(I$51-1,'Sell-Compute'!$C$21)-'Sell-Compute'!$C$42-'Sell-Compute'!$C$43)*($G$118/4)-'Sell-Compute'!$C$41-'Sell-Compute'!$C$44-'Sell-Compute'!$C$45-IF(AND(MOD(I$51,'Sell-Compute'!$C$21)=0,I$51&lt;Rates!$D$71),'Sell-Compute'!$C$34*($G$118/4),0),0)</f>
        <v/>
      </c>
      <c r="J136" s="68">
        <f>IF(J$51&lt;=Rates!$D$71,('Sell-Compute'!$C$40*(1+'Sell-Compute'!$C$50)^MOD(J$51-1,'Sell-Compute'!$C$21)-'Sell-Compute'!$C$42-'Sell-Compute'!$C$43)*($G$118/4)-'Sell-Compute'!$C$41-'Sell-Compute'!$C$44-'Sell-Compute'!$C$45-IF(AND(MOD(J$51,'Sell-Compute'!$C$21)=0,J$51&lt;Rates!$D$71),'Sell-Compute'!$C$34*($G$118/4),0),0)</f>
        <v/>
      </c>
      <c r="K136" s="68">
        <f>IF(K$51&lt;=Rates!$D$71,('Sell-Compute'!$C$40*(1+'Sell-Compute'!$C$50)^MOD(K$51-1,'Sell-Compute'!$C$21)-'Sell-Compute'!$C$42-'Sell-Compute'!$C$43)*($G$118/4)-'Sell-Compute'!$C$41-'Sell-Compute'!$C$44-'Sell-Compute'!$C$45-IF(AND(MOD(K$51,'Sell-Compute'!$C$21)=0,K$51&lt;Rates!$D$71),'Sell-Compute'!$C$34*($G$118/4),0),0)</f>
        <v/>
      </c>
      <c r="L136" s="68">
        <f>IF(L$51&lt;=Rates!$D$71,('Sell-Compute'!$C$40*(1+'Sell-Compute'!$C$50)^MOD(L$51-1,'Sell-Compute'!$C$21)-'Sell-Compute'!$C$42-'Sell-Compute'!$C$43)*($G$118/4)-'Sell-Compute'!$C$41-'Sell-Compute'!$C$44-'Sell-Compute'!$C$45-IF(AND(MOD(L$51,'Sell-Compute'!$C$21)=0,L$51&lt;Rates!$D$71),'Sell-Compute'!$C$34*($G$118/4),0),0)</f>
        <v/>
      </c>
      <c r="M136" s="68">
        <f>IF(M$51&lt;=Rates!$D$71,('Sell-Compute'!$C$40*(1+'Sell-Compute'!$C$50)^MOD(M$51-1,'Sell-Compute'!$C$21)-'Sell-Compute'!$C$42-'Sell-Compute'!$C$43)*($G$118/4)-'Sell-Compute'!$C$41-'Sell-Compute'!$C$44-'Sell-Compute'!$C$45-IF(AND(MOD(M$51,'Sell-Compute'!$C$21)=0,M$51&lt;Rates!$D$71),'Sell-Compute'!$C$34*($G$118/4),0),0)</f>
        <v/>
      </c>
      <c r="N136" s="68">
        <f>IF(N$51&lt;=Rates!$D$71,('Sell-Compute'!$C$40*(1+'Sell-Compute'!$C$50)^MOD(N$51-1,'Sell-Compute'!$C$21)-'Sell-Compute'!$C$42-'Sell-Compute'!$C$43)*($G$118/4)-'Sell-Compute'!$C$41-'Sell-Compute'!$C$44-'Sell-Compute'!$C$45-IF(AND(MOD(N$51,'Sell-Compute'!$C$21)=0,N$51&lt;Rates!$D$71),'Sell-Compute'!$C$34*($G$118/4),0),0)</f>
        <v/>
      </c>
      <c r="O136" s="68">
        <f>IF(O$51&lt;=Rates!$D$71,('Sell-Compute'!$C$40*(1+'Sell-Compute'!$C$50)^MOD(O$51-1,'Sell-Compute'!$C$21)-'Sell-Compute'!$C$42-'Sell-Compute'!$C$43)*($G$118/4)-'Sell-Compute'!$C$41-'Sell-Compute'!$C$44-'Sell-Compute'!$C$45-IF(AND(MOD(O$51,'Sell-Compute'!$C$21)=0,O$51&lt;Rates!$D$71),'Sell-Compute'!$C$34*($G$118/4),0),0)</f>
        <v/>
      </c>
      <c r="P136" s="68">
        <f>IF(P$51&lt;=Rates!$D$71,('Sell-Compute'!$C$40*(1+'Sell-Compute'!$C$50)^MOD(P$51-1,'Sell-Compute'!$C$21)-'Sell-Compute'!$C$42-'Sell-Compute'!$C$43)*($G$118/4)-'Sell-Compute'!$C$41-'Sell-Compute'!$C$44-'Sell-Compute'!$C$45-IF(AND(MOD(P$51,'Sell-Compute'!$C$21)=0,P$51&lt;Rates!$D$71),'Sell-Compute'!$C$34*($G$118/4),0),0)</f>
        <v/>
      </c>
      <c r="Q136" s="68">
        <f>IF(Q$51&lt;=Rates!$D$71,('Sell-Compute'!$C$40*(1+'Sell-Compute'!$C$50)^MOD(Q$51-1,'Sell-Compute'!$C$21)-'Sell-Compute'!$C$42-'Sell-Compute'!$C$43)*($G$118/4)-'Sell-Compute'!$C$41-'Sell-Compute'!$C$44-'Sell-Compute'!$C$45-IF(AND(MOD(Q$51,'Sell-Compute'!$C$21)=0,Q$51&lt;Rates!$D$71),'Sell-Compute'!$C$34*($G$118/4),0),0)</f>
        <v/>
      </c>
      <c r="R136" s="68">
        <f>IF(R$51&lt;=Rates!$D$71,('Sell-Compute'!$C$40*(1+'Sell-Compute'!$C$50)^MOD(R$51-1,'Sell-Compute'!$C$21)-'Sell-Compute'!$C$42-'Sell-Compute'!$C$43)*($G$118/4)-'Sell-Compute'!$C$41-'Sell-Compute'!$C$44-'Sell-Compute'!$C$45-IF(AND(MOD(R$51,'Sell-Compute'!$C$21)=0,R$51&lt;Rates!$D$71),'Sell-Compute'!$C$34*($G$118/4),0),0)</f>
        <v/>
      </c>
      <c r="S136" s="68">
        <f>IF(S$51&lt;=Rates!$D$71,('Sell-Compute'!$C$40*(1+'Sell-Compute'!$C$50)^MOD(S$51-1,'Sell-Compute'!$C$21)-'Sell-Compute'!$C$42-'Sell-Compute'!$C$43)*($G$118/4)-'Sell-Compute'!$C$41-'Sell-Compute'!$C$44-'Sell-Compute'!$C$45-IF(AND(MOD(S$51,'Sell-Compute'!$C$21)=0,S$51&lt;Rates!$D$71),'Sell-Compute'!$C$34*($G$118/4),0),0)</f>
        <v/>
      </c>
      <c r="T136" s="68">
        <f>IF(T$51&lt;=Rates!$D$71,('Sell-Compute'!$C$40*(1+'Sell-Compute'!$C$50)^MOD(T$51-1,'Sell-Compute'!$C$21)-'Sell-Compute'!$C$42-'Sell-Compute'!$C$43)*($G$118/4)-'Sell-Compute'!$C$41-'Sell-Compute'!$C$44-'Sell-Compute'!$C$45-IF(AND(MOD(T$51,'Sell-Compute'!$C$21)=0,T$51&lt;Rates!$D$71),'Sell-Compute'!$C$34*($G$118/4),0),0)</f>
        <v/>
      </c>
      <c r="U136" s="68">
        <f>IF(U$51&lt;=Rates!$D$71,('Sell-Compute'!$C$40*(1+'Sell-Compute'!$C$50)^MOD(U$51-1,'Sell-Compute'!$C$21)-'Sell-Compute'!$C$42-'Sell-Compute'!$C$43)*($G$118/4)-'Sell-Compute'!$C$41-'Sell-Compute'!$C$44-'Sell-Compute'!$C$45-IF(AND(MOD(U$51,'Sell-Compute'!$C$21)=0,U$51&lt;Rates!$D$71),'Sell-Compute'!$C$34*($G$118/4),0),0)</f>
        <v/>
      </c>
      <c r="V136" s="68">
        <f>IF(V$51&lt;=Rates!$D$71,('Sell-Compute'!$C$40*(1+'Sell-Compute'!$C$50)^MOD(V$51-1,'Sell-Compute'!$C$21)-'Sell-Compute'!$C$42-'Sell-Compute'!$C$43)*($G$118/4)-'Sell-Compute'!$C$41-'Sell-Compute'!$C$44-'Sell-Compute'!$C$45-IF(AND(MOD(V$51,'Sell-Compute'!$C$21)=0,V$51&lt;Rates!$D$71),'Sell-Compute'!$C$34*($G$118/4),0),0)</f>
        <v/>
      </c>
      <c r="W136" s="68">
        <f>IF(W$51&lt;=Rates!$D$71,('Sell-Compute'!$C$40*(1+'Sell-Compute'!$C$50)^MOD(W$51-1,'Sell-Compute'!$C$21)-'Sell-Compute'!$C$42-'Sell-Compute'!$C$43)*($G$118/4)-'Sell-Compute'!$C$41-'Sell-Compute'!$C$44-'Sell-Compute'!$C$45-IF(AND(MOD(W$51,'Sell-Compute'!$C$21)=0,W$51&lt;Rates!$D$71),'Sell-Compute'!$C$34*($G$118/4),0),0)</f>
        <v/>
      </c>
      <c r="X136" s="68">
        <f>IF(X$51&lt;=Rates!$D$71,('Sell-Compute'!$C$40*(1+'Sell-Compute'!$C$50)^MOD(X$51-1,'Sell-Compute'!$C$21)-'Sell-Compute'!$C$42-'Sell-Compute'!$C$43)*($G$118/4)-'Sell-Compute'!$C$41-'Sell-Compute'!$C$44-'Sell-Compute'!$C$45-IF(AND(MOD(X$51,'Sell-Compute'!$C$21)=0,X$51&lt;Rates!$D$71),'Sell-Compute'!$C$34*($G$118/4),0),0)</f>
        <v/>
      </c>
      <c r="Y136" s="68">
        <f>IF(Y$51&lt;=Rates!$D$71,('Sell-Compute'!$C$40*(1+'Sell-Compute'!$C$50)^MOD(Y$51-1,'Sell-Compute'!$C$21)-'Sell-Compute'!$C$42-'Sell-Compute'!$C$43)*($G$118/4)-'Sell-Compute'!$C$41-'Sell-Compute'!$C$44-'Sell-Compute'!$C$45-IF(AND(MOD(Y$51,'Sell-Compute'!$C$21)=0,Y$51&lt;Rates!$D$71),'Sell-Compute'!$C$34*($G$118/4),0),0)</f>
        <v/>
      </c>
      <c r="Z136" s="68">
        <f>IF(Z$51&lt;=Rates!$D$71,('Sell-Compute'!$C$40*(1+'Sell-Compute'!$C$50)^MOD(Z$51-1,'Sell-Compute'!$C$21)-'Sell-Compute'!$C$42-'Sell-Compute'!$C$43)*($G$118/4)-'Sell-Compute'!$C$41-'Sell-Compute'!$C$44-'Sell-Compute'!$C$45-IF(AND(MOD(Z$51,'Sell-Compute'!$C$21)=0,Z$51&lt;Rates!$D$71),'Sell-Compute'!$C$34*($G$118/4),0),0)</f>
        <v/>
      </c>
      <c r="AA136" s="68">
        <f>IF(AA$51&lt;=Rates!$D$71,('Sell-Compute'!$C$40*(1+'Sell-Compute'!$C$50)^MOD(AA$51-1,'Sell-Compute'!$C$21)-'Sell-Compute'!$C$42-'Sell-Compute'!$C$43)*($G$118/4)-'Sell-Compute'!$C$41-'Sell-Compute'!$C$44-'Sell-Compute'!$C$45-IF(AND(MOD(AA$51,'Sell-Compute'!$C$21)=0,AA$51&lt;Rates!$D$71),'Sell-Compute'!$C$34*($G$118/4),0),0)</f>
        <v/>
      </c>
      <c r="AB136" s="68">
        <f>IF(AB$51&lt;=Rates!$D$71,('Sell-Compute'!$C$40*(1+'Sell-Compute'!$C$50)^MOD(AB$51-1,'Sell-Compute'!$C$21)-'Sell-Compute'!$C$42-'Sell-Compute'!$C$43)*($G$118/4)-'Sell-Compute'!$C$41-'Sell-Compute'!$C$44-'Sell-Compute'!$C$45-IF(AND(MOD(AB$51,'Sell-Compute'!$C$21)=0,AB$51&lt;Rates!$D$71),'Sell-Compute'!$C$34*($G$118/4),0),0)</f>
        <v/>
      </c>
    </row>
    <row r="137">
      <c r="A137" s="68" t="inlineStr">
        <is>
          <t>(c) Build fewer modules | dec</t>
        </is>
      </c>
      <c r="C137" s="68">
        <f>-'Sell-Compute'!$B$36+(1-($G$118/4))*('Sell-Compute'!$B$34+('AU-Route'!$B$31*(1+Control!$B$13)))</f>
        <v/>
      </c>
      <c r="D137" s="68">
        <f>IF(D$51&lt;=Rates!$D$71,('Sell-Compute'!$B$40*(1+'Sell-Compute'!$B$50)^MOD(D$51-1,'Sell-Compute'!$C$21)-'Sell-Compute'!$B$42-'Sell-Compute'!$B$43)*($G$118/4)-'Sell-Compute'!$B$41-'Sell-Compute'!$B$44-'Sell-Compute'!$B$45-IF(AND(MOD(D$51,'Sell-Compute'!$C$21)=0,D$51&lt;Rates!$D$71),'Sell-Compute'!$B$34*($G$118/4),0),0)</f>
        <v/>
      </c>
      <c r="E137" s="68">
        <f>IF(E$51&lt;=Rates!$D$71,('Sell-Compute'!$B$40*(1+'Sell-Compute'!$B$50)^MOD(E$51-1,'Sell-Compute'!$C$21)-'Sell-Compute'!$B$42-'Sell-Compute'!$B$43)*($G$118/4)-'Sell-Compute'!$B$41-'Sell-Compute'!$B$44-'Sell-Compute'!$B$45-IF(AND(MOD(E$51,'Sell-Compute'!$C$21)=0,E$51&lt;Rates!$D$71),'Sell-Compute'!$B$34*($G$118/4),0),0)</f>
        <v/>
      </c>
      <c r="F137" s="68">
        <f>IF(F$51&lt;=Rates!$D$71,('Sell-Compute'!$B$40*(1+'Sell-Compute'!$B$50)^MOD(F$51-1,'Sell-Compute'!$C$21)-'Sell-Compute'!$B$42-'Sell-Compute'!$B$43)*($G$118/4)-'Sell-Compute'!$B$41-'Sell-Compute'!$B$44-'Sell-Compute'!$B$45-IF(AND(MOD(F$51,'Sell-Compute'!$C$21)=0,F$51&lt;Rates!$D$71),'Sell-Compute'!$B$34*($G$118/4),0),0)</f>
        <v/>
      </c>
      <c r="G137" s="68">
        <f>IF(G$51&lt;=Rates!$D$71,('Sell-Compute'!$B$40*(1+'Sell-Compute'!$B$50)^MOD(G$51-1,'Sell-Compute'!$C$21)-'Sell-Compute'!$B$42-'Sell-Compute'!$B$43)*($G$118/4)-'Sell-Compute'!$B$41-'Sell-Compute'!$B$44-'Sell-Compute'!$B$45-IF(AND(MOD(G$51,'Sell-Compute'!$C$21)=0,G$51&lt;Rates!$D$71),'Sell-Compute'!$B$34*($G$118/4),0),0)</f>
        <v/>
      </c>
      <c r="H137" s="68">
        <f>IF(H$51&lt;=Rates!$D$71,('Sell-Compute'!$B$40*(1+'Sell-Compute'!$B$50)^MOD(H$51-1,'Sell-Compute'!$C$21)-'Sell-Compute'!$B$42-'Sell-Compute'!$B$43)*($G$118/4)-'Sell-Compute'!$B$41-'Sell-Compute'!$B$44-'Sell-Compute'!$B$45-IF(AND(MOD(H$51,'Sell-Compute'!$C$21)=0,H$51&lt;Rates!$D$71),'Sell-Compute'!$B$34*($G$118/4),0),0)</f>
        <v/>
      </c>
      <c r="I137" s="68">
        <f>IF(I$51&lt;=Rates!$D$71,('Sell-Compute'!$B$40*(1+'Sell-Compute'!$B$50)^MOD(I$51-1,'Sell-Compute'!$C$21)-'Sell-Compute'!$B$42-'Sell-Compute'!$B$43)*($G$118/4)-'Sell-Compute'!$B$41-'Sell-Compute'!$B$44-'Sell-Compute'!$B$45-IF(AND(MOD(I$51,'Sell-Compute'!$C$21)=0,I$51&lt;Rates!$D$71),'Sell-Compute'!$B$34*($G$118/4),0),0)</f>
        <v/>
      </c>
      <c r="J137" s="68">
        <f>IF(J$51&lt;=Rates!$D$71,('Sell-Compute'!$B$40*(1+'Sell-Compute'!$B$50)^MOD(J$51-1,'Sell-Compute'!$C$21)-'Sell-Compute'!$B$42-'Sell-Compute'!$B$43)*($G$118/4)-'Sell-Compute'!$B$41-'Sell-Compute'!$B$44-'Sell-Compute'!$B$45-IF(AND(MOD(J$51,'Sell-Compute'!$C$21)=0,J$51&lt;Rates!$D$71),'Sell-Compute'!$B$34*($G$118/4),0),0)</f>
        <v/>
      </c>
      <c r="K137" s="68">
        <f>IF(K$51&lt;=Rates!$D$71,('Sell-Compute'!$B$40*(1+'Sell-Compute'!$B$50)^MOD(K$51-1,'Sell-Compute'!$C$21)-'Sell-Compute'!$B$42-'Sell-Compute'!$B$43)*($G$118/4)-'Sell-Compute'!$B$41-'Sell-Compute'!$B$44-'Sell-Compute'!$B$45-IF(AND(MOD(K$51,'Sell-Compute'!$C$21)=0,K$51&lt;Rates!$D$71),'Sell-Compute'!$B$34*($G$118/4),0),0)</f>
        <v/>
      </c>
      <c r="L137" s="68">
        <f>IF(L$51&lt;=Rates!$D$71,('Sell-Compute'!$B$40*(1+'Sell-Compute'!$B$50)^MOD(L$51-1,'Sell-Compute'!$C$21)-'Sell-Compute'!$B$42-'Sell-Compute'!$B$43)*($G$118/4)-'Sell-Compute'!$B$41-'Sell-Compute'!$B$44-'Sell-Compute'!$B$45-IF(AND(MOD(L$51,'Sell-Compute'!$C$21)=0,L$51&lt;Rates!$D$71),'Sell-Compute'!$B$34*($G$118/4),0),0)</f>
        <v/>
      </c>
      <c r="M137" s="68">
        <f>IF(M$51&lt;=Rates!$D$71,('Sell-Compute'!$B$40*(1+'Sell-Compute'!$B$50)^MOD(M$51-1,'Sell-Compute'!$C$21)-'Sell-Compute'!$B$42-'Sell-Compute'!$B$43)*($G$118/4)-'Sell-Compute'!$B$41-'Sell-Compute'!$B$44-'Sell-Compute'!$B$45-IF(AND(MOD(M$51,'Sell-Compute'!$C$21)=0,M$51&lt;Rates!$D$71),'Sell-Compute'!$B$34*($G$118/4),0),0)</f>
        <v/>
      </c>
      <c r="N137" s="68">
        <f>IF(N$51&lt;=Rates!$D$71,('Sell-Compute'!$B$40*(1+'Sell-Compute'!$B$50)^MOD(N$51-1,'Sell-Compute'!$C$21)-'Sell-Compute'!$B$42-'Sell-Compute'!$B$43)*($G$118/4)-'Sell-Compute'!$B$41-'Sell-Compute'!$B$44-'Sell-Compute'!$B$45-IF(AND(MOD(N$51,'Sell-Compute'!$C$21)=0,N$51&lt;Rates!$D$71),'Sell-Compute'!$B$34*($G$118/4),0),0)</f>
        <v/>
      </c>
      <c r="O137" s="68">
        <f>IF(O$51&lt;=Rates!$D$71,('Sell-Compute'!$B$40*(1+'Sell-Compute'!$B$50)^MOD(O$51-1,'Sell-Compute'!$C$21)-'Sell-Compute'!$B$42-'Sell-Compute'!$B$43)*($G$118/4)-'Sell-Compute'!$B$41-'Sell-Compute'!$B$44-'Sell-Compute'!$B$45-IF(AND(MOD(O$51,'Sell-Compute'!$C$21)=0,O$51&lt;Rates!$D$71),'Sell-Compute'!$B$34*($G$118/4),0),0)</f>
        <v/>
      </c>
      <c r="P137" s="68">
        <f>IF(P$51&lt;=Rates!$D$71,('Sell-Compute'!$B$40*(1+'Sell-Compute'!$B$50)^MOD(P$51-1,'Sell-Compute'!$C$21)-'Sell-Compute'!$B$42-'Sell-Compute'!$B$43)*($G$118/4)-'Sell-Compute'!$B$41-'Sell-Compute'!$B$44-'Sell-Compute'!$B$45-IF(AND(MOD(P$51,'Sell-Compute'!$C$21)=0,P$51&lt;Rates!$D$71),'Sell-Compute'!$B$34*($G$118/4),0),0)</f>
        <v/>
      </c>
      <c r="Q137" s="68">
        <f>IF(Q$51&lt;=Rates!$D$71,('Sell-Compute'!$B$40*(1+'Sell-Compute'!$B$50)^MOD(Q$51-1,'Sell-Compute'!$C$21)-'Sell-Compute'!$B$42-'Sell-Compute'!$B$43)*($G$118/4)-'Sell-Compute'!$B$41-'Sell-Compute'!$B$44-'Sell-Compute'!$B$45-IF(AND(MOD(Q$51,'Sell-Compute'!$C$21)=0,Q$51&lt;Rates!$D$71),'Sell-Compute'!$B$34*($G$118/4),0),0)</f>
        <v/>
      </c>
      <c r="R137" s="68">
        <f>IF(R$51&lt;=Rates!$D$71,('Sell-Compute'!$B$40*(1+'Sell-Compute'!$B$50)^MOD(R$51-1,'Sell-Compute'!$C$21)-'Sell-Compute'!$B$42-'Sell-Compute'!$B$43)*($G$118/4)-'Sell-Compute'!$B$41-'Sell-Compute'!$B$44-'Sell-Compute'!$B$45-IF(AND(MOD(R$51,'Sell-Compute'!$C$21)=0,R$51&lt;Rates!$D$71),'Sell-Compute'!$B$34*($G$118/4),0),0)</f>
        <v/>
      </c>
      <c r="S137" s="68">
        <f>IF(S$51&lt;=Rates!$D$71,('Sell-Compute'!$B$40*(1+'Sell-Compute'!$B$50)^MOD(S$51-1,'Sell-Compute'!$C$21)-'Sell-Compute'!$B$42-'Sell-Compute'!$B$43)*($G$118/4)-'Sell-Compute'!$B$41-'Sell-Compute'!$B$44-'Sell-Compute'!$B$45-IF(AND(MOD(S$51,'Sell-Compute'!$C$21)=0,S$51&lt;Rates!$D$71),'Sell-Compute'!$B$34*($G$118/4),0),0)</f>
        <v/>
      </c>
      <c r="T137" s="68">
        <f>IF(T$51&lt;=Rates!$D$71,('Sell-Compute'!$B$40*(1+'Sell-Compute'!$B$50)^MOD(T$51-1,'Sell-Compute'!$C$21)-'Sell-Compute'!$B$42-'Sell-Compute'!$B$43)*($G$118/4)-'Sell-Compute'!$B$41-'Sell-Compute'!$B$44-'Sell-Compute'!$B$45-IF(AND(MOD(T$51,'Sell-Compute'!$C$21)=0,T$51&lt;Rates!$D$71),'Sell-Compute'!$B$34*($G$118/4),0),0)</f>
        <v/>
      </c>
      <c r="U137" s="68">
        <f>IF(U$51&lt;=Rates!$D$71,('Sell-Compute'!$B$40*(1+'Sell-Compute'!$B$50)^MOD(U$51-1,'Sell-Compute'!$C$21)-'Sell-Compute'!$B$42-'Sell-Compute'!$B$43)*($G$118/4)-'Sell-Compute'!$B$41-'Sell-Compute'!$B$44-'Sell-Compute'!$B$45-IF(AND(MOD(U$51,'Sell-Compute'!$C$21)=0,U$51&lt;Rates!$D$71),'Sell-Compute'!$B$34*($G$118/4),0),0)</f>
        <v/>
      </c>
      <c r="V137" s="68">
        <f>IF(V$51&lt;=Rates!$D$71,('Sell-Compute'!$B$40*(1+'Sell-Compute'!$B$50)^MOD(V$51-1,'Sell-Compute'!$C$21)-'Sell-Compute'!$B$42-'Sell-Compute'!$B$43)*($G$118/4)-'Sell-Compute'!$B$41-'Sell-Compute'!$B$44-'Sell-Compute'!$B$45-IF(AND(MOD(V$51,'Sell-Compute'!$C$21)=0,V$51&lt;Rates!$D$71),'Sell-Compute'!$B$34*($G$118/4),0),0)</f>
        <v/>
      </c>
      <c r="W137" s="68">
        <f>IF(W$51&lt;=Rates!$D$71,('Sell-Compute'!$B$40*(1+'Sell-Compute'!$B$50)^MOD(W$51-1,'Sell-Compute'!$C$21)-'Sell-Compute'!$B$42-'Sell-Compute'!$B$43)*($G$118/4)-'Sell-Compute'!$B$41-'Sell-Compute'!$B$44-'Sell-Compute'!$B$45-IF(AND(MOD(W$51,'Sell-Compute'!$C$21)=0,W$51&lt;Rates!$D$71),'Sell-Compute'!$B$34*($G$118/4),0),0)</f>
        <v/>
      </c>
      <c r="X137" s="68">
        <f>IF(X$51&lt;=Rates!$D$71,('Sell-Compute'!$B$40*(1+'Sell-Compute'!$B$50)^MOD(X$51-1,'Sell-Compute'!$C$21)-'Sell-Compute'!$B$42-'Sell-Compute'!$B$43)*($G$118/4)-'Sell-Compute'!$B$41-'Sell-Compute'!$B$44-'Sell-Compute'!$B$45-IF(AND(MOD(X$51,'Sell-Compute'!$C$21)=0,X$51&lt;Rates!$D$71),'Sell-Compute'!$B$34*($G$118/4),0),0)</f>
        <v/>
      </c>
      <c r="Y137" s="68">
        <f>IF(Y$51&lt;=Rates!$D$71,('Sell-Compute'!$B$40*(1+'Sell-Compute'!$B$50)^MOD(Y$51-1,'Sell-Compute'!$C$21)-'Sell-Compute'!$B$42-'Sell-Compute'!$B$43)*($G$118/4)-'Sell-Compute'!$B$41-'Sell-Compute'!$B$44-'Sell-Compute'!$B$45-IF(AND(MOD(Y$51,'Sell-Compute'!$C$21)=0,Y$51&lt;Rates!$D$71),'Sell-Compute'!$B$34*($G$118/4),0),0)</f>
        <v/>
      </c>
      <c r="Z137" s="68">
        <f>IF(Z$51&lt;=Rates!$D$71,('Sell-Compute'!$B$40*(1+'Sell-Compute'!$B$50)^MOD(Z$51-1,'Sell-Compute'!$C$21)-'Sell-Compute'!$B$42-'Sell-Compute'!$B$43)*($G$118/4)-'Sell-Compute'!$B$41-'Sell-Compute'!$B$44-'Sell-Compute'!$B$45-IF(AND(MOD(Z$51,'Sell-Compute'!$C$21)=0,Z$51&lt;Rates!$D$71),'Sell-Compute'!$B$34*($G$118/4),0),0)</f>
        <v/>
      </c>
      <c r="AA137" s="68">
        <f>IF(AA$51&lt;=Rates!$D$71,('Sell-Compute'!$B$40*(1+'Sell-Compute'!$B$50)^MOD(AA$51-1,'Sell-Compute'!$C$21)-'Sell-Compute'!$B$42-'Sell-Compute'!$B$43)*($G$118/4)-'Sell-Compute'!$B$41-'Sell-Compute'!$B$44-'Sell-Compute'!$B$45-IF(AND(MOD(AA$51,'Sell-Compute'!$C$21)=0,AA$51&lt;Rates!$D$71),'Sell-Compute'!$B$34*($G$118/4),0),0)</f>
        <v/>
      </c>
      <c r="AB137" s="68">
        <f>IF(AB$51&lt;=Rates!$D$71,('Sell-Compute'!$B$40*(1+'Sell-Compute'!$B$50)^MOD(AB$51-1,'Sell-Compute'!$C$21)-'Sell-Compute'!$B$42-'Sell-Compute'!$B$43)*($G$118/4)-'Sell-Compute'!$B$41-'Sell-Compute'!$B$44-'Sell-Compute'!$B$45-IF(AND(MOD(AB$51,'Sell-Compute'!$C$21)=0,AB$51&lt;Rates!$D$71),'Sell-Compute'!$B$34*($G$118/4),0),0)</f>
        <v/>
      </c>
    </row>
    <row r="138">
      <c r="A138" s="68" t="inlineStr">
        <is>
          <t>(c) Build fewer modules | colo</t>
        </is>
      </c>
      <c r="C138" s="68">
        <f>-'Sell-Compute'!$I$36+(1-($G$118/4))*('AU-Route'!$B$31*(1+Control!$B$13))</f>
        <v/>
      </c>
      <c r="D138" s="68">
        <f>IF(D$51&lt;=Rates!$D$71,'Sell-Compute'!$I$46-'Sell-Compute'!$I$40*(1-($G$118/4)),0)</f>
        <v/>
      </c>
      <c r="E138" s="68">
        <f>IF(E$51&lt;=Rates!$D$71,'Sell-Compute'!$I$46-'Sell-Compute'!$I$40*(1-($G$118/4)),0)</f>
        <v/>
      </c>
      <c r="F138" s="68">
        <f>IF(F$51&lt;=Rates!$D$71,'Sell-Compute'!$I$46-'Sell-Compute'!$I$40*(1-($G$118/4)),0)</f>
        <v/>
      </c>
      <c r="G138" s="68">
        <f>IF(G$51&lt;=Rates!$D$71,'Sell-Compute'!$I$46-'Sell-Compute'!$I$40*(1-($G$118/4)),0)</f>
        <v/>
      </c>
      <c r="H138" s="68">
        <f>IF(H$51&lt;=Rates!$D$71,'Sell-Compute'!$I$46-'Sell-Compute'!$I$40*(1-($G$118/4)),0)</f>
        <v/>
      </c>
      <c r="I138" s="68">
        <f>IF(I$51&lt;=Rates!$D$71,'Sell-Compute'!$I$46-'Sell-Compute'!$I$40*(1-($G$118/4)),0)</f>
        <v/>
      </c>
      <c r="J138" s="68">
        <f>IF(J$51&lt;=Rates!$D$71,'Sell-Compute'!$I$46-'Sell-Compute'!$I$40*(1-($G$118/4)),0)</f>
        <v/>
      </c>
      <c r="K138" s="68">
        <f>IF(K$51&lt;=Rates!$D$71,'Sell-Compute'!$I$46-'Sell-Compute'!$I$40*(1-($G$118/4)),0)</f>
        <v/>
      </c>
      <c r="L138" s="68">
        <f>IF(L$51&lt;=Rates!$D$71,'Sell-Compute'!$I$46-'Sell-Compute'!$I$40*(1-($G$118/4)),0)</f>
        <v/>
      </c>
      <c r="M138" s="68">
        <f>IF(M$51&lt;=Rates!$D$71,'Sell-Compute'!$I$46-'Sell-Compute'!$I$40*(1-($G$118/4)),0)</f>
        <v/>
      </c>
      <c r="N138" s="68">
        <f>IF(N$51&lt;=Rates!$D$71,'Sell-Compute'!$I$46-'Sell-Compute'!$I$40*(1-($G$118/4)),0)</f>
        <v/>
      </c>
      <c r="O138" s="68">
        <f>IF(O$51&lt;=Rates!$D$71,'Sell-Compute'!$I$46-'Sell-Compute'!$I$40*(1-($G$118/4)),0)</f>
        <v/>
      </c>
      <c r="P138" s="68">
        <f>IF(P$51&lt;=Rates!$D$71,'Sell-Compute'!$I$46-'Sell-Compute'!$I$40*(1-($G$118/4)),0)</f>
        <v/>
      </c>
      <c r="Q138" s="68">
        <f>IF(Q$51&lt;=Rates!$D$71,'Sell-Compute'!$I$46-'Sell-Compute'!$I$40*(1-($G$118/4)),0)</f>
        <v/>
      </c>
      <c r="R138" s="68">
        <f>IF(R$51&lt;=Rates!$D$71,'Sell-Compute'!$I$46-'Sell-Compute'!$I$40*(1-($G$118/4)),0)</f>
        <v/>
      </c>
      <c r="S138" s="68">
        <f>IF(S$51&lt;=Rates!$D$71,'Sell-Compute'!$I$46-'Sell-Compute'!$I$40*(1-($G$118/4)),0)</f>
        <v/>
      </c>
      <c r="T138" s="68">
        <f>IF(T$51&lt;=Rates!$D$71,'Sell-Compute'!$I$46-'Sell-Compute'!$I$40*(1-($G$118/4)),0)</f>
        <v/>
      </c>
      <c r="U138" s="68">
        <f>IF(U$51&lt;=Rates!$D$71,'Sell-Compute'!$I$46-'Sell-Compute'!$I$40*(1-($G$118/4)),0)</f>
        <v/>
      </c>
      <c r="V138" s="68">
        <f>IF(V$51&lt;=Rates!$D$71,'Sell-Compute'!$I$46-'Sell-Compute'!$I$40*(1-($G$118/4)),0)</f>
        <v/>
      </c>
      <c r="W138" s="68">
        <f>IF(W$51&lt;=Rates!$D$71,'Sell-Compute'!$I$46-'Sell-Compute'!$I$40*(1-($G$118/4)),0)</f>
        <v/>
      </c>
      <c r="X138" s="68">
        <f>IF(X$51&lt;=Rates!$D$71,'Sell-Compute'!$I$46-'Sell-Compute'!$I$40*(1-($G$118/4)),0)</f>
        <v/>
      </c>
      <c r="Y138" s="68">
        <f>IF(Y$51&lt;=Rates!$D$71,'Sell-Compute'!$I$46-'Sell-Compute'!$I$40*(1-($G$118/4)),0)</f>
        <v/>
      </c>
      <c r="Z138" s="68">
        <f>IF(Z$51&lt;=Rates!$D$71,'Sell-Compute'!$I$46-'Sell-Compute'!$I$40*(1-($G$118/4)),0)</f>
        <v/>
      </c>
      <c r="AA138" s="68">
        <f>IF(AA$51&lt;=Rates!$D$71,'Sell-Compute'!$I$46-'Sell-Compute'!$I$40*(1-($G$118/4)),0)</f>
        <v/>
      </c>
      <c r="AB138" s="68">
        <f>IF(AB$51&lt;=Rates!$D$71,'Sell-Compute'!$I$46-'Sell-Compute'!$I$40*(1-($G$118/4)),0)</f>
        <v/>
      </c>
    </row>
    <row r="139"/>
    <row r="140">
      <c r="A140" s="68" t="inlineStr">
        <is>
          <t>rate: Project Red reading 5.0 degC/yr (disputed)</t>
        </is>
      </c>
      <c r="B140" s="123">
        <f>Decline!$C$9</f>
        <v/>
      </c>
      <c r="D140" s="68" t="inlineStr">
        <is>
          <t>k (a)</t>
        </is>
      </c>
      <c r="E140" s="68">
        <f>IF(AA$141&lt;=0,"not feasible",MAX(0,CEILING(Decline!$C$20/AA$141-1E-9,1)-Decline!$C$19))</f>
        <v/>
      </c>
      <c r="F140" s="68" t="inlineStr">
        <is>
          <t>N (c)</t>
        </is>
      </c>
      <c r="G140" s="68">
        <f>MAX(0,MIN(4,INT(MIN(Decline!$C$20,Decline!$C$19*MAX(0,AA$141))*Decline!$C$21/Decline!$C$22+1E-9)))</f>
        <v/>
      </c>
    </row>
    <row r="141">
      <c r="A141" s="68" t="inlineStr">
        <is>
          <t>capability per producer by age (MW net)</t>
        </is>
      </c>
      <c r="C141" s="68">
        <f>(Rates!$D$66*((Decline!$C$15-$B$140*C$51)-Decline!$C$16-(Decline!$C$16+273.15)*LN(((Decline!$C$15-$B$140*C$51)+273.15)/(Decline!$C$16+273.15)))/Decline!$C$23*Decline!$C$24-Decline!$C$25)</f>
        <v/>
      </c>
      <c r="D141" s="68">
        <f>(Rates!$D$66*((Decline!$C$15-$B$140*D$51)-Decline!$C$16-(Decline!$C$16+273.15)*LN(((Decline!$C$15-$B$140*D$51)+273.15)/(Decline!$C$16+273.15)))/Decline!$C$23*Decline!$C$24-Decline!$C$25)</f>
        <v/>
      </c>
      <c r="E141" s="68">
        <f>(Rates!$D$66*((Decline!$C$15-$B$140*E$51)-Decline!$C$16-(Decline!$C$16+273.15)*LN(((Decline!$C$15-$B$140*E$51)+273.15)/(Decline!$C$16+273.15)))/Decline!$C$23*Decline!$C$24-Decline!$C$25)</f>
        <v/>
      </c>
      <c r="F141" s="68">
        <f>(Rates!$D$66*((Decline!$C$15-$B$140*F$51)-Decline!$C$16-(Decline!$C$16+273.15)*LN(((Decline!$C$15-$B$140*F$51)+273.15)/(Decline!$C$16+273.15)))/Decline!$C$23*Decline!$C$24-Decline!$C$25)</f>
        <v/>
      </c>
      <c r="G141" s="68">
        <f>(Rates!$D$66*((Decline!$C$15-$B$140*G$51)-Decline!$C$16-(Decline!$C$16+273.15)*LN(((Decline!$C$15-$B$140*G$51)+273.15)/(Decline!$C$16+273.15)))/Decline!$C$23*Decline!$C$24-Decline!$C$25)</f>
        <v/>
      </c>
      <c r="H141" s="68">
        <f>(Rates!$D$66*((Decline!$C$15-$B$140*H$51)-Decline!$C$16-(Decline!$C$16+273.15)*LN(((Decline!$C$15-$B$140*H$51)+273.15)/(Decline!$C$16+273.15)))/Decline!$C$23*Decline!$C$24-Decline!$C$25)</f>
        <v/>
      </c>
      <c r="I141" s="68">
        <f>(Rates!$D$66*((Decline!$C$15-$B$140*I$51)-Decline!$C$16-(Decline!$C$16+273.15)*LN(((Decline!$C$15-$B$140*I$51)+273.15)/(Decline!$C$16+273.15)))/Decline!$C$23*Decline!$C$24-Decline!$C$25)</f>
        <v/>
      </c>
      <c r="J141" s="68">
        <f>(Rates!$D$66*((Decline!$C$15-$B$140*J$51)-Decline!$C$16-(Decline!$C$16+273.15)*LN(((Decline!$C$15-$B$140*J$51)+273.15)/(Decline!$C$16+273.15)))/Decline!$C$23*Decline!$C$24-Decline!$C$25)</f>
        <v/>
      </c>
      <c r="K141" s="68">
        <f>(Rates!$D$66*((Decline!$C$15-$B$140*K$51)-Decline!$C$16-(Decline!$C$16+273.15)*LN(((Decline!$C$15-$B$140*K$51)+273.15)/(Decline!$C$16+273.15)))/Decline!$C$23*Decline!$C$24-Decline!$C$25)</f>
        <v/>
      </c>
      <c r="L141" s="68">
        <f>(Rates!$D$66*((Decline!$C$15-$B$140*L$51)-Decline!$C$16-(Decline!$C$16+273.15)*LN(((Decline!$C$15-$B$140*L$51)+273.15)/(Decline!$C$16+273.15)))/Decline!$C$23*Decline!$C$24-Decline!$C$25)</f>
        <v/>
      </c>
      <c r="M141" s="68">
        <f>(Rates!$D$66*((Decline!$C$15-$B$140*M$51)-Decline!$C$16-(Decline!$C$16+273.15)*LN(((Decline!$C$15-$B$140*M$51)+273.15)/(Decline!$C$16+273.15)))/Decline!$C$23*Decline!$C$24-Decline!$C$25)</f>
        <v/>
      </c>
      <c r="N141" s="68">
        <f>(Rates!$D$66*((Decline!$C$15-$B$140*N$51)-Decline!$C$16-(Decline!$C$16+273.15)*LN(((Decline!$C$15-$B$140*N$51)+273.15)/(Decline!$C$16+273.15)))/Decline!$C$23*Decline!$C$24-Decline!$C$25)</f>
        <v/>
      </c>
      <c r="O141" s="68">
        <f>(Rates!$D$66*((Decline!$C$15-$B$140*O$51)-Decline!$C$16-(Decline!$C$16+273.15)*LN(((Decline!$C$15-$B$140*O$51)+273.15)/(Decline!$C$16+273.15)))/Decline!$C$23*Decline!$C$24-Decline!$C$25)</f>
        <v/>
      </c>
      <c r="P141" s="68">
        <f>(Rates!$D$66*((Decline!$C$15-$B$140*P$51)-Decline!$C$16-(Decline!$C$16+273.15)*LN(((Decline!$C$15-$B$140*P$51)+273.15)/(Decline!$C$16+273.15)))/Decline!$C$23*Decline!$C$24-Decline!$C$25)</f>
        <v/>
      </c>
      <c r="Q141" s="68">
        <f>(Rates!$D$66*((Decline!$C$15-$B$140*Q$51)-Decline!$C$16-(Decline!$C$16+273.15)*LN(((Decline!$C$15-$B$140*Q$51)+273.15)/(Decline!$C$16+273.15)))/Decline!$C$23*Decline!$C$24-Decline!$C$25)</f>
        <v/>
      </c>
      <c r="R141" s="68">
        <f>(Rates!$D$66*((Decline!$C$15-$B$140*R$51)-Decline!$C$16-(Decline!$C$16+273.15)*LN(((Decline!$C$15-$B$140*R$51)+273.15)/(Decline!$C$16+273.15)))/Decline!$C$23*Decline!$C$24-Decline!$C$25)</f>
        <v/>
      </c>
      <c r="S141" s="68">
        <f>(Rates!$D$66*((Decline!$C$15-$B$140*S$51)-Decline!$C$16-(Decline!$C$16+273.15)*LN(((Decline!$C$15-$B$140*S$51)+273.15)/(Decline!$C$16+273.15)))/Decline!$C$23*Decline!$C$24-Decline!$C$25)</f>
        <v/>
      </c>
      <c r="T141" s="68">
        <f>(Rates!$D$66*((Decline!$C$15-$B$140*T$51)-Decline!$C$16-(Decline!$C$16+273.15)*LN(((Decline!$C$15-$B$140*T$51)+273.15)/(Decline!$C$16+273.15)))/Decline!$C$23*Decline!$C$24-Decline!$C$25)</f>
        <v/>
      </c>
      <c r="U141" s="68">
        <f>(Rates!$D$66*((Decline!$C$15-$B$140*U$51)-Decline!$C$16-(Decline!$C$16+273.15)*LN(((Decline!$C$15-$B$140*U$51)+273.15)/(Decline!$C$16+273.15)))/Decline!$C$23*Decline!$C$24-Decline!$C$25)</f>
        <v/>
      </c>
      <c r="V141" s="68">
        <f>(Rates!$D$66*((Decline!$C$15-$B$140*V$51)-Decline!$C$16-(Decline!$C$16+273.15)*LN(((Decline!$C$15-$B$140*V$51)+273.15)/(Decline!$C$16+273.15)))/Decline!$C$23*Decline!$C$24-Decline!$C$25)</f>
        <v/>
      </c>
      <c r="W141" s="68">
        <f>(Rates!$D$66*((Decline!$C$15-$B$140*W$51)-Decline!$C$16-(Decline!$C$16+273.15)*LN(((Decline!$C$15-$B$140*W$51)+273.15)/(Decline!$C$16+273.15)))/Decline!$C$23*Decline!$C$24-Decline!$C$25)</f>
        <v/>
      </c>
      <c r="X141" s="68">
        <f>(Rates!$D$66*((Decline!$C$15-$B$140*X$51)-Decline!$C$16-(Decline!$C$16+273.15)*LN(((Decline!$C$15-$B$140*X$51)+273.15)/(Decline!$C$16+273.15)))/Decline!$C$23*Decline!$C$24-Decline!$C$25)</f>
        <v/>
      </c>
      <c r="Y141" s="68">
        <f>(Rates!$D$66*((Decline!$C$15-$B$140*Y$51)-Decline!$C$16-(Decline!$C$16+273.15)*LN(((Decline!$C$15-$B$140*Y$51)+273.15)/(Decline!$C$16+273.15)))/Decline!$C$23*Decline!$C$24-Decline!$C$25)</f>
        <v/>
      </c>
      <c r="Z141" s="68">
        <f>(Rates!$D$66*((Decline!$C$15-$B$140*Z$51)-Decline!$C$16-(Decline!$C$16+273.15)*LN(((Decline!$C$15-$B$140*Z$51)+273.15)/(Decline!$C$16+273.15)))/Decline!$C$23*Decline!$C$24-Decline!$C$25)</f>
        <v/>
      </c>
      <c r="AA141" s="68">
        <f>(Rates!$D$66*((Decline!$C$15-$B$140*AA$51)-Decline!$C$16-(Decline!$C$16+273.15)*LN(((Decline!$C$15-$B$140*AA$51)+273.15)/(Decline!$C$16+273.15)))/Decline!$C$23*Decline!$C$24-Decline!$C$25)</f>
        <v/>
      </c>
      <c r="AB141" s="68">
        <f>(Rates!$D$66*((Decline!$C$15-$B$140*AB$51)-Decline!$C$16-(Decline!$C$16+273.15)*LN(((Decline!$C$15-$B$140*AB$51)+273.15)/(Decline!$C$16+273.15)))/Decline!$C$23*Decline!$C$24-Decline!$C$25)</f>
        <v/>
      </c>
    </row>
    <row r="142">
      <c r="A142" s="68" t="inlineStr">
        <is>
          <t>(b) capability before new wells</t>
        </is>
      </c>
      <c r="D142" s="68">
        <f>Decline!$C$19*C$141</f>
        <v/>
      </c>
      <c r="E142" s="68">
        <f>Decline!$C$19*D$141</f>
        <v/>
      </c>
      <c r="F142" s="68">
        <f>Decline!$C$19*E$141+E143*D$141</f>
        <v/>
      </c>
      <c r="G142" s="68">
        <f>Decline!$C$19*F$141+E143*E$141+F143*D$141</f>
        <v/>
      </c>
      <c r="H142" s="68">
        <f>Decline!$C$19*G$141+E143*F$141+F143*E$141+G143*D$141</f>
        <v/>
      </c>
      <c r="I142" s="68">
        <f>Decline!$C$19*H$141+E143*G$141+F143*F$141+G143*E$141+H143*D$141</f>
        <v/>
      </c>
      <c r="J142" s="68">
        <f>Decline!$C$19*I$141+E143*H$141+F143*G$141+G143*F$141+H143*E$141+I143*D$141</f>
        <v/>
      </c>
      <c r="K142" s="68">
        <f>Decline!$C$19*J$141+E143*I$141+F143*H$141+G143*G$141+H143*F$141+I143*E$141+J143*D$141</f>
        <v/>
      </c>
      <c r="L142" s="68">
        <f>Decline!$C$19*K$141+E143*J$141+F143*I$141+G143*H$141+H143*G$141+I143*F$141+J143*E$141+K143*D$141</f>
        <v/>
      </c>
      <c r="M142" s="68">
        <f>Decline!$C$19*L$141+E143*K$141+F143*J$141+G143*I$141+H143*H$141+I143*G$141+J143*F$141+K143*E$141+L143*D$141</f>
        <v/>
      </c>
      <c r="N142" s="68">
        <f>Decline!$C$19*M$141+E143*L$141+F143*K$141+G143*J$141+H143*I$141+I143*H$141+J143*G$141+K143*F$141+L143*E$141+M143*D$141</f>
        <v/>
      </c>
      <c r="O142" s="68">
        <f>Decline!$C$19*N$141+E143*M$141+F143*L$141+G143*K$141+H143*J$141+I143*I$141+J143*H$141+K143*G$141+L143*F$141+M143*E$141+N143*D$141</f>
        <v/>
      </c>
      <c r="P142" s="68">
        <f>Decline!$C$19*O$141+E143*N$141+F143*M$141+G143*L$141+H143*K$141+I143*J$141+J143*I$141+K143*H$141+L143*G$141+M143*F$141+N143*E$141+O143*D$141</f>
        <v/>
      </c>
      <c r="Q142" s="68">
        <f>Decline!$C$19*P$141+E143*O$141+F143*N$141+G143*M$141+H143*L$141+I143*K$141+J143*J$141+K143*I$141+L143*H$141+M143*G$141+N143*F$141+O143*E$141+P143*D$141</f>
        <v/>
      </c>
      <c r="R142" s="68">
        <f>Decline!$C$19*Q$141+E143*P$141+F143*O$141+G143*N$141+H143*M$141+I143*L$141+J143*K$141+K143*J$141+L143*I$141+M143*H$141+N143*G$141+O143*F$141+P143*E$141+Q143*D$141</f>
        <v/>
      </c>
      <c r="S142" s="68">
        <f>Decline!$C$19*R$141+E143*Q$141+F143*P$141+G143*O$141+H143*N$141+I143*M$141+J143*L$141+K143*K$141+L143*J$141+M143*I$141+N143*H$141+O143*G$141+P143*F$141+Q143*E$141+R143*D$141</f>
        <v/>
      </c>
      <c r="T142" s="68">
        <f>Decline!$C$19*S$141+E143*R$141+F143*Q$141+G143*P$141+H143*O$141+I143*N$141+J143*M$141+K143*L$141+L143*K$141+M143*J$141+N143*I$141+O143*H$141+P143*G$141+Q143*F$141+R143*E$141+S143*D$141</f>
        <v/>
      </c>
      <c r="U142" s="68">
        <f>Decline!$C$19*T$141+E143*S$141+F143*R$141+G143*Q$141+H143*P$141+I143*O$141+J143*N$141+K143*M$141+L143*L$141+M143*K$141+N143*J$141+O143*I$141+P143*H$141+Q143*G$141+R143*F$141+S143*E$141+T143*D$141</f>
        <v/>
      </c>
      <c r="V142" s="68">
        <f>Decline!$C$19*U$141+E143*T$141+F143*S$141+G143*R$141+H143*Q$141+I143*P$141+J143*O$141+K143*N$141+L143*M$141+M143*L$141+N143*K$141+O143*J$141+P143*I$141+Q143*H$141+R143*G$141+S143*F$141+T143*E$141+U143*D$141</f>
        <v/>
      </c>
      <c r="W142" s="68">
        <f>Decline!$C$19*V$141+E143*U$141+F143*T$141+G143*S$141+H143*R$141+I143*Q$141+J143*P$141+K143*O$141+L143*N$141+M143*M$141+N143*L$141+O143*K$141+P143*J$141+Q143*I$141+R143*H$141+S143*G$141+T143*F$141+U143*E$141+V143*D$141</f>
        <v/>
      </c>
      <c r="X142" s="68">
        <f>Decline!$C$19*W$141+E143*V$141+F143*U$141+G143*T$141+H143*S$141+I143*R$141+J143*Q$141+K143*P$141+L143*O$141+M143*N$141+N143*M$141+O143*L$141+P143*K$141+Q143*J$141+R143*I$141+S143*H$141+T143*G$141+U143*F$141+V143*E$141+W143*D$141</f>
        <v/>
      </c>
      <c r="Y142" s="68">
        <f>Decline!$C$19*X$141+E143*W$141+F143*V$141+G143*U$141+H143*T$141+I143*S$141+J143*R$141+K143*Q$141+L143*P$141+M143*O$141+N143*N$141+O143*M$141+P143*L$141+Q143*K$141+R143*J$141+S143*I$141+T143*H$141+U143*G$141+V143*F$141+W143*E$141+X143*D$141</f>
        <v/>
      </c>
      <c r="Z142" s="68">
        <f>Decline!$C$19*Y$141+E143*X$141+F143*W$141+G143*V$141+H143*U$141+I143*T$141+J143*S$141+K143*R$141+L143*Q$141+M143*P$141+N143*O$141+O143*N$141+P143*M$141+Q143*L$141+R143*K$141+S143*J$141+T143*I$141+U143*H$141+V143*G$141+W143*F$141+X143*E$141+Y143*D$141</f>
        <v/>
      </c>
      <c r="AA142" s="68">
        <f>Decline!$C$19*Z$141+E143*Y$141+F143*X$141+G143*W$141+H143*V$141+I143*U$141+J143*T$141+K143*S$141+L143*R$141+M143*Q$141+N143*P$141+O143*O$141+P143*N$141+Q143*M$141+R143*L$141+S143*K$141+T143*J$141+U143*I$141+V143*H$141+W143*G$141+X143*F$141+Y143*E$141+Z143*D$141</f>
        <v/>
      </c>
      <c r="AB142" s="68">
        <f>Decline!$C$19*AA$141+E143*Z$141+F143*Y$141+G143*X$141+H143*W$141+I143*V$141+J143*U$141+K143*T$141+L143*S$141+M143*R$141+N143*Q$141+O143*P$141+P143*O$141+Q143*N$141+R143*M$141+S143*L$141+T143*K$141+U143*J$141+V143*I$141+W143*H$141+X143*G$141+Y143*F$141+Z143*E$141+AA143*D$141</f>
        <v/>
      </c>
    </row>
    <row r="143">
      <c r="A143" s="68" t="inlineStr">
        <is>
          <t>(b) doublets online this year</t>
        </is>
      </c>
      <c r="C143" s="68" t="n">
        <v>0</v>
      </c>
      <c r="D143" s="68" t="n">
        <v>0</v>
      </c>
      <c r="E143" s="68">
        <f>IF(E142&lt;Decline!$C$20-1E-9,IF(C$141&lt;=0,0,CEILING((Decline!$C$20-E142)/C$141,1)),0)</f>
        <v/>
      </c>
      <c r="F143" s="68">
        <f>IF(F142&lt;Decline!$C$20-1E-9,IF(C$141&lt;=0,0,CEILING((Decline!$C$20-F142)/C$141,1)),0)</f>
        <v/>
      </c>
      <c r="G143" s="68">
        <f>IF(G142&lt;Decline!$C$20-1E-9,IF(C$141&lt;=0,0,CEILING((Decline!$C$20-G142)/C$141,1)),0)</f>
        <v/>
      </c>
      <c r="H143" s="68">
        <f>IF(H142&lt;Decline!$C$20-1E-9,IF(C$141&lt;=0,0,CEILING((Decline!$C$20-H142)/C$141,1)),0)</f>
        <v/>
      </c>
      <c r="I143" s="68">
        <f>IF(I142&lt;Decline!$C$20-1E-9,IF(C$141&lt;=0,0,CEILING((Decline!$C$20-I142)/C$141,1)),0)</f>
        <v/>
      </c>
      <c r="J143" s="68">
        <f>IF(J142&lt;Decline!$C$20-1E-9,IF(C$141&lt;=0,0,CEILING((Decline!$C$20-J142)/C$141,1)),0)</f>
        <v/>
      </c>
      <c r="K143" s="68">
        <f>IF(K142&lt;Decline!$C$20-1E-9,IF(C$141&lt;=0,0,CEILING((Decline!$C$20-K142)/C$141,1)),0)</f>
        <v/>
      </c>
      <c r="L143" s="68">
        <f>IF(L142&lt;Decline!$C$20-1E-9,IF(C$141&lt;=0,0,CEILING((Decline!$C$20-L142)/C$141,1)),0)</f>
        <v/>
      </c>
      <c r="M143" s="68">
        <f>IF(M142&lt;Decline!$C$20-1E-9,IF(C$141&lt;=0,0,CEILING((Decline!$C$20-M142)/C$141,1)),0)</f>
        <v/>
      </c>
      <c r="N143" s="68">
        <f>IF(N142&lt;Decline!$C$20-1E-9,IF(C$141&lt;=0,0,CEILING((Decline!$C$20-N142)/C$141,1)),0)</f>
        <v/>
      </c>
      <c r="O143" s="68">
        <f>IF(O142&lt;Decline!$C$20-1E-9,IF(C$141&lt;=0,0,CEILING((Decline!$C$20-O142)/C$141,1)),0)</f>
        <v/>
      </c>
      <c r="P143" s="68">
        <f>IF(P142&lt;Decline!$C$20-1E-9,IF(C$141&lt;=0,0,CEILING((Decline!$C$20-P142)/C$141,1)),0)</f>
        <v/>
      </c>
      <c r="Q143" s="68">
        <f>IF(Q142&lt;Decline!$C$20-1E-9,IF(C$141&lt;=0,0,CEILING((Decline!$C$20-Q142)/C$141,1)),0)</f>
        <v/>
      </c>
      <c r="R143" s="68">
        <f>IF(R142&lt;Decline!$C$20-1E-9,IF(C$141&lt;=0,0,CEILING((Decline!$C$20-R142)/C$141,1)),0)</f>
        <v/>
      </c>
      <c r="S143" s="68">
        <f>IF(S142&lt;Decline!$C$20-1E-9,IF(C$141&lt;=0,0,CEILING((Decline!$C$20-S142)/C$141,1)),0)</f>
        <v/>
      </c>
      <c r="T143" s="68">
        <f>IF(T142&lt;Decline!$C$20-1E-9,IF(C$141&lt;=0,0,CEILING((Decline!$C$20-T142)/C$141,1)),0)</f>
        <v/>
      </c>
      <c r="U143" s="68">
        <f>IF(U142&lt;Decline!$C$20-1E-9,IF(C$141&lt;=0,0,CEILING((Decline!$C$20-U142)/C$141,1)),0)</f>
        <v/>
      </c>
      <c r="V143" s="68">
        <f>IF(V142&lt;Decline!$C$20-1E-9,IF(C$141&lt;=0,0,CEILING((Decline!$C$20-V142)/C$141,1)),0)</f>
        <v/>
      </c>
      <c r="W143" s="68">
        <f>IF(W142&lt;Decline!$C$20-1E-9,IF(C$141&lt;=0,0,CEILING((Decline!$C$20-W142)/C$141,1)),0)</f>
        <v/>
      </c>
      <c r="X143" s="68">
        <f>IF(X142&lt;Decline!$C$20-1E-9,IF(C$141&lt;=0,0,CEILING((Decline!$C$20-X142)/C$141,1)),0)</f>
        <v/>
      </c>
      <c r="Y143" s="68">
        <f>IF(Y142&lt;Decline!$C$20-1E-9,IF(C$141&lt;=0,0,CEILING((Decline!$C$20-Y142)/C$141,1)),0)</f>
        <v/>
      </c>
      <c r="Z143" s="68">
        <f>IF(Z142&lt;Decline!$C$20-1E-9,IF(C$141&lt;=0,0,CEILING((Decline!$C$20-Z142)/C$141,1)),0)</f>
        <v/>
      </c>
      <c r="AA143" s="68">
        <f>IF(AA142&lt;Decline!$C$20-1E-9,IF(C$141&lt;=0,0,CEILING((Decline!$C$20-AA142)/C$141,1)),0)</f>
        <v/>
      </c>
      <c r="AB143" s="68">
        <f>IF(AB142&lt;Decline!$C$20-1E-9,IF(C$141&lt;=0,0,CEILING((Decline!$C$20-AB142)/C$141,1)),0)</f>
        <v/>
      </c>
    </row>
    <row r="144">
      <c r="A144" s="68" t="inlineStr">
        <is>
          <t>(b) capability after</t>
        </is>
      </c>
      <c r="D144" s="68">
        <f>D142+D143*C$141</f>
        <v/>
      </c>
      <c r="E144" s="68">
        <f>E142+E143*C$141</f>
        <v/>
      </c>
      <c r="F144" s="68">
        <f>F142+F143*C$141</f>
        <v/>
      </c>
      <c r="G144" s="68">
        <f>G142+G143*C$141</f>
        <v/>
      </c>
      <c r="H144" s="68">
        <f>H142+H143*C$141</f>
        <v/>
      </c>
      <c r="I144" s="68">
        <f>I142+I143*C$141</f>
        <v/>
      </c>
      <c r="J144" s="68">
        <f>J142+J143*C$141</f>
        <v/>
      </c>
      <c r="K144" s="68">
        <f>K142+K143*C$141</f>
        <v/>
      </c>
      <c r="L144" s="68">
        <f>L142+L143*C$141</f>
        <v/>
      </c>
      <c r="M144" s="68">
        <f>M142+M143*C$141</f>
        <v/>
      </c>
      <c r="N144" s="68">
        <f>N142+N143*C$141</f>
        <v/>
      </c>
      <c r="O144" s="68">
        <f>O142+O143*C$141</f>
        <v/>
      </c>
      <c r="P144" s="68">
        <f>P142+P143*C$141</f>
        <v/>
      </c>
      <c r="Q144" s="68">
        <f>Q142+Q143*C$141</f>
        <v/>
      </c>
      <c r="R144" s="68">
        <f>R142+R143*C$141</f>
        <v/>
      </c>
      <c r="S144" s="68">
        <f>S142+S143*C$141</f>
        <v/>
      </c>
      <c r="T144" s="68">
        <f>T142+T143*C$141</f>
        <v/>
      </c>
      <c r="U144" s="68">
        <f>U142+U143*C$141</f>
        <v/>
      </c>
      <c r="V144" s="68">
        <f>V142+V143*C$141</f>
        <v/>
      </c>
      <c r="W144" s="68">
        <f>W142+W143*C$141</f>
        <v/>
      </c>
      <c r="X144" s="68">
        <f>X142+X143*C$141</f>
        <v/>
      </c>
      <c r="Y144" s="68">
        <f>Y142+Y143*C$141</f>
        <v/>
      </c>
      <c r="Z144" s="68">
        <f>Z142+Z143*C$141</f>
        <v/>
      </c>
      <c r="AA144" s="68">
        <f>AA142+AA143*C$141</f>
        <v/>
      </c>
      <c r="AB144" s="68">
        <f>AB142+AB143*C$141</f>
        <v/>
      </c>
    </row>
    <row r="145">
      <c r="A145" s="68" t="inlineStr">
        <is>
          <t>(b) make-up capex (spent the year before)</t>
        </is>
      </c>
      <c r="C145" s="68">
        <f>IF(D143&gt;0,D143*(2*($C$11+$C$12)*(1+$C$14))+($C$13*(1+$C$14)),0)</f>
        <v/>
      </c>
      <c r="D145" s="68">
        <f>IF(E143&gt;0,E143*(2*($C$11+$C$12)*(1+$C$14))+($C$13*(1+$C$14)),0)</f>
        <v/>
      </c>
      <c r="E145" s="68">
        <f>IF(F143&gt;0,F143*(2*($C$11+$C$12)*(1+$C$14))+($C$13*(1+$C$14)),0)</f>
        <v/>
      </c>
      <c r="F145" s="68">
        <f>IF(G143&gt;0,G143*(2*($C$11+$C$12)*(1+$C$14))+($C$13*(1+$C$14)),0)</f>
        <v/>
      </c>
      <c r="G145" s="68">
        <f>IF(H143&gt;0,H143*(2*($C$11+$C$12)*(1+$C$14))+($C$13*(1+$C$14)),0)</f>
        <v/>
      </c>
      <c r="H145" s="68">
        <f>IF(I143&gt;0,I143*(2*($C$11+$C$12)*(1+$C$14))+($C$13*(1+$C$14)),0)</f>
        <v/>
      </c>
      <c r="I145" s="68">
        <f>IF(J143&gt;0,J143*(2*($C$11+$C$12)*(1+$C$14))+($C$13*(1+$C$14)),0)</f>
        <v/>
      </c>
      <c r="J145" s="68">
        <f>IF(K143&gt;0,K143*(2*($C$11+$C$12)*(1+$C$14))+($C$13*(1+$C$14)),0)</f>
        <v/>
      </c>
      <c r="K145" s="68">
        <f>IF(L143&gt;0,L143*(2*($C$11+$C$12)*(1+$C$14))+($C$13*(1+$C$14)),0)</f>
        <v/>
      </c>
      <c r="L145" s="68">
        <f>IF(M143&gt;0,M143*(2*($C$11+$C$12)*(1+$C$14))+($C$13*(1+$C$14)),0)</f>
        <v/>
      </c>
      <c r="M145" s="68">
        <f>IF(N143&gt;0,N143*(2*($C$11+$C$12)*(1+$C$14))+($C$13*(1+$C$14)),0)</f>
        <v/>
      </c>
      <c r="N145" s="68">
        <f>IF(O143&gt;0,O143*(2*($C$11+$C$12)*(1+$C$14))+($C$13*(1+$C$14)),0)</f>
        <v/>
      </c>
      <c r="O145" s="68">
        <f>IF(P143&gt;0,P143*(2*($C$11+$C$12)*(1+$C$14))+($C$13*(1+$C$14)),0)</f>
        <v/>
      </c>
      <c r="P145" s="68">
        <f>IF(Q143&gt;0,Q143*(2*($C$11+$C$12)*(1+$C$14))+($C$13*(1+$C$14)),0)</f>
        <v/>
      </c>
      <c r="Q145" s="68">
        <f>IF(R143&gt;0,R143*(2*($C$11+$C$12)*(1+$C$14))+($C$13*(1+$C$14)),0)</f>
        <v/>
      </c>
      <c r="R145" s="68">
        <f>IF(S143&gt;0,S143*(2*($C$11+$C$12)*(1+$C$14))+($C$13*(1+$C$14)),0)</f>
        <v/>
      </c>
      <c r="S145" s="68">
        <f>IF(T143&gt;0,T143*(2*($C$11+$C$12)*(1+$C$14))+($C$13*(1+$C$14)),0)</f>
        <v/>
      </c>
      <c r="T145" s="68">
        <f>IF(U143&gt;0,U143*(2*($C$11+$C$12)*(1+$C$14))+($C$13*(1+$C$14)),0)</f>
        <v/>
      </c>
      <c r="U145" s="68">
        <f>IF(V143&gt;0,V143*(2*($C$11+$C$12)*(1+$C$14))+($C$13*(1+$C$14)),0)</f>
        <v/>
      </c>
      <c r="V145" s="68">
        <f>IF(W143&gt;0,W143*(2*($C$11+$C$12)*(1+$C$14))+($C$13*(1+$C$14)),0)</f>
        <v/>
      </c>
      <c r="W145" s="68">
        <f>IF(X143&gt;0,X143*(2*($C$11+$C$12)*(1+$C$14))+($C$13*(1+$C$14)),0)</f>
        <v/>
      </c>
      <c r="X145" s="68">
        <f>IF(Y143&gt;0,Y143*(2*($C$11+$C$12)*(1+$C$14))+($C$13*(1+$C$14)),0)</f>
        <v/>
      </c>
      <c r="Y145" s="68">
        <f>IF(Z143&gt;0,Z143*(2*($C$11+$C$12)*(1+$C$14))+($C$13*(1+$C$14)),0)</f>
        <v/>
      </c>
      <c r="Z145" s="68">
        <f>IF(AA143&gt;0,AA143*(2*($C$11+$C$12)*(1+$C$14))+($C$13*(1+$C$14)),0)</f>
        <v/>
      </c>
      <c r="AA145" s="68">
        <f>IF(AB143&gt;0,AB143*(2*($C$11+$C$12)*(1+$C$14))+($C$13*(1+$C$14)),0)</f>
        <v/>
      </c>
      <c r="AB145" s="68" t="n">
        <v>0</v>
      </c>
    </row>
    <row r="146">
      <c r="A146" s="68" t="inlineStr">
        <is>
          <t>do nothing: lit modules</t>
        </is>
      </c>
      <c r="D146" s="68">
        <f>MAX(0,MIN(4,INT(MIN(Decline!$C$20,Decline!$C$19*C$141)*Decline!$C$21/Decline!$C$22+1E-9)))</f>
        <v/>
      </c>
      <c r="E146" s="68">
        <f>MAX(0,MIN(4,INT(MIN(Decline!$C$20,Decline!$C$19*D$141)*Decline!$C$21/Decline!$C$22+1E-9)))</f>
        <v/>
      </c>
      <c r="F146" s="68">
        <f>MAX(0,MIN(4,INT(MIN(Decline!$C$20,Decline!$C$19*E$141)*Decline!$C$21/Decline!$C$22+1E-9)))</f>
        <v/>
      </c>
      <c r="G146" s="68">
        <f>MAX(0,MIN(4,INT(MIN(Decline!$C$20,Decline!$C$19*F$141)*Decline!$C$21/Decline!$C$22+1E-9)))</f>
        <v/>
      </c>
      <c r="H146" s="68">
        <f>MAX(0,MIN(4,INT(MIN(Decline!$C$20,Decline!$C$19*G$141)*Decline!$C$21/Decline!$C$22+1E-9)))</f>
        <v/>
      </c>
      <c r="I146" s="68">
        <f>MAX(0,MIN(4,INT(MIN(Decline!$C$20,Decline!$C$19*H$141)*Decline!$C$21/Decline!$C$22+1E-9)))</f>
        <v/>
      </c>
      <c r="J146" s="68">
        <f>MAX(0,MIN(4,INT(MIN(Decline!$C$20,Decline!$C$19*I$141)*Decline!$C$21/Decline!$C$22+1E-9)))</f>
        <v/>
      </c>
      <c r="K146" s="68">
        <f>MAX(0,MIN(4,INT(MIN(Decline!$C$20,Decline!$C$19*J$141)*Decline!$C$21/Decline!$C$22+1E-9)))</f>
        <v/>
      </c>
      <c r="L146" s="68">
        <f>MAX(0,MIN(4,INT(MIN(Decline!$C$20,Decline!$C$19*K$141)*Decline!$C$21/Decline!$C$22+1E-9)))</f>
        <v/>
      </c>
      <c r="M146" s="68">
        <f>MAX(0,MIN(4,INT(MIN(Decline!$C$20,Decline!$C$19*L$141)*Decline!$C$21/Decline!$C$22+1E-9)))</f>
        <v/>
      </c>
      <c r="N146" s="68">
        <f>MAX(0,MIN(4,INT(MIN(Decline!$C$20,Decline!$C$19*M$141)*Decline!$C$21/Decline!$C$22+1E-9)))</f>
        <v/>
      </c>
      <c r="O146" s="68">
        <f>MAX(0,MIN(4,INT(MIN(Decline!$C$20,Decline!$C$19*N$141)*Decline!$C$21/Decline!$C$22+1E-9)))</f>
        <v/>
      </c>
      <c r="P146" s="68">
        <f>MAX(0,MIN(4,INT(MIN(Decline!$C$20,Decline!$C$19*O$141)*Decline!$C$21/Decline!$C$22+1E-9)))</f>
        <v/>
      </c>
      <c r="Q146" s="68">
        <f>MAX(0,MIN(4,INT(MIN(Decline!$C$20,Decline!$C$19*P$141)*Decline!$C$21/Decline!$C$22+1E-9)))</f>
        <v/>
      </c>
      <c r="R146" s="68">
        <f>MAX(0,MIN(4,INT(MIN(Decline!$C$20,Decline!$C$19*Q$141)*Decline!$C$21/Decline!$C$22+1E-9)))</f>
        <v/>
      </c>
      <c r="S146" s="68">
        <f>MAX(0,MIN(4,INT(MIN(Decline!$C$20,Decline!$C$19*R$141)*Decline!$C$21/Decline!$C$22+1E-9)))</f>
        <v/>
      </c>
      <c r="T146" s="68">
        <f>MAX(0,MIN(4,INT(MIN(Decline!$C$20,Decline!$C$19*S$141)*Decline!$C$21/Decline!$C$22+1E-9)))</f>
        <v/>
      </c>
      <c r="U146" s="68">
        <f>MAX(0,MIN(4,INT(MIN(Decline!$C$20,Decline!$C$19*T$141)*Decline!$C$21/Decline!$C$22+1E-9)))</f>
        <v/>
      </c>
      <c r="V146" s="68">
        <f>MAX(0,MIN(4,INT(MIN(Decline!$C$20,Decline!$C$19*U$141)*Decline!$C$21/Decline!$C$22+1E-9)))</f>
        <v/>
      </c>
      <c r="W146" s="68">
        <f>MAX(0,MIN(4,INT(MIN(Decline!$C$20,Decline!$C$19*V$141)*Decline!$C$21/Decline!$C$22+1E-9)))</f>
        <v/>
      </c>
      <c r="X146" s="68">
        <f>MAX(0,MIN(4,INT(MIN(Decline!$C$20,Decline!$C$19*W$141)*Decline!$C$21/Decline!$C$22+1E-9)))</f>
        <v/>
      </c>
      <c r="Y146" s="68">
        <f>MAX(0,MIN(4,INT(MIN(Decline!$C$20,Decline!$C$19*X$141)*Decline!$C$21/Decline!$C$22+1E-9)))</f>
        <v/>
      </c>
      <c r="Z146" s="68">
        <f>MAX(0,MIN(4,INT(MIN(Decline!$C$20,Decline!$C$19*Y$141)*Decline!$C$21/Decline!$C$22+1E-9)))</f>
        <v/>
      </c>
      <c r="AA146" s="68">
        <f>MAX(0,MIN(4,INT(MIN(Decline!$C$20,Decline!$C$19*Z$141)*Decline!$C$21/Decline!$C$22+1E-9)))</f>
        <v/>
      </c>
      <c r="AB146" s="68">
        <f>MAX(0,MIN(4,INT(MIN(Decline!$C$20,Decline!$C$19*AA$141)*Decline!$C$21/Decline!$C$22+1E-9)))</f>
        <v/>
      </c>
    </row>
    <row r="147">
      <c r="A147" s="68" t="inlineStr">
        <is>
          <t>(a) lit modules</t>
        </is>
      </c>
      <c r="D147" s="68">
        <f>MAX(0,MIN(4,INT(MIN(Decline!$C$20,(Decline!$C$19+IF(ISNUMBER($E$140),$E$140,0))*C$141)*Decline!$C$21/Decline!$C$22+1E-9)))</f>
        <v/>
      </c>
      <c r="E147" s="68">
        <f>MAX(0,MIN(4,INT(MIN(Decline!$C$20,(Decline!$C$19+IF(ISNUMBER($E$140),$E$140,0))*D$141)*Decline!$C$21/Decline!$C$22+1E-9)))</f>
        <v/>
      </c>
      <c r="F147" s="68">
        <f>MAX(0,MIN(4,INT(MIN(Decline!$C$20,(Decline!$C$19+IF(ISNUMBER($E$140),$E$140,0))*E$141)*Decline!$C$21/Decline!$C$22+1E-9)))</f>
        <v/>
      </c>
      <c r="G147" s="68">
        <f>MAX(0,MIN(4,INT(MIN(Decline!$C$20,(Decline!$C$19+IF(ISNUMBER($E$140),$E$140,0))*F$141)*Decline!$C$21/Decline!$C$22+1E-9)))</f>
        <v/>
      </c>
      <c r="H147" s="68">
        <f>MAX(0,MIN(4,INT(MIN(Decline!$C$20,(Decline!$C$19+IF(ISNUMBER($E$140),$E$140,0))*G$141)*Decline!$C$21/Decline!$C$22+1E-9)))</f>
        <v/>
      </c>
      <c r="I147" s="68">
        <f>MAX(0,MIN(4,INT(MIN(Decline!$C$20,(Decline!$C$19+IF(ISNUMBER($E$140),$E$140,0))*H$141)*Decline!$C$21/Decline!$C$22+1E-9)))</f>
        <v/>
      </c>
      <c r="J147" s="68">
        <f>MAX(0,MIN(4,INT(MIN(Decline!$C$20,(Decline!$C$19+IF(ISNUMBER($E$140),$E$140,0))*I$141)*Decline!$C$21/Decline!$C$22+1E-9)))</f>
        <v/>
      </c>
      <c r="K147" s="68">
        <f>MAX(0,MIN(4,INT(MIN(Decline!$C$20,(Decline!$C$19+IF(ISNUMBER($E$140),$E$140,0))*J$141)*Decline!$C$21/Decline!$C$22+1E-9)))</f>
        <v/>
      </c>
      <c r="L147" s="68">
        <f>MAX(0,MIN(4,INT(MIN(Decline!$C$20,(Decline!$C$19+IF(ISNUMBER($E$140),$E$140,0))*K$141)*Decline!$C$21/Decline!$C$22+1E-9)))</f>
        <v/>
      </c>
      <c r="M147" s="68">
        <f>MAX(0,MIN(4,INT(MIN(Decline!$C$20,(Decline!$C$19+IF(ISNUMBER($E$140),$E$140,0))*L$141)*Decline!$C$21/Decline!$C$22+1E-9)))</f>
        <v/>
      </c>
      <c r="N147" s="68">
        <f>MAX(0,MIN(4,INT(MIN(Decline!$C$20,(Decline!$C$19+IF(ISNUMBER($E$140),$E$140,0))*M$141)*Decline!$C$21/Decline!$C$22+1E-9)))</f>
        <v/>
      </c>
      <c r="O147" s="68">
        <f>MAX(0,MIN(4,INT(MIN(Decline!$C$20,(Decline!$C$19+IF(ISNUMBER($E$140),$E$140,0))*N$141)*Decline!$C$21/Decline!$C$22+1E-9)))</f>
        <v/>
      </c>
      <c r="P147" s="68">
        <f>MAX(0,MIN(4,INT(MIN(Decline!$C$20,(Decline!$C$19+IF(ISNUMBER($E$140),$E$140,0))*O$141)*Decline!$C$21/Decline!$C$22+1E-9)))</f>
        <v/>
      </c>
      <c r="Q147" s="68">
        <f>MAX(0,MIN(4,INT(MIN(Decline!$C$20,(Decline!$C$19+IF(ISNUMBER($E$140),$E$140,0))*P$141)*Decline!$C$21/Decline!$C$22+1E-9)))</f>
        <v/>
      </c>
      <c r="R147" s="68">
        <f>MAX(0,MIN(4,INT(MIN(Decline!$C$20,(Decline!$C$19+IF(ISNUMBER($E$140),$E$140,0))*Q$141)*Decline!$C$21/Decline!$C$22+1E-9)))</f>
        <v/>
      </c>
      <c r="S147" s="68">
        <f>MAX(0,MIN(4,INT(MIN(Decline!$C$20,(Decline!$C$19+IF(ISNUMBER($E$140),$E$140,0))*R$141)*Decline!$C$21/Decline!$C$22+1E-9)))</f>
        <v/>
      </c>
      <c r="T147" s="68">
        <f>MAX(0,MIN(4,INT(MIN(Decline!$C$20,(Decline!$C$19+IF(ISNUMBER($E$140),$E$140,0))*S$141)*Decline!$C$21/Decline!$C$22+1E-9)))</f>
        <v/>
      </c>
      <c r="U147" s="68">
        <f>MAX(0,MIN(4,INT(MIN(Decline!$C$20,(Decline!$C$19+IF(ISNUMBER($E$140),$E$140,0))*T$141)*Decline!$C$21/Decline!$C$22+1E-9)))</f>
        <v/>
      </c>
      <c r="V147" s="68">
        <f>MAX(0,MIN(4,INT(MIN(Decline!$C$20,(Decline!$C$19+IF(ISNUMBER($E$140),$E$140,0))*U$141)*Decline!$C$21/Decline!$C$22+1E-9)))</f>
        <v/>
      </c>
      <c r="W147" s="68">
        <f>MAX(0,MIN(4,INT(MIN(Decline!$C$20,(Decline!$C$19+IF(ISNUMBER($E$140),$E$140,0))*V$141)*Decline!$C$21/Decline!$C$22+1E-9)))</f>
        <v/>
      </c>
      <c r="X147" s="68">
        <f>MAX(0,MIN(4,INT(MIN(Decline!$C$20,(Decline!$C$19+IF(ISNUMBER($E$140),$E$140,0))*W$141)*Decline!$C$21/Decline!$C$22+1E-9)))</f>
        <v/>
      </c>
      <c r="Y147" s="68">
        <f>MAX(0,MIN(4,INT(MIN(Decline!$C$20,(Decline!$C$19+IF(ISNUMBER($E$140),$E$140,0))*X$141)*Decline!$C$21/Decline!$C$22+1E-9)))</f>
        <v/>
      </c>
      <c r="Z147" s="68">
        <f>MAX(0,MIN(4,INT(MIN(Decline!$C$20,(Decline!$C$19+IF(ISNUMBER($E$140),$E$140,0))*Y$141)*Decline!$C$21/Decline!$C$22+1E-9)))</f>
        <v/>
      </c>
      <c r="AA147" s="68">
        <f>MAX(0,MIN(4,INT(MIN(Decline!$C$20,(Decline!$C$19+IF(ISNUMBER($E$140),$E$140,0))*Z$141)*Decline!$C$21/Decline!$C$22+1E-9)))</f>
        <v/>
      </c>
      <c r="AB147" s="68">
        <f>MAX(0,MIN(4,INT(MIN(Decline!$C$20,(Decline!$C$19+IF(ISNUMBER($E$140),$E$140,0))*AA$141)*Decline!$C$21/Decline!$C$22+1E-9)))</f>
        <v/>
      </c>
    </row>
    <row r="148">
      <c r="A148" s="68" t="inlineStr">
        <is>
          <t>(b) lit modules</t>
        </is>
      </c>
      <c r="D148" s="68">
        <f>MAX(0,MIN(4,INT(MIN(Decline!$C$20,D144)*Decline!$C$21/Decline!$C$22+1E-9)))</f>
        <v/>
      </c>
      <c r="E148" s="68">
        <f>MAX(0,MIN(4,INT(MIN(Decline!$C$20,E144)*Decline!$C$21/Decline!$C$22+1E-9)))</f>
        <v/>
      </c>
      <c r="F148" s="68">
        <f>MAX(0,MIN(4,INT(MIN(Decline!$C$20,F144)*Decline!$C$21/Decline!$C$22+1E-9)))</f>
        <v/>
      </c>
      <c r="G148" s="68">
        <f>MAX(0,MIN(4,INT(MIN(Decline!$C$20,G144)*Decline!$C$21/Decline!$C$22+1E-9)))</f>
        <v/>
      </c>
      <c r="H148" s="68">
        <f>MAX(0,MIN(4,INT(MIN(Decline!$C$20,H144)*Decline!$C$21/Decline!$C$22+1E-9)))</f>
        <v/>
      </c>
      <c r="I148" s="68">
        <f>MAX(0,MIN(4,INT(MIN(Decline!$C$20,I144)*Decline!$C$21/Decline!$C$22+1E-9)))</f>
        <v/>
      </c>
      <c r="J148" s="68">
        <f>MAX(0,MIN(4,INT(MIN(Decline!$C$20,J144)*Decline!$C$21/Decline!$C$22+1E-9)))</f>
        <v/>
      </c>
      <c r="K148" s="68">
        <f>MAX(0,MIN(4,INT(MIN(Decline!$C$20,K144)*Decline!$C$21/Decline!$C$22+1E-9)))</f>
        <v/>
      </c>
      <c r="L148" s="68">
        <f>MAX(0,MIN(4,INT(MIN(Decline!$C$20,L144)*Decline!$C$21/Decline!$C$22+1E-9)))</f>
        <v/>
      </c>
      <c r="M148" s="68">
        <f>MAX(0,MIN(4,INT(MIN(Decline!$C$20,M144)*Decline!$C$21/Decline!$C$22+1E-9)))</f>
        <v/>
      </c>
      <c r="N148" s="68">
        <f>MAX(0,MIN(4,INT(MIN(Decline!$C$20,N144)*Decline!$C$21/Decline!$C$22+1E-9)))</f>
        <v/>
      </c>
      <c r="O148" s="68">
        <f>MAX(0,MIN(4,INT(MIN(Decline!$C$20,O144)*Decline!$C$21/Decline!$C$22+1E-9)))</f>
        <v/>
      </c>
      <c r="P148" s="68">
        <f>MAX(0,MIN(4,INT(MIN(Decline!$C$20,P144)*Decline!$C$21/Decline!$C$22+1E-9)))</f>
        <v/>
      </c>
      <c r="Q148" s="68">
        <f>MAX(0,MIN(4,INT(MIN(Decline!$C$20,Q144)*Decline!$C$21/Decline!$C$22+1E-9)))</f>
        <v/>
      </c>
      <c r="R148" s="68">
        <f>MAX(0,MIN(4,INT(MIN(Decline!$C$20,R144)*Decline!$C$21/Decline!$C$22+1E-9)))</f>
        <v/>
      </c>
      <c r="S148" s="68">
        <f>MAX(0,MIN(4,INT(MIN(Decline!$C$20,S144)*Decline!$C$21/Decline!$C$22+1E-9)))</f>
        <v/>
      </c>
      <c r="T148" s="68">
        <f>MAX(0,MIN(4,INT(MIN(Decline!$C$20,T144)*Decline!$C$21/Decline!$C$22+1E-9)))</f>
        <v/>
      </c>
      <c r="U148" s="68">
        <f>MAX(0,MIN(4,INT(MIN(Decline!$C$20,U144)*Decline!$C$21/Decline!$C$22+1E-9)))</f>
        <v/>
      </c>
      <c r="V148" s="68">
        <f>MAX(0,MIN(4,INT(MIN(Decline!$C$20,V144)*Decline!$C$21/Decline!$C$22+1E-9)))</f>
        <v/>
      </c>
      <c r="W148" s="68">
        <f>MAX(0,MIN(4,INT(MIN(Decline!$C$20,W144)*Decline!$C$21/Decline!$C$22+1E-9)))</f>
        <v/>
      </c>
      <c r="X148" s="68">
        <f>MAX(0,MIN(4,INT(MIN(Decline!$C$20,X144)*Decline!$C$21/Decline!$C$22+1E-9)))</f>
        <v/>
      </c>
      <c r="Y148" s="68">
        <f>MAX(0,MIN(4,INT(MIN(Decline!$C$20,Y144)*Decline!$C$21/Decline!$C$22+1E-9)))</f>
        <v/>
      </c>
      <c r="Z148" s="68">
        <f>MAX(0,MIN(4,INT(MIN(Decline!$C$20,Z144)*Decline!$C$21/Decline!$C$22+1E-9)))</f>
        <v/>
      </c>
      <c r="AA148" s="68">
        <f>MAX(0,MIN(4,INT(MIN(Decline!$C$20,AA144)*Decline!$C$21/Decline!$C$22+1E-9)))</f>
        <v/>
      </c>
      <c r="AB148" s="68">
        <f>MAX(0,MIN(4,INT(MIN(Decline!$C$20,AB144)*Decline!$C$21/Decline!$C$22+1E-9)))</f>
        <v/>
      </c>
    </row>
    <row r="149">
      <c r="A149" s="68" t="inlineStr">
        <is>
          <t>Do nothing (dark modules stop buying GPUs) | flat</t>
        </is>
      </c>
      <c r="C149" s="68">
        <f>-'Sell-Compute'!$C$36</f>
        <v/>
      </c>
      <c r="D149" s="68">
        <f>IF(D$51&lt;=Rates!$D$71,('Sell-Compute'!$C$40*(1+'Sell-Compute'!$C$50)^MOD(D$51-1,'Sell-Compute'!$C$21)-'Sell-Compute'!$C$42-'Sell-Compute'!$C$43)*(D146/4)-'Sell-Compute'!$C$41-'Sell-Compute'!$C$44-'Sell-Compute'!$C$45-IF(AND(MOD(D$51,'Sell-Compute'!$C$21)=0,D$51&lt;Rates!$D$71),'Sell-Compute'!$C$34*(D146/4),0),0)</f>
        <v/>
      </c>
      <c r="E149" s="68">
        <f>IF(E$51&lt;=Rates!$D$71,('Sell-Compute'!$C$40*(1+'Sell-Compute'!$C$50)^MOD(E$51-1,'Sell-Compute'!$C$21)-'Sell-Compute'!$C$42-'Sell-Compute'!$C$43)*(E146/4)-'Sell-Compute'!$C$41-'Sell-Compute'!$C$44-'Sell-Compute'!$C$45-IF(AND(MOD(E$51,'Sell-Compute'!$C$21)=0,E$51&lt;Rates!$D$71),'Sell-Compute'!$C$34*(E146/4),0),0)</f>
        <v/>
      </c>
      <c r="F149" s="68">
        <f>IF(F$51&lt;=Rates!$D$71,('Sell-Compute'!$C$40*(1+'Sell-Compute'!$C$50)^MOD(F$51-1,'Sell-Compute'!$C$21)-'Sell-Compute'!$C$42-'Sell-Compute'!$C$43)*(F146/4)-'Sell-Compute'!$C$41-'Sell-Compute'!$C$44-'Sell-Compute'!$C$45-IF(AND(MOD(F$51,'Sell-Compute'!$C$21)=0,F$51&lt;Rates!$D$71),'Sell-Compute'!$C$34*(F146/4),0),0)</f>
        <v/>
      </c>
      <c r="G149" s="68">
        <f>IF(G$51&lt;=Rates!$D$71,('Sell-Compute'!$C$40*(1+'Sell-Compute'!$C$50)^MOD(G$51-1,'Sell-Compute'!$C$21)-'Sell-Compute'!$C$42-'Sell-Compute'!$C$43)*(G146/4)-'Sell-Compute'!$C$41-'Sell-Compute'!$C$44-'Sell-Compute'!$C$45-IF(AND(MOD(G$51,'Sell-Compute'!$C$21)=0,G$51&lt;Rates!$D$71),'Sell-Compute'!$C$34*(G146/4),0),0)</f>
        <v/>
      </c>
      <c r="H149" s="68">
        <f>IF(H$51&lt;=Rates!$D$71,('Sell-Compute'!$C$40*(1+'Sell-Compute'!$C$50)^MOD(H$51-1,'Sell-Compute'!$C$21)-'Sell-Compute'!$C$42-'Sell-Compute'!$C$43)*(H146/4)-'Sell-Compute'!$C$41-'Sell-Compute'!$C$44-'Sell-Compute'!$C$45-IF(AND(MOD(H$51,'Sell-Compute'!$C$21)=0,H$51&lt;Rates!$D$71),'Sell-Compute'!$C$34*(H146/4),0),0)</f>
        <v/>
      </c>
      <c r="I149" s="68">
        <f>IF(I$51&lt;=Rates!$D$71,('Sell-Compute'!$C$40*(1+'Sell-Compute'!$C$50)^MOD(I$51-1,'Sell-Compute'!$C$21)-'Sell-Compute'!$C$42-'Sell-Compute'!$C$43)*(I146/4)-'Sell-Compute'!$C$41-'Sell-Compute'!$C$44-'Sell-Compute'!$C$45-IF(AND(MOD(I$51,'Sell-Compute'!$C$21)=0,I$51&lt;Rates!$D$71),'Sell-Compute'!$C$34*(I146/4),0),0)</f>
        <v/>
      </c>
      <c r="J149" s="68">
        <f>IF(J$51&lt;=Rates!$D$71,('Sell-Compute'!$C$40*(1+'Sell-Compute'!$C$50)^MOD(J$51-1,'Sell-Compute'!$C$21)-'Sell-Compute'!$C$42-'Sell-Compute'!$C$43)*(J146/4)-'Sell-Compute'!$C$41-'Sell-Compute'!$C$44-'Sell-Compute'!$C$45-IF(AND(MOD(J$51,'Sell-Compute'!$C$21)=0,J$51&lt;Rates!$D$71),'Sell-Compute'!$C$34*(J146/4),0),0)</f>
        <v/>
      </c>
      <c r="K149" s="68">
        <f>IF(K$51&lt;=Rates!$D$71,('Sell-Compute'!$C$40*(1+'Sell-Compute'!$C$50)^MOD(K$51-1,'Sell-Compute'!$C$21)-'Sell-Compute'!$C$42-'Sell-Compute'!$C$43)*(K146/4)-'Sell-Compute'!$C$41-'Sell-Compute'!$C$44-'Sell-Compute'!$C$45-IF(AND(MOD(K$51,'Sell-Compute'!$C$21)=0,K$51&lt;Rates!$D$71),'Sell-Compute'!$C$34*(K146/4),0),0)</f>
        <v/>
      </c>
      <c r="L149" s="68">
        <f>IF(L$51&lt;=Rates!$D$71,('Sell-Compute'!$C$40*(1+'Sell-Compute'!$C$50)^MOD(L$51-1,'Sell-Compute'!$C$21)-'Sell-Compute'!$C$42-'Sell-Compute'!$C$43)*(L146/4)-'Sell-Compute'!$C$41-'Sell-Compute'!$C$44-'Sell-Compute'!$C$45-IF(AND(MOD(L$51,'Sell-Compute'!$C$21)=0,L$51&lt;Rates!$D$71),'Sell-Compute'!$C$34*(L146/4),0),0)</f>
        <v/>
      </c>
      <c r="M149" s="68">
        <f>IF(M$51&lt;=Rates!$D$71,('Sell-Compute'!$C$40*(1+'Sell-Compute'!$C$50)^MOD(M$51-1,'Sell-Compute'!$C$21)-'Sell-Compute'!$C$42-'Sell-Compute'!$C$43)*(M146/4)-'Sell-Compute'!$C$41-'Sell-Compute'!$C$44-'Sell-Compute'!$C$45-IF(AND(MOD(M$51,'Sell-Compute'!$C$21)=0,M$51&lt;Rates!$D$71),'Sell-Compute'!$C$34*(M146/4),0),0)</f>
        <v/>
      </c>
      <c r="N149" s="68">
        <f>IF(N$51&lt;=Rates!$D$71,('Sell-Compute'!$C$40*(1+'Sell-Compute'!$C$50)^MOD(N$51-1,'Sell-Compute'!$C$21)-'Sell-Compute'!$C$42-'Sell-Compute'!$C$43)*(N146/4)-'Sell-Compute'!$C$41-'Sell-Compute'!$C$44-'Sell-Compute'!$C$45-IF(AND(MOD(N$51,'Sell-Compute'!$C$21)=0,N$51&lt;Rates!$D$71),'Sell-Compute'!$C$34*(N146/4),0),0)</f>
        <v/>
      </c>
      <c r="O149" s="68">
        <f>IF(O$51&lt;=Rates!$D$71,('Sell-Compute'!$C$40*(1+'Sell-Compute'!$C$50)^MOD(O$51-1,'Sell-Compute'!$C$21)-'Sell-Compute'!$C$42-'Sell-Compute'!$C$43)*(O146/4)-'Sell-Compute'!$C$41-'Sell-Compute'!$C$44-'Sell-Compute'!$C$45-IF(AND(MOD(O$51,'Sell-Compute'!$C$21)=0,O$51&lt;Rates!$D$71),'Sell-Compute'!$C$34*(O146/4),0),0)</f>
        <v/>
      </c>
      <c r="P149" s="68">
        <f>IF(P$51&lt;=Rates!$D$71,('Sell-Compute'!$C$40*(1+'Sell-Compute'!$C$50)^MOD(P$51-1,'Sell-Compute'!$C$21)-'Sell-Compute'!$C$42-'Sell-Compute'!$C$43)*(P146/4)-'Sell-Compute'!$C$41-'Sell-Compute'!$C$44-'Sell-Compute'!$C$45-IF(AND(MOD(P$51,'Sell-Compute'!$C$21)=0,P$51&lt;Rates!$D$71),'Sell-Compute'!$C$34*(P146/4),0),0)</f>
        <v/>
      </c>
      <c r="Q149" s="68">
        <f>IF(Q$51&lt;=Rates!$D$71,('Sell-Compute'!$C$40*(1+'Sell-Compute'!$C$50)^MOD(Q$51-1,'Sell-Compute'!$C$21)-'Sell-Compute'!$C$42-'Sell-Compute'!$C$43)*(Q146/4)-'Sell-Compute'!$C$41-'Sell-Compute'!$C$44-'Sell-Compute'!$C$45-IF(AND(MOD(Q$51,'Sell-Compute'!$C$21)=0,Q$51&lt;Rates!$D$71),'Sell-Compute'!$C$34*(Q146/4),0),0)</f>
        <v/>
      </c>
      <c r="R149" s="68">
        <f>IF(R$51&lt;=Rates!$D$71,('Sell-Compute'!$C$40*(1+'Sell-Compute'!$C$50)^MOD(R$51-1,'Sell-Compute'!$C$21)-'Sell-Compute'!$C$42-'Sell-Compute'!$C$43)*(R146/4)-'Sell-Compute'!$C$41-'Sell-Compute'!$C$44-'Sell-Compute'!$C$45-IF(AND(MOD(R$51,'Sell-Compute'!$C$21)=0,R$51&lt;Rates!$D$71),'Sell-Compute'!$C$34*(R146/4),0),0)</f>
        <v/>
      </c>
      <c r="S149" s="68">
        <f>IF(S$51&lt;=Rates!$D$71,('Sell-Compute'!$C$40*(1+'Sell-Compute'!$C$50)^MOD(S$51-1,'Sell-Compute'!$C$21)-'Sell-Compute'!$C$42-'Sell-Compute'!$C$43)*(S146/4)-'Sell-Compute'!$C$41-'Sell-Compute'!$C$44-'Sell-Compute'!$C$45-IF(AND(MOD(S$51,'Sell-Compute'!$C$21)=0,S$51&lt;Rates!$D$71),'Sell-Compute'!$C$34*(S146/4),0),0)</f>
        <v/>
      </c>
      <c r="T149" s="68">
        <f>IF(T$51&lt;=Rates!$D$71,('Sell-Compute'!$C$40*(1+'Sell-Compute'!$C$50)^MOD(T$51-1,'Sell-Compute'!$C$21)-'Sell-Compute'!$C$42-'Sell-Compute'!$C$43)*(T146/4)-'Sell-Compute'!$C$41-'Sell-Compute'!$C$44-'Sell-Compute'!$C$45-IF(AND(MOD(T$51,'Sell-Compute'!$C$21)=0,T$51&lt;Rates!$D$71),'Sell-Compute'!$C$34*(T146/4),0),0)</f>
        <v/>
      </c>
      <c r="U149" s="68">
        <f>IF(U$51&lt;=Rates!$D$71,('Sell-Compute'!$C$40*(1+'Sell-Compute'!$C$50)^MOD(U$51-1,'Sell-Compute'!$C$21)-'Sell-Compute'!$C$42-'Sell-Compute'!$C$43)*(U146/4)-'Sell-Compute'!$C$41-'Sell-Compute'!$C$44-'Sell-Compute'!$C$45-IF(AND(MOD(U$51,'Sell-Compute'!$C$21)=0,U$51&lt;Rates!$D$71),'Sell-Compute'!$C$34*(U146/4),0),0)</f>
        <v/>
      </c>
      <c r="V149" s="68">
        <f>IF(V$51&lt;=Rates!$D$71,('Sell-Compute'!$C$40*(1+'Sell-Compute'!$C$50)^MOD(V$51-1,'Sell-Compute'!$C$21)-'Sell-Compute'!$C$42-'Sell-Compute'!$C$43)*(V146/4)-'Sell-Compute'!$C$41-'Sell-Compute'!$C$44-'Sell-Compute'!$C$45-IF(AND(MOD(V$51,'Sell-Compute'!$C$21)=0,V$51&lt;Rates!$D$71),'Sell-Compute'!$C$34*(V146/4),0),0)</f>
        <v/>
      </c>
      <c r="W149" s="68">
        <f>IF(W$51&lt;=Rates!$D$71,('Sell-Compute'!$C$40*(1+'Sell-Compute'!$C$50)^MOD(W$51-1,'Sell-Compute'!$C$21)-'Sell-Compute'!$C$42-'Sell-Compute'!$C$43)*(W146/4)-'Sell-Compute'!$C$41-'Sell-Compute'!$C$44-'Sell-Compute'!$C$45-IF(AND(MOD(W$51,'Sell-Compute'!$C$21)=0,W$51&lt;Rates!$D$71),'Sell-Compute'!$C$34*(W146/4),0),0)</f>
        <v/>
      </c>
      <c r="X149" s="68">
        <f>IF(X$51&lt;=Rates!$D$71,('Sell-Compute'!$C$40*(1+'Sell-Compute'!$C$50)^MOD(X$51-1,'Sell-Compute'!$C$21)-'Sell-Compute'!$C$42-'Sell-Compute'!$C$43)*(X146/4)-'Sell-Compute'!$C$41-'Sell-Compute'!$C$44-'Sell-Compute'!$C$45-IF(AND(MOD(X$51,'Sell-Compute'!$C$21)=0,X$51&lt;Rates!$D$71),'Sell-Compute'!$C$34*(X146/4),0),0)</f>
        <v/>
      </c>
      <c r="Y149" s="68">
        <f>IF(Y$51&lt;=Rates!$D$71,('Sell-Compute'!$C$40*(1+'Sell-Compute'!$C$50)^MOD(Y$51-1,'Sell-Compute'!$C$21)-'Sell-Compute'!$C$42-'Sell-Compute'!$C$43)*(Y146/4)-'Sell-Compute'!$C$41-'Sell-Compute'!$C$44-'Sell-Compute'!$C$45-IF(AND(MOD(Y$51,'Sell-Compute'!$C$21)=0,Y$51&lt;Rates!$D$71),'Sell-Compute'!$C$34*(Y146/4),0),0)</f>
        <v/>
      </c>
      <c r="Z149" s="68">
        <f>IF(Z$51&lt;=Rates!$D$71,('Sell-Compute'!$C$40*(1+'Sell-Compute'!$C$50)^MOD(Z$51-1,'Sell-Compute'!$C$21)-'Sell-Compute'!$C$42-'Sell-Compute'!$C$43)*(Z146/4)-'Sell-Compute'!$C$41-'Sell-Compute'!$C$44-'Sell-Compute'!$C$45-IF(AND(MOD(Z$51,'Sell-Compute'!$C$21)=0,Z$51&lt;Rates!$D$71),'Sell-Compute'!$C$34*(Z146/4),0),0)</f>
        <v/>
      </c>
      <c r="AA149" s="68">
        <f>IF(AA$51&lt;=Rates!$D$71,('Sell-Compute'!$C$40*(1+'Sell-Compute'!$C$50)^MOD(AA$51-1,'Sell-Compute'!$C$21)-'Sell-Compute'!$C$42-'Sell-Compute'!$C$43)*(AA146/4)-'Sell-Compute'!$C$41-'Sell-Compute'!$C$44-'Sell-Compute'!$C$45-IF(AND(MOD(AA$51,'Sell-Compute'!$C$21)=0,AA$51&lt;Rates!$D$71),'Sell-Compute'!$C$34*(AA146/4),0),0)</f>
        <v/>
      </c>
      <c r="AB149" s="68">
        <f>IF(AB$51&lt;=Rates!$D$71,('Sell-Compute'!$C$40*(1+'Sell-Compute'!$C$50)^MOD(AB$51-1,'Sell-Compute'!$C$21)-'Sell-Compute'!$C$42-'Sell-Compute'!$C$43)*(AB146/4)-'Sell-Compute'!$C$41-'Sell-Compute'!$C$44-'Sell-Compute'!$C$45-IF(AND(MOD(AB$51,'Sell-Compute'!$C$21)=0,AB$51&lt;Rates!$D$71),'Sell-Compute'!$C$34*(AB146/4),0),0)</f>
        <v/>
      </c>
    </row>
    <row r="150">
      <c r="A150" s="68" t="inlineStr">
        <is>
          <t>Do nothing (dark modules stop buying GPUs) | dec</t>
        </is>
      </c>
      <c r="C150" s="68">
        <f>-'Sell-Compute'!$B$36</f>
        <v/>
      </c>
      <c r="D150" s="68">
        <f>IF(D$51&lt;=Rates!$D$71,('Sell-Compute'!$B$40*(1+'Sell-Compute'!$B$50)^MOD(D$51-1,'Sell-Compute'!$C$21)-'Sell-Compute'!$B$42-'Sell-Compute'!$B$43)*(D146/4)-'Sell-Compute'!$B$41-'Sell-Compute'!$B$44-'Sell-Compute'!$B$45-IF(AND(MOD(D$51,'Sell-Compute'!$C$21)=0,D$51&lt;Rates!$D$71),'Sell-Compute'!$B$34*(D146/4),0),0)</f>
        <v/>
      </c>
      <c r="E150" s="68">
        <f>IF(E$51&lt;=Rates!$D$71,('Sell-Compute'!$B$40*(1+'Sell-Compute'!$B$50)^MOD(E$51-1,'Sell-Compute'!$C$21)-'Sell-Compute'!$B$42-'Sell-Compute'!$B$43)*(E146/4)-'Sell-Compute'!$B$41-'Sell-Compute'!$B$44-'Sell-Compute'!$B$45-IF(AND(MOD(E$51,'Sell-Compute'!$C$21)=0,E$51&lt;Rates!$D$71),'Sell-Compute'!$B$34*(E146/4),0),0)</f>
        <v/>
      </c>
      <c r="F150" s="68">
        <f>IF(F$51&lt;=Rates!$D$71,('Sell-Compute'!$B$40*(1+'Sell-Compute'!$B$50)^MOD(F$51-1,'Sell-Compute'!$C$21)-'Sell-Compute'!$B$42-'Sell-Compute'!$B$43)*(F146/4)-'Sell-Compute'!$B$41-'Sell-Compute'!$B$44-'Sell-Compute'!$B$45-IF(AND(MOD(F$51,'Sell-Compute'!$C$21)=0,F$51&lt;Rates!$D$71),'Sell-Compute'!$B$34*(F146/4),0),0)</f>
        <v/>
      </c>
      <c r="G150" s="68">
        <f>IF(G$51&lt;=Rates!$D$71,('Sell-Compute'!$B$40*(1+'Sell-Compute'!$B$50)^MOD(G$51-1,'Sell-Compute'!$C$21)-'Sell-Compute'!$B$42-'Sell-Compute'!$B$43)*(G146/4)-'Sell-Compute'!$B$41-'Sell-Compute'!$B$44-'Sell-Compute'!$B$45-IF(AND(MOD(G$51,'Sell-Compute'!$C$21)=0,G$51&lt;Rates!$D$71),'Sell-Compute'!$B$34*(G146/4),0),0)</f>
        <v/>
      </c>
      <c r="H150" s="68">
        <f>IF(H$51&lt;=Rates!$D$71,('Sell-Compute'!$B$40*(1+'Sell-Compute'!$B$50)^MOD(H$51-1,'Sell-Compute'!$C$21)-'Sell-Compute'!$B$42-'Sell-Compute'!$B$43)*(H146/4)-'Sell-Compute'!$B$41-'Sell-Compute'!$B$44-'Sell-Compute'!$B$45-IF(AND(MOD(H$51,'Sell-Compute'!$C$21)=0,H$51&lt;Rates!$D$71),'Sell-Compute'!$B$34*(H146/4),0),0)</f>
        <v/>
      </c>
      <c r="I150" s="68">
        <f>IF(I$51&lt;=Rates!$D$71,('Sell-Compute'!$B$40*(1+'Sell-Compute'!$B$50)^MOD(I$51-1,'Sell-Compute'!$C$21)-'Sell-Compute'!$B$42-'Sell-Compute'!$B$43)*(I146/4)-'Sell-Compute'!$B$41-'Sell-Compute'!$B$44-'Sell-Compute'!$B$45-IF(AND(MOD(I$51,'Sell-Compute'!$C$21)=0,I$51&lt;Rates!$D$71),'Sell-Compute'!$B$34*(I146/4),0),0)</f>
        <v/>
      </c>
      <c r="J150" s="68">
        <f>IF(J$51&lt;=Rates!$D$71,('Sell-Compute'!$B$40*(1+'Sell-Compute'!$B$50)^MOD(J$51-1,'Sell-Compute'!$C$21)-'Sell-Compute'!$B$42-'Sell-Compute'!$B$43)*(J146/4)-'Sell-Compute'!$B$41-'Sell-Compute'!$B$44-'Sell-Compute'!$B$45-IF(AND(MOD(J$51,'Sell-Compute'!$C$21)=0,J$51&lt;Rates!$D$71),'Sell-Compute'!$B$34*(J146/4),0),0)</f>
        <v/>
      </c>
      <c r="K150" s="68">
        <f>IF(K$51&lt;=Rates!$D$71,('Sell-Compute'!$B$40*(1+'Sell-Compute'!$B$50)^MOD(K$51-1,'Sell-Compute'!$C$21)-'Sell-Compute'!$B$42-'Sell-Compute'!$B$43)*(K146/4)-'Sell-Compute'!$B$41-'Sell-Compute'!$B$44-'Sell-Compute'!$B$45-IF(AND(MOD(K$51,'Sell-Compute'!$C$21)=0,K$51&lt;Rates!$D$71),'Sell-Compute'!$B$34*(K146/4),0),0)</f>
        <v/>
      </c>
      <c r="L150" s="68">
        <f>IF(L$51&lt;=Rates!$D$71,('Sell-Compute'!$B$40*(1+'Sell-Compute'!$B$50)^MOD(L$51-1,'Sell-Compute'!$C$21)-'Sell-Compute'!$B$42-'Sell-Compute'!$B$43)*(L146/4)-'Sell-Compute'!$B$41-'Sell-Compute'!$B$44-'Sell-Compute'!$B$45-IF(AND(MOD(L$51,'Sell-Compute'!$C$21)=0,L$51&lt;Rates!$D$71),'Sell-Compute'!$B$34*(L146/4),0),0)</f>
        <v/>
      </c>
      <c r="M150" s="68">
        <f>IF(M$51&lt;=Rates!$D$71,('Sell-Compute'!$B$40*(1+'Sell-Compute'!$B$50)^MOD(M$51-1,'Sell-Compute'!$C$21)-'Sell-Compute'!$B$42-'Sell-Compute'!$B$43)*(M146/4)-'Sell-Compute'!$B$41-'Sell-Compute'!$B$44-'Sell-Compute'!$B$45-IF(AND(MOD(M$51,'Sell-Compute'!$C$21)=0,M$51&lt;Rates!$D$71),'Sell-Compute'!$B$34*(M146/4),0),0)</f>
        <v/>
      </c>
      <c r="N150" s="68">
        <f>IF(N$51&lt;=Rates!$D$71,('Sell-Compute'!$B$40*(1+'Sell-Compute'!$B$50)^MOD(N$51-1,'Sell-Compute'!$C$21)-'Sell-Compute'!$B$42-'Sell-Compute'!$B$43)*(N146/4)-'Sell-Compute'!$B$41-'Sell-Compute'!$B$44-'Sell-Compute'!$B$45-IF(AND(MOD(N$51,'Sell-Compute'!$C$21)=0,N$51&lt;Rates!$D$71),'Sell-Compute'!$B$34*(N146/4),0),0)</f>
        <v/>
      </c>
      <c r="O150" s="68">
        <f>IF(O$51&lt;=Rates!$D$71,('Sell-Compute'!$B$40*(1+'Sell-Compute'!$B$50)^MOD(O$51-1,'Sell-Compute'!$C$21)-'Sell-Compute'!$B$42-'Sell-Compute'!$B$43)*(O146/4)-'Sell-Compute'!$B$41-'Sell-Compute'!$B$44-'Sell-Compute'!$B$45-IF(AND(MOD(O$51,'Sell-Compute'!$C$21)=0,O$51&lt;Rates!$D$71),'Sell-Compute'!$B$34*(O146/4),0),0)</f>
        <v/>
      </c>
      <c r="P150" s="68">
        <f>IF(P$51&lt;=Rates!$D$71,('Sell-Compute'!$B$40*(1+'Sell-Compute'!$B$50)^MOD(P$51-1,'Sell-Compute'!$C$21)-'Sell-Compute'!$B$42-'Sell-Compute'!$B$43)*(P146/4)-'Sell-Compute'!$B$41-'Sell-Compute'!$B$44-'Sell-Compute'!$B$45-IF(AND(MOD(P$51,'Sell-Compute'!$C$21)=0,P$51&lt;Rates!$D$71),'Sell-Compute'!$B$34*(P146/4),0),0)</f>
        <v/>
      </c>
      <c r="Q150" s="68">
        <f>IF(Q$51&lt;=Rates!$D$71,('Sell-Compute'!$B$40*(1+'Sell-Compute'!$B$50)^MOD(Q$51-1,'Sell-Compute'!$C$21)-'Sell-Compute'!$B$42-'Sell-Compute'!$B$43)*(Q146/4)-'Sell-Compute'!$B$41-'Sell-Compute'!$B$44-'Sell-Compute'!$B$45-IF(AND(MOD(Q$51,'Sell-Compute'!$C$21)=0,Q$51&lt;Rates!$D$71),'Sell-Compute'!$B$34*(Q146/4),0),0)</f>
        <v/>
      </c>
      <c r="R150" s="68">
        <f>IF(R$51&lt;=Rates!$D$71,('Sell-Compute'!$B$40*(1+'Sell-Compute'!$B$50)^MOD(R$51-1,'Sell-Compute'!$C$21)-'Sell-Compute'!$B$42-'Sell-Compute'!$B$43)*(R146/4)-'Sell-Compute'!$B$41-'Sell-Compute'!$B$44-'Sell-Compute'!$B$45-IF(AND(MOD(R$51,'Sell-Compute'!$C$21)=0,R$51&lt;Rates!$D$71),'Sell-Compute'!$B$34*(R146/4),0),0)</f>
        <v/>
      </c>
      <c r="S150" s="68">
        <f>IF(S$51&lt;=Rates!$D$71,('Sell-Compute'!$B$40*(1+'Sell-Compute'!$B$50)^MOD(S$51-1,'Sell-Compute'!$C$21)-'Sell-Compute'!$B$42-'Sell-Compute'!$B$43)*(S146/4)-'Sell-Compute'!$B$41-'Sell-Compute'!$B$44-'Sell-Compute'!$B$45-IF(AND(MOD(S$51,'Sell-Compute'!$C$21)=0,S$51&lt;Rates!$D$71),'Sell-Compute'!$B$34*(S146/4),0),0)</f>
        <v/>
      </c>
      <c r="T150" s="68">
        <f>IF(T$51&lt;=Rates!$D$71,('Sell-Compute'!$B$40*(1+'Sell-Compute'!$B$50)^MOD(T$51-1,'Sell-Compute'!$C$21)-'Sell-Compute'!$B$42-'Sell-Compute'!$B$43)*(T146/4)-'Sell-Compute'!$B$41-'Sell-Compute'!$B$44-'Sell-Compute'!$B$45-IF(AND(MOD(T$51,'Sell-Compute'!$C$21)=0,T$51&lt;Rates!$D$71),'Sell-Compute'!$B$34*(T146/4),0),0)</f>
        <v/>
      </c>
      <c r="U150" s="68">
        <f>IF(U$51&lt;=Rates!$D$71,('Sell-Compute'!$B$40*(1+'Sell-Compute'!$B$50)^MOD(U$51-1,'Sell-Compute'!$C$21)-'Sell-Compute'!$B$42-'Sell-Compute'!$B$43)*(U146/4)-'Sell-Compute'!$B$41-'Sell-Compute'!$B$44-'Sell-Compute'!$B$45-IF(AND(MOD(U$51,'Sell-Compute'!$C$21)=0,U$51&lt;Rates!$D$71),'Sell-Compute'!$B$34*(U146/4),0),0)</f>
        <v/>
      </c>
      <c r="V150" s="68">
        <f>IF(V$51&lt;=Rates!$D$71,('Sell-Compute'!$B$40*(1+'Sell-Compute'!$B$50)^MOD(V$51-1,'Sell-Compute'!$C$21)-'Sell-Compute'!$B$42-'Sell-Compute'!$B$43)*(V146/4)-'Sell-Compute'!$B$41-'Sell-Compute'!$B$44-'Sell-Compute'!$B$45-IF(AND(MOD(V$51,'Sell-Compute'!$C$21)=0,V$51&lt;Rates!$D$71),'Sell-Compute'!$B$34*(V146/4),0),0)</f>
        <v/>
      </c>
      <c r="W150" s="68">
        <f>IF(W$51&lt;=Rates!$D$71,('Sell-Compute'!$B$40*(1+'Sell-Compute'!$B$50)^MOD(W$51-1,'Sell-Compute'!$C$21)-'Sell-Compute'!$B$42-'Sell-Compute'!$B$43)*(W146/4)-'Sell-Compute'!$B$41-'Sell-Compute'!$B$44-'Sell-Compute'!$B$45-IF(AND(MOD(W$51,'Sell-Compute'!$C$21)=0,W$51&lt;Rates!$D$71),'Sell-Compute'!$B$34*(W146/4),0),0)</f>
        <v/>
      </c>
      <c r="X150" s="68">
        <f>IF(X$51&lt;=Rates!$D$71,('Sell-Compute'!$B$40*(1+'Sell-Compute'!$B$50)^MOD(X$51-1,'Sell-Compute'!$C$21)-'Sell-Compute'!$B$42-'Sell-Compute'!$B$43)*(X146/4)-'Sell-Compute'!$B$41-'Sell-Compute'!$B$44-'Sell-Compute'!$B$45-IF(AND(MOD(X$51,'Sell-Compute'!$C$21)=0,X$51&lt;Rates!$D$71),'Sell-Compute'!$B$34*(X146/4),0),0)</f>
        <v/>
      </c>
      <c r="Y150" s="68">
        <f>IF(Y$51&lt;=Rates!$D$71,('Sell-Compute'!$B$40*(1+'Sell-Compute'!$B$50)^MOD(Y$51-1,'Sell-Compute'!$C$21)-'Sell-Compute'!$B$42-'Sell-Compute'!$B$43)*(Y146/4)-'Sell-Compute'!$B$41-'Sell-Compute'!$B$44-'Sell-Compute'!$B$45-IF(AND(MOD(Y$51,'Sell-Compute'!$C$21)=0,Y$51&lt;Rates!$D$71),'Sell-Compute'!$B$34*(Y146/4),0),0)</f>
        <v/>
      </c>
      <c r="Z150" s="68">
        <f>IF(Z$51&lt;=Rates!$D$71,('Sell-Compute'!$B$40*(1+'Sell-Compute'!$B$50)^MOD(Z$51-1,'Sell-Compute'!$C$21)-'Sell-Compute'!$B$42-'Sell-Compute'!$B$43)*(Z146/4)-'Sell-Compute'!$B$41-'Sell-Compute'!$B$44-'Sell-Compute'!$B$45-IF(AND(MOD(Z$51,'Sell-Compute'!$C$21)=0,Z$51&lt;Rates!$D$71),'Sell-Compute'!$B$34*(Z146/4),0),0)</f>
        <v/>
      </c>
      <c r="AA150" s="68">
        <f>IF(AA$51&lt;=Rates!$D$71,('Sell-Compute'!$B$40*(1+'Sell-Compute'!$B$50)^MOD(AA$51-1,'Sell-Compute'!$C$21)-'Sell-Compute'!$B$42-'Sell-Compute'!$B$43)*(AA146/4)-'Sell-Compute'!$B$41-'Sell-Compute'!$B$44-'Sell-Compute'!$B$45-IF(AND(MOD(AA$51,'Sell-Compute'!$C$21)=0,AA$51&lt;Rates!$D$71),'Sell-Compute'!$B$34*(AA146/4),0),0)</f>
        <v/>
      </c>
      <c r="AB150" s="68">
        <f>IF(AB$51&lt;=Rates!$D$71,('Sell-Compute'!$B$40*(1+'Sell-Compute'!$B$50)^MOD(AB$51-1,'Sell-Compute'!$C$21)-'Sell-Compute'!$B$42-'Sell-Compute'!$B$43)*(AB146/4)-'Sell-Compute'!$B$41-'Sell-Compute'!$B$44-'Sell-Compute'!$B$45-IF(AND(MOD(AB$51,'Sell-Compute'!$C$21)=0,AB$51&lt;Rates!$D$71),'Sell-Compute'!$B$34*(AB146/4),0),0)</f>
        <v/>
      </c>
    </row>
    <row r="151">
      <c r="A151" s="68" t="inlineStr">
        <is>
          <t>Do nothing (dark modules stop buying GPUs) | colo</t>
        </is>
      </c>
      <c r="C151" s="68">
        <f>-'Sell-Compute'!$I$36</f>
        <v/>
      </c>
      <c r="D151" s="68">
        <f>IF(D$51&lt;=Rates!$D$71,'Sell-Compute'!$I$46-'Sell-Compute'!$I$40*(1-(D146/4)),0)</f>
        <v/>
      </c>
      <c r="E151" s="68">
        <f>IF(E$51&lt;=Rates!$D$71,'Sell-Compute'!$I$46-'Sell-Compute'!$I$40*(1-(E146/4)),0)</f>
        <v/>
      </c>
      <c r="F151" s="68">
        <f>IF(F$51&lt;=Rates!$D$71,'Sell-Compute'!$I$46-'Sell-Compute'!$I$40*(1-(F146/4)),0)</f>
        <v/>
      </c>
      <c r="G151" s="68">
        <f>IF(G$51&lt;=Rates!$D$71,'Sell-Compute'!$I$46-'Sell-Compute'!$I$40*(1-(G146/4)),0)</f>
        <v/>
      </c>
      <c r="H151" s="68">
        <f>IF(H$51&lt;=Rates!$D$71,'Sell-Compute'!$I$46-'Sell-Compute'!$I$40*(1-(H146/4)),0)</f>
        <v/>
      </c>
      <c r="I151" s="68">
        <f>IF(I$51&lt;=Rates!$D$71,'Sell-Compute'!$I$46-'Sell-Compute'!$I$40*(1-(I146/4)),0)</f>
        <v/>
      </c>
      <c r="J151" s="68">
        <f>IF(J$51&lt;=Rates!$D$71,'Sell-Compute'!$I$46-'Sell-Compute'!$I$40*(1-(J146/4)),0)</f>
        <v/>
      </c>
      <c r="K151" s="68">
        <f>IF(K$51&lt;=Rates!$D$71,'Sell-Compute'!$I$46-'Sell-Compute'!$I$40*(1-(K146/4)),0)</f>
        <v/>
      </c>
      <c r="L151" s="68">
        <f>IF(L$51&lt;=Rates!$D$71,'Sell-Compute'!$I$46-'Sell-Compute'!$I$40*(1-(L146/4)),0)</f>
        <v/>
      </c>
      <c r="M151" s="68">
        <f>IF(M$51&lt;=Rates!$D$71,'Sell-Compute'!$I$46-'Sell-Compute'!$I$40*(1-(M146/4)),0)</f>
        <v/>
      </c>
      <c r="N151" s="68">
        <f>IF(N$51&lt;=Rates!$D$71,'Sell-Compute'!$I$46-'Sell-Compute'!$I$40*(1-(N146/4)),0)</f>
        <v/>
      </c>
      <c r="O151" s="68">
        <f>IF(O$51&lt;=Rates!$D$71,'Sell-Compute'!$I$46-'Sell-Compute'!$I$40*(1-(O146/4)),0)</f>
        <v/>
      </c>
      <c r="P151" s="68">
        <f>IF(P$51&lt;=Rates!$D$71,'Sell-Compute'!$I$46-'Sell-Compute'!$I$40*(1-(P146/4)),0)</f>
        <v/>
      </c>
      <c r="Q151" s="68">
        <f>IF(Q$51&lt;=Rates!$D$71,'Sell-Compute'!$I$46-'Sell-Compute'!$I$40*(1-(Q146/4)),0)</f>
        <v/>
      </c>
      <c r="R151" s="68">
        <f>IF(R$51&lt;=Rates!$D$71,'Sell-Compute'!$I$46-'Sell-Compute'!$I$40*(1-(R146/4)),0)</f>
        <v/>
      </c>
      <c r="S151" s="68">
        <f>IF(S$51&lt;=Rates!$D$71,'Sell-Compute'!$I$46-'Sell-Compute'!$I$40*(1-(S146/4)),0)</f>
        <v/>
      </c>
      <c r="T151" s="68">
        <f>IF(T$51&lt;=Rates!$D$71,'Sell-Compute'!$I$46-'Sell-Compute'!$I$40*(1-(T146/4)),0)</f>
        <v/>
      </c>
      <c r="U151" s="68">
        <f>IF(U$51&lt;=Rates!$D$71,'Sell-Compute'!$I$46-'Sell-Compute'!$I$40*(1-(U146/4)),0)</f>
        <v/>
      </c>
      <c r="V151" s="68">
        <f>IF(V$51&lt;=Rates!$D$71,'Sell-Compute'!$I$46-'Sell-Compute'!$I$40*(1-(V146/4)),0)</f>
        <v/>
      </c>
      <c r="W151" s="68">
        <f>IF(W$51&lt;=Rates!$D$71,'Sell-Compute'!$I$46-'Sell-Compute'!$I$40*(1-(W146/4)),0)</f>
        <v/>
      </c>
      <c r="X151" s="68">
        <f>IF(X$51&lt;=Rates!$D$71,'Sell-Compute'!$I$46-'Sell-Compute'!$I$40*(1-(X146/4)),0)</f>
        <v/>
      </c>
      <c r="Y151" s="68">
        <f>IF(Y$51&lt;=Rates!$D$71,'Sell-Compute'!$I$46-'Sell-Compute'!$I$40*(1-(Y146/4)),0)</f>
        <v/>
      </c>
      <c r="Z151" s="68">
        <f>IF(Z$51&lt;=Rates!$D$71,'Sell-Compute'!$I$46-'Sell-Compute'!$I$40*(1-(Z146/4)),0)</f>
        <v/>
      </c>
      <c r="AA151" s="68">
        <f>IF(AA$51&lt;=Rates!$D$71,'Sell-Compute'!$I$46-'Sell-Compute'!$I$40*(1-(AA146/4)),0)</f>
        <v/>
      </c>
      <c r="AB151" s="68">
        <f>IF(AB$51&lt;=Rates!$D$71,'Sell-Compute'!$I$46-'Sell-Compute'!$I$40*(1-(AB146/4)),0)</f>
        <v/>
      </c>
    </row>
    <row r="152">
      <c r="A152" s="68" t="inlineStr">
        <is>
          <t>(a) Extra doublets at start | flat</t>
        </is>
      </c>
      <c r="C152" s="68">
        <f>-'Sell-Compute'!$C$36-IF(ISNUMBER($E$140),$E$140*(2*($C$11+$C$12)*(1+$C$14)),0)</f>
        <v/>
      </c>
      <c r="D152" s="68">
        <f>IF(D$51&lt;=Rates!$D$71,('Sell-Compute'!$C$40*(1+'Sell-Compute'!$C$50)^MOD(D$51-1,'Sell-Compute'!$C$21)-'Sell-Compute'!$C$42-'Sell-Compute'!$C$43)*(D147/4)-'Sell-Compute'!$C$41-'Sell-Compute'!$C$44-'Sell-Compute'!$C$45-IF(AND(MOD(D$51,'Sell-Compute'!$C$21)=0,D$51&lt;Rates!$D$71),'Sell-Compute'!$C$34*(D147/4),0),0)</f>
        <v/>
      </c>
      <c r="E152" s="68">
        <f>IF(E$51&lt;=Rates!$D$71,('Sell-Compute'!$C$40*(1+'Sell-Compute'!$C$50)^MOD(E$51-1,'Sell-Compute'!$C$21)-'Sell-Compute'!$C$42-'Sell-Compute'!$C$43)*(E147/4)-'Sell-Compute'!$C$41-'Sell-Compute'!$C$44-'Sell-Compute'!$C$45-IF(AND(MOD(E$51,'Sell-Compute'!$C$21)=0,E$51&lt;Rates!$D$71),'Sell-Compute'!$C$34*(E147/4),0),0)</f>
        <v/>
      </c>
      <c r="F152" s="68">
        <f>IF(F$51&lt;=Rates!$D$71,('Sell-Compute'!$C$40*(1+'Sell-Compute'!$C$50)^MOD(F$51-1,'Sell-Compute'!$C$21)-'Sell-Compute'!$C$42-'Sell-Compute'!$C$43)*(F147/4)-'Sell-Compute'!$C$41-'Sell-Compute'!$C$44-'Sell-Compute'!$C$45-IF(AND(MOD(F$51,'Sell-Compute'!$C$21)=0,F$51&lt;Rates!$D$71),'Sell-Compute'!$C$34*(F147/4),0),0)</f>
        <v/>
      </c>
      <c r="G152" s="68">
        <f>IF(G$51&lt;=Rates!$D$71,('Sell-Compute'!$C$40*(1+'Sell-Compute'!$C$50)^MOD(G$51-1,'Sell-Compute'!$C$21)-'Sell-Compute'!$C$42-'Sell-Compute'!$C$43)*(G147/4)-'Sell-Compute'!$C$41-'Sell-Compute'!$C$44-'Sell-Compute'!$C$45-IF(AND(MOD(G$51,'Sell-Compute'!$C$21)=0,G$51&lt;Rates!$D$71),'Sell-Compute'!$C$34*(G147/4),0),0)</f>
        <v/>
      </c>
      <c r="H152" s="68">
        <f>IF(H$51&lt;=Rates!$D$71,('Sell-Compute'!$C$40*(1+'Sell-Compute'!$C$50)^MOD(H$51-1,'Sell-Compute'!$C$21)-'Sell-Compute'!$C$42-'Sell-Compute'!$C$43)*(H147/4)-'Sell-Compute'!$C$41-'Sell-Compute'!$C$44-'Sell-Compute'!$C$45-IF(AND(MOD(H$51,'Sell-Compute'!$C$21)=0,H$51&lt;Rates!$D$71),'Sell-Compute'!$C$34*(H147/4),0),0)</f>
        <v/>
      </c>
      <c r="I152" s="68">
        <f>IF(I$51&lt;=Rates!$D$71,('Sell-Compute'!$C$40*(1+'Sell-Compute'!$C$50)^MOD(I$51-1,'Sell-Compute'!$C$21)-'Sell-Compute'!$C$42-'Sell-Compute'!$C$43)*(I147/4)-'Sell-Compute'!$C$41-'Sell-Compute'!$C$44-'Sell-Compute'!$C$45-IF(AND(MOD(I$51,'Sell-Compute'!$C$21)=0,I$51&lt;Rates!$D$71),'Sell-Compute'!$C$34*(I147/4),0),0)</f>
        <v/>
      </c>
      <c r="J152" s="68">
        <f>IF(J$51&lt;=Rates!$D$71,('Sell-Compute'!$C$40*(1+'Sell-Compute'!$C$50)^MOD(J$51-1,'Sell-Compute'!$C$21)-'Sell-Compute'!$C$42-'Sell-Compute'!$C$43)*(J147/4)-'Sell-Compute'!$C$41-'Sell-Compute'!$C$44-'Sell-Compute'!$C$45-IF(AND(MOD(J$51,'Sell-Compute'!$C$21)=0,J$51&lt;Rates!$D$71),'Sell-Compute'!$C$34*(J147/4),0),0)</f>
        <v/>
      </c>
      <c r="K152" s="68">
        <f>IF(K$51&lt;=Rates!$D$71,('Sell-Compute'!$C$40*(1+'Sell-Compute'!$C$50)^MOD(K$51-1,'Sell-Compute'!$C$21)-'Sell-Compute'!$C$42-'Sell-Compute'!$C$43)*(K147/4)-'Sell-Compute'!$C$41-'Sell-Compute'!$C$44-'Sell-Compute'!$C$45-IF(AND(MOD(K$51,'Sell-Compute'!$C$21)=0,K$51&lt;Rates!$D$71),'Sell-Compute'!$C$34*(K147/4),0),0)</f>
        <v/>
      </c>
      <c r="L152" s="68">
        <f>IF(L$51&lt;=Rates!$D$71,('Sell-Compute'!$C$40*(1+'Sell-Compute'!$C$50)^MOD(L$51-1,'Sell-Compute'!$C$21)-'Sell-Compute'!$C$42-'Sell-Compute'!$C$43)*(L147/4)-'Sell-Compute'!$C$41-'Sell-Compute'!$C$44-'Sell-Compute'!$C$45-IF(AND(MOD(L$51,'Sell-Compute'!$C$21)=0,L$51&lt;Rates!$D$71),'Sell-Compute'!$C$34*(L147/4),0),0)</f>
        <v/>
      </c>
      <c r="M152" s="68">
        <f>IF(M$51&lt;=Rates!$D$71,('Sell-Compute'!$C$40*(1+'Sell-Compute'!$C$50)^MOD(M$51-1,'Sell-Compute'!$C$21)-'Sell-Compute'!$C$42-'Sell-Compute'!$C$43)*(M147/4)-'Sell-Compute'!$C$41-'Sell-Compute'!$C$44-'Sell-Compute'!$C$45-IF(AND(MOD(M$51,'Sell-Compute'!$C$21)=0,M$51&lt;Rates!$D$71),'Sell-Compute'!$C$34*(M147/4),0),0)</f>
        <v/>
      </c>
      <c r="N152" s="68">
        <f>IF(N$51&lt;=Rates!$D$71,('Sell-Compute'!$C$40*(1+'Sell-Compute'!$C$50)^MOD(N$51-1,'Sell-Compute'!$C$21)-'Sell-Compute'!$C$42-'Sell-Compute'!$C$43)*(N147/4)-'Sell-Compute'!$C$41-'Sell-Compute'!$C$44-'Sell-Compute'!$C$45-IF(AND(MOD(N$51,'Sell-Compute'!$C$21)=0,N$51&lt;Rates!$D$71),'Sell-Compute'!$C$34*(N147/4),0),0)</f>
        <v/>
      </c>
      <c r="O152" s="68">
        <f>IF(O$51&lt;=Rates!$D$71,('Sell-Compute'!$C$40*(1+'Sell-Compute'!$C$50)^MOD(O$51-1,'Sell-Compute'!$C$21)-'Sell-Compute'!$C$42-'Sell-Compute'!$C$43)*(O147/4)-'Sell-Compute'!$C$41-'Sell-Compute'!$C$44-'Sell-Compute'!$C$45-IF(AND(MOD(O$51,'Sell-Compute'!$C$21)=0,O$51&lt;Rates!$D$71),'Sell-Compute'!$C$34*(O147/4),0),0)</f>
        <v/>
      </c>
      <c r="P152" s="68">
        <f>IF(P$51&lt;=Rates!$D$71,('Sell-Compute'!$C$40*(1+'Sell-Compute'!$C$50)^MOD(P$51-1,'Sell-Compute'!$C$21)-'Sell-Compute'!$C$42-'Sell-Compute'!$C$43)*(P147/4)-'Sell-Compute'!$C$41-'Sell-Compute'!$C$44-'Sell-Compute'!$C$45-IF(AND(MOD(P$51,'Sell-Compute'!$C$21)=0,P$51&lt;Rates!$D$71),'Sell-Compute'!$C$34*(P147/4),0),0)</f>
        <v/>
      </c>
      <c r="Q152" s="68">
        <f>IF(Q$51&lt;=Rates!$D$71,('Sell-Compute'!$C$40*(1+'Sell-Compute'!$C$50)^MOD(Q$51-1,'Sell-Compute'!$C$21)-'Sell-Compute'!$C$42-'Sell-Compute'!$C$43)*(Q147/4)-'Sell-Compute'!$C$41-'Sell-Compute'!$C$44-'Sell-Compute'!$C$45-IF(AND(MOD(Q$51,'Sell-Compute'!$C$21)=0,Q$51&lt;Rates!$D$71),'Sell-Compute'!$C$34*(Q147/4),0),0)</f>
        <v/>
      </c>
      <c r="R152" s="68">
        <f>IF(R$51&lt;=Rates!$D$71,('Sell-Compute'!$C$40*(1+'Sell-Compute'!$C$50)^MOD(R$51-1,'Sell-Compute'!$C$21)-'Sell-Compute'!$C$42-'Sell-Compute'!$C$43)*(R147/4)-'Sell-Compute'!$C$41-'Sell-Compute'!$C$44-'Sell-Compute'!$C$45-IF(AND(MOD(R$51,'Sell-Compute'!$C$21)=0,R$51&lt;Rates!$D$71),'Sell-Compute'!$C$34*(R147/4),0),0)</f>
        <v/>
      </c>
      <c r="S152" s="68">
        <f>IF(S$51&lt;=Rates!$D$71,('Sell-Compute'!$C$40*(1+'Sell-Compute'!$C$50)^MOD(S$51-1,'Sell-Compute'!$C$21)-'Sell-Compute'!$C$42-'Sell-Compute'!$C$43)*(S147/4)-'Sell-Compute'!$C$41-'Sell-Compute'!$C$44-'Sell-Compute'!$C$45-IF(AND(MOD(S$51,'Sell-Compute'!$C$21)=0,S$51&lt;Rates!$D$71),'Sell-Compute'!$C$34*(S147/4),0),0)</f>
        <v/>
      </c>
      <c r="T152" s="68">
        <f>IF(T$51&lt;=Rates!$D$71,('Sell-Compute'!$C$40*(1+'Sell-Compute'!$C$50)^MOD(T$51-1,'Sell-Compute'!$C$21)-'Sell-Compute'!$C$42-'Sell-Compute'!$C$43)*(T147/4)-'Sell-Compute'!$C$41-'Sell-Compute'!$C$44-'Sell-Compute'!$C$45-IF(AND(MOD(T$51,'Sell-Compute'!$C$21)=0,T$51&lt;Rates!$D$71),'Sell-Compute'!$C$34*(T147/4),0),0)</f>
        <v/>
      </c>
      <c r="U152" s="68">
        <f>IF(U$51&lt;=Rates!$D$71,('Sell-Compute'!$C$40*(1+'Sell-Compute'!$C$50)^MOD(U$51-1,'Sell-Compute'!$C$21)-'Sell-Compute'!$C$42-'Sell-Compute'!$C$43)*(U147/4)-'Sell-Compute'!$C$41-'Sell-Compute'!$C$44-'Sell-Compute'!$C$45-IF(AND(MOD(U$51,'Sell-Compute'!$C$21)=0,U$51&lt;Rates!$D$71),'Sell-Compute'!$C$34*(U147/4),0),0)</f>
        <v/>
      </c>
      <c r="V152" s="68">
        <f>IF(V$51&lt;=Rates!$D$71,('Sell-Compute'!$C$40*(1+'Sell-Compute'!$C$50)^MOD(V$51-1,'Sell-Compute'!$C$21)-'Sell-Compute'!$C$42-'Sell-Compute'!$C$43)*(V147/4)-'Sell-Compute'!$C$41-'Sell-Compute'!$C$44-'Sell-Compute'!$C$45-IF(AND(MOD(V$51,'Sell-Compute'!$C$21)=0,V$51&lt;Rates!$D$71),'Sell-Compute'!$C$34*(V147/4),0),0)</f>
        <v/>
      </c>
      <c r="W152" s="68">
        <f>IF(W$51&lt;=Rates!$D$71,('Sell-Compute'!$C$40*(1+'Sell-Compute'!$C$50)^MOD(W$51-1,'Sell-Compute'!$C$21)-'Sell-Compute'!$C$42-'Sell-Compute'!$C$43)*(W147/4)-'Sell-Compute'!$C$41-'Sell-Compute'!$C$44-'Sell-Compute'!$C$45-IF(AND(MOD(W$51,'Sell-Compute'!$C$21)=0,W$51&lt;Rates!$D$71),'Sell-Compute'!$C$34*(W147/4),0),0)</f>
        <v/>
      </c>
      <c r="X152" s="68">
        <f>IF(X$51&lt;=Rates!$D$71,('Sell-Compute'!$C$40*(1+'Sell-Compute'!$C$50)^MOD(X$51-1,'Sell-Compute'!$C$21)-'Sell-Compute'!$C$42-'Sell-Compute'!$C$43)*(X147/4)-'Sell-Compute'!$C$41-'Sell-Compute'!$C$44-'Sell-Compute'!$C$45-IF(AND(MOD(X$51,'Sell-Compute'!$C$21)=0,X$51&lt;Rates!$D$71),'Sell-Compute'!$C$34*(X147/4),0),0)</f>
        <v/>
      </c>
      <c r="Y152" s="68">
        <f>IF(Y$51&lt;=Rates!$D$71,('Sell-Compute'!$C$40*(1+'Sell-Compute'!$C$50)^MOD(Y$51-1,'Sell-Compute'!$C$21)-'Sell-Compute'!$C$42-'Sell-Compute'!$C$43)*(Y147/4)-'Sell-Compute'!$C$41-'Sell-Compute'!$C$44-'Sell-Compute'!$C$45-IF(AND(MOD(Y$51,'Sell-Compute'!$C$21)=0,Y$51&lt;Rates!$D$71),'Sell-Compute'!$C$34*(Y147/4),0),0)</f>
        <v/>
      </c>
      <c r="Z152" s="68">
        <f>IF(Z$51&lt;=Rates!$D$71,('Sell-Compute'!$C$40*(1+'Sell-Compute'!$C$50)^MOD(Z$51-1,'Sell-Compute'!$C$21)-'Sell-Compute'!$C$42-'Sell-Compute'!$C$43)*(Z147/4)-'Sell-Compute'!$C$41-'Sell-Compute'!$C$44-'Sell-Compute'!$C$45-IF(AND(MOD(Z$51,'Sell-Compute'!$C$21)=0,Z$51&lt;Rates!$D$71),'Sell-Compute'!$C$34*(Z147/4),0),0)</f>
        <v/>
      </c>
      <c r="AA152" s="68">
        <f>IF(AA$51&lt;=Rates!$D$71,('Sell-Compute'!$C$40*(1+'Sell-Compute'!$C$50)^MOD(AA$51-1,'Sell-Compute'!$C$21)-'Sell-Compute'!$C$42-'Sell-Compute'!$C$43)*(AA147/4)-'Sell-Compute'!$C$41-'Sell-Compute'!$C$44-'Sell-Compute'!$C$45-IF(AND(MOD(AA$51,'Sell-Compute'!$C$21)=0,AA$51&lt;Rates!$D$71),'Sell-Compute'!$C$34*(AA147/4),0),0)</f>
        <v/>
      </c>
      <c r="AB152" s="68">
        <f>IF(AB$51&lt;=Rates!$D$71,('Sell-Compute'!$C$40*(1+'Sell-Compute'!$C$50)^MOD(AB$51-1,'Sell-Compute'!$C$21)-'Sell-Compute'!$C$42-'Sell-Compute'!$C$43)*(AB147/4)-'Sell-Compute'!$C$41-'Sell-Compute'!$C$44-'Sell-Compute'!$C$45-IF(AND(MOD(AB$51,'Sell-Compute'!$C$21)=0,AB$51&lt;Rates!$D$71),'Sell-Compute'!$C$34*(AB147/4),0),0)</f>
        <v/>
      </c>
    </row>
    <row r="153">
      <c r="A153" s="68" t="inlineStr">
        <is>
          <t>(a) Extra doublets at start | dec</t>
        </is>
      </c>
      <c r="C153" s="68">
        <f>-'Sell-Compute'!$B$36-IF(ISNUMBER($E$140),$E$140*(2*($C$11+$C$12)*(1+$C$14)),0)</f>
        <v/>
      </c>
      <c r="D153" s="68">
        <f>IF(D$51&lt;=Rates!$D$71,('Sell-Compute'!$B$40*(1+'Sell-Compute'!$B$50)^MOD(D$51-1,'Sell-Compute'!$C$21)-'Sell-Compute'!$B$42-'Sell-Compute'!$B$43)*(D147/4)-'Sell-Compute'!$B$41-'Sell-Compute'!$B$44-'Sell-Compute'!$B$45-IF(AND(MOD(D$51,'Sell-Compute'!$C$21)=0,D$51&lt;Rates!$D$71),'Sell-Compute'!$B$34*(D147/4),0),0)</f>
        <v/>
      </c>
      <c r="E153" s="68">
        <f>IF(E$51&lt;=Rates!$D$71,('Sell-Compute'!$B$40*(1+'Sell-Compute'!$B$50)^MOD(E$51-1,'Sell-Compute'!$C$21)-'Sell-Compute'!$B$42-'Sell-Compute'!$B$43)*(E147/4)-'Sell-Compute'!$B$41-'Sell-Compute'!$B$44-'Sell-Compute'!$B$45-IF(AND(MOD(E$51,'Sell-Compute'!$C$21)=0,E$51&lt;Rates!$D$71),'Sell-Compute'!$B$34*(E147/4),0),0)</f>
        <v/>
      </c>
      <c r="F153" s="68">
        <f>IF(F$51&lt;=Rates!$D$71,('Sell-Compute'!$B$40*(1+'Sell-Compute'!$B$50)^MOD(F$51-1,'Sell-Compute'!$C$21)-'Sell-Compute'!$B$42-'Sell-Compute'!$B$43)*(F147/4)-'Sell-Compute'!$B$41-'Sell-Compute'!$B$44-'Sell-Compute'!$B$45-IF(AND(MOD(F$51,'Sell-Compute'!$C$21)=0,F$51&lt;Rates!$D$71),'Sell-Compute'!$B$34*(F147/4),0),0)</f>
        <v/>
      </c>
      <c r="G153" s="68">
        <f>IF(G$51&lt;=Rates!$D$71,('Sell-Compute'!$B$40*(1+'Sell-Compute'!$B$50)^MOD(G$51-1,'Sell-Compute'!$C$21)-'Sell-Compute'!$B$42-'Sell-Compute'!$B$43)*(G147/4)-'Sell-Compute'!$B$41-'Sell-Compute'!$B$44-'Sell-Compute'!$B$45-IF(AND(MOD(G$51,'Sell-Compute'!$C$21)=0,G$51&lt;Rates!$D$71),'Sell-Compute'!$B$34*(G147/4),0),0)</f>
        <v/>
      </c>
      <c r="H153" s="68">
        <f>IF(H$51&lt;=Rates!$D$71,('Sell-Compute'!$B$40*(1+'Sell-Compute'!$B$50)^MOD(H$51-1,'Sell-Compute'!$C$21)-'Sell-Compute'!$B$42-'Sell-Compute'!$B$43)*(H147/4)-'Sell-Compute'!$B$41-'Sell-Compute'!$B$44-'Sell-Compute'!$B$45-IF(AND(MOD(H$51,'Sell-Compute'!$C$21)=0,H$51&lt;Rates!$D$71),'Sell-Compute'!$B$34*(H147/4),0),0)</f>
        <v/>
      </c>
      <c r="I153" s="68">
        <f>IF(I$51&lt;=Rates!$D$71,('Sell-Compute'!$B$40*(1+'Sell-Compute'!$B$50)^MOD(I$51-1,'Sell-Compute'!$C$21)-'Sell-Compute'!$B$42-'Sell-Compute'!$B$43)*(I147/4)-'Sell-Compute'!$B$41-'Sell-Compute'!$B$44-'Sell-Compute'!$B$45-IF(AND(MOD(I$51,'Sell-Compute'!$C$21)=0,I$51&lt;Rates!$D$71),'Sell-Compute'!$B$34*(I147/4),0),0)</f>
        <v/>
      </c>
      <c r="J153" s="68">
        <f>IF(J$51&lt;=Rates!$D$71,('Sell-Compute'!$B$40*(1+'Sell-Compute'!$B$50)^MOD(J$51-1,'Sell-Compute'!$C$21)-'Sell-Compute'!$B$42-'Sell-Compute'!$B$43)*(J147/4)-'Sell-Compute'!$B$41-'Sell-Compute'!$B$44-'Sell-Compute'!$B$45-IF(AND(MOD(J$51,'Sell-Compute'!$C$21)=0,J$51&lt;Rates!$D$71),'Sell-Compute'!$B$34*(J147/4),0),0)</f>
        <v/>
      </c>
      <c r="K153" s="68">
        <f>IF(K$51&lt;=Rates!$D$71,('Sell-Compute'!$B$40*(1+'Sell-Compute'!$B$50)^MOD(K$51-1,'Sell-Compute'!$C$21)-'Sell-Compute'!$B$42-'Sell-Compute'!$B$43)*(K147/4)-'Sell-Compute'!$B$41-'Sell-Compute'!$B$44-'Sell-Compute'!$B$45-IF(AND(MOD(K$51,'Sell-Compute'!$C$21)=0,K$51&lt;Rates!$D$71),'Sell-Compute'!$B$34*(K147/4),0),0)</f>
        <v/>
      </c>
      <c r="L153" s="68">
        <f>IF(L$51&lt;=Rates!$D$71,('Sell-Compute'!$B$40*(1+'Sell-Compute'!$B$50)^MOD(L$51-1,'Sell-Compute'!$C$21)-'Sell-Compute'!$B$42-'Sell-Compute'!$B$43)*(L147/4)-'Sell-Compute'!$B$41-'Sell-Compute'!$B$44-'Sell-Compute'!$B$45-IF(AND(MOD(L$51,'Sell-Compute'!$C$21)=0,L$51&lt;Rates!$D$71),'Sell-Compute'!$B$34*(L147/4),0),0)</f>
        <v/>
      </c>
      <c r="M153" s="68">
        <f>IF(M$51&lt;=Rates!$D$71,('Sell-Compute'!$B$40*(1+'Sell-Compute'!$B$50)^MOD(M$51-1,'Sell-Compute'!$C$21)-'Sell-Compute'!$B$42-'Sell-Compute'!$B$43)*(M147/4)-'Sell-Compute'!$B$41-'Sell-Compute'!$B$44-'Sell-Compute'!$B$45-IF(AND(MOD(M$51,'Sell-Compute'!$C$21)=0,M$51&lt;Rates!$D$71),'Sell-Compute'!$B$34*(M147/4),0),0)</f>
        <v/>
      </c>
      <c r="N153" s="68">
        <f>IF(N$51&lt;=Rates!$D$71,('Sell-Compute'!$B$40*(1+'Sell-Compute'!$B$50)^MOD(N$51-1,'Sell-Compute'!$C$21)-'Sell-Compute'!$B$42-'Sell-Compute'!$B$43)*(N147/4)-'Sell-Compute'!$B$41-'Sell-Compute'!$B$44-'Sell-Compute'!$B$45-IF(AND(MOD(N$51,'Sell-Compute'!$C$21)=0,N$51&lt;Rates!$D$71),'Sell-Compute'!$B$34*(N147/4),0),0)</f>
        <v/>
      </c>
      <c r="O153" s="68">
        <f>IF(O$51&lt;=Rates!$D$71,('Sell-Compute'!$B$40*(1+'Sell-Compute'!$B$50)^MOD(O$51-1,'Sell-Compute'!$C$21)-'Sell-Compute'!$B$42-'Sell-Compute'!$B$43)*(O147/4)-'Sell-Compute'!$B$41-'Sell-Compute'!$B$44-'Sell-Compute'!$B$45-IF(AND(MOD(O$51,'Sell-Compute'!$C$21)=0,O$51&lt;Rates!$D$71),'Sell-Compute'!$B$34*(O147/4),0),0)</f>
        <v/>
      </c>
      <c r="P153" s="68">
        <f>IF(P$51&lt;=Rates!$D$71,('Sell-Compute'!$B$40*(1+'Sell-Compute'!$B$50)^MOD(P$51-1,'Sell-Compute'!$C$21)-'Sell-Compute'!$B$42-'Sell-Compute'!$B$43)*(P147/4)-'Sell-Compute'!$B$41-'Sell-Compute'!$B$44-'Sell-Compute'!$B$45-IF(AND(MOD(P$51,'Sell-Compute'!$C$21)=0,P$51&lt;Rates!$D$71),'Sell-Compute'!$B$34*(P147/4),0),0)</f>
        <v/>
      </c>
      <c r="Q153" s="68">
        <f>IF(Q$51&lt;=Rates!$D$71,('Sell-Compute'!$B$40*(1+'Sell-Compute'!$B$50)^MOD(Q$51-1,'Sell-Compute'!$C$21)-'Sell-Compute'!$B$42-'Sell-Compute'!$B$43)*(Q147/4)-'Sell-Compute'!$B$41-'Sell-Compute'!$B$44-'Sell-Compute'!$B$45-IF(AND(MOD(Q$51,'Sell-Compute'!$C$21)=0,Q$51&lt;Rates!$D$71),'Sell-Compute'!$B$34*(Q147/4),0),0)</f>
        <v/>
      </c>
      <c r="R153" s="68">
        <f>IF(R$51&lt;=Rates!$D$71,('Sell-Compute'!$B$40*(1+'Sell-Compute'!$B$50)^MOD(R$51-1,'Sell-Compute'!$C$21)-'Sell-Compute'!$B$42-'Sell-Compute'!$B$43)*(R147/4)-'Sell-Compute'!$B$41-'Sell-Compute'!$B$44-'Sell-Compute'!$B$45-IF(AND(MOD(R$51,'Sell-Compute'!$C$21)=0,R$51&lt;Rates!$D$71),'Sell-Compute'!$B$34*(R147/4),0),0)</f>
        <v/>
      </c>
      <c r="S153" s="68">
        <f>IF(S$51&lt;=Rates!$D$71,('Sell-Compute'!$B$40*(1+'Sell-Compute'!$B$50)^MOD(S$51-1,'Sell-Compute'!$C$21)-'Sell-Compute'!$B$42-'Sell-Compute'!$B$43)*(S147/4)-'Sell-Compute'!$B$41-'Sell-Compute'!$B$44-'Sell-Compute'!$B$45-IF(AND(MOD(S$51,'Sell-Compute'!$C$21)=0,S$51&lt;Rates!$D$71),'Sell-Compute'!$B$34*(S147/4),0),0)</f>
        <v/>
      </c>
      <c r="T153" s="68">
        <f>IF(T$51&lt;=Rates!$D$71,('Sell-Compute'!$B$40*(1+'Sell-Compute'!$B$50)^MOD(T$51-1,'Sell-Compute'!$C$21)-'Sell-Compute'!$B$42-'Sell-Compute'!$B$43)*(T147/4)-'Sell-Compute'!$B$41-'Sell-Compute'!$B$44-'Sell-Compute'!$B$45-IF(AND(MOD(T$51,'Sell-Compute'!$C$21)=0,T$51&lt;Rates!$D$71),'Sell-Compute'!$B$34*(T147/4),0),0)</f>
        <v/>
      </c>
      <c r="U153" s="68">
        <f>IF(U$51&lt;=Rates!$D$71,('Sell-Compute'!$B$40*(1+'Sell-Compute'!$B$50)^MOD(U$51-1,'Sell-Compute'!$C$21)-'Sell-Compute'!$B$42-'Sell-Compute'!$B$43)*(U147/4)-'Sell-Compute'!$B$41-'Sell-Compute'!$B$44-'Sell-Compute'!$B$45-IF(AND(MOD(U$51,'Sell-Compute'!$C$21)=0,U$51&lt;Rates!$D$71),'Sell-Compute'!$B$34*(U147/4),0),0)</f>
        <v/>
      </c>
      <c r="V153" s="68">
        <f>IF(V$51&lt;=Rates!$D$71,('Sell-Compute'!$B$40*(1+'Sell-Compute'!$B$50)^MOD(V$51-1,'Sell-Compute'!$C$21)-'Sell-Compute'!$B$42-'Sell-Compute'!$B$43)*(V147/4)-'Sell-Compute'!$B$41-'Sell-Compute'!$B$44-'Sell-Compute'!$B$45-IF(AND(MOD(V$51,'Sell-Compute'!$C$21)=0,V$51&lt;Rates!$D$71),'Sell-Compute'!$B$34*(V147/4),0),0)</f>
        <v/>
      </c>
      <c r="W153" s="68">
        <f>IF(W$51&lt;=Rates!$D$71,('Sell-Compute'!$B$40*(1+'Sell-Compute'!$B$50)^MOD(W$51-1,'Sell-Compute'!$C$21)-'Sell-Compute'!$B$42-'Sell-Compute'!$B$43)*(W147/4)-'Sell-Compute'!$B$41-'Sell-Compute'!$B$44-'Sell-Compute'!$B$45-IF(AND(MOD(W$51,'Sell-Compute'!$C$21)=0,W$51&lt;Rates!$D$71),'Sell-Compute'!$B$34*(W147/4),0),0)</f>
        <v/>
      </c>
      <c r="X153" s="68">
        <f>IF(X$51&lt;=Rates!$D$71,('Sell-Compute'!$B$40*(1+'Sell-Compute'!$B$50)^MOD(X$51-1,'Sell-Compute'!$C$21)-'Sell-Compute'!$B$42-'Sell-Compute'!$B$43)*(X147/4)-'Sell-Compute'!$B$41-'Sell-Compute'!$B$44-'Sell-Compute'!$B$45-IF(AND(MOD(X$51,'Sell-Compute'!$C$21)=0,X$51&lt;Rates!$D$71),'Sell-Compute'!$B$34*(X147/4),0),0)</f>
        <v/>
      </c>
      <c r="Y153" s="68">
        <f>IF(Y$51&lt;=Rates!$D$71,('Sell-Compute'!$B$40*(1+'Sell-Compute'!$B$50)^MOD(Y$51-1,'Sell-Compute'!$C$21)-'Sell-Compute'!$B$42-'Sell-Compute'!$B$43)*(Y147/4)-'Sell-Compute'!$B$41-'Sell-Compute'!$B$44-'Sell-Compute'!$B$45-IF(AND(MOD(Y$51,'Sell-Compute'!$C$21)=0,Y$51&lt;Rates!$D$71),'Sell-Compute'!$B$34*(Y147/4),0),0)</f>
        <v/>
      </c>
      <c r="Z153" s="68">
        <f>IF(Z$51&lt;=Rates!$D$71,('Sell-Compute'!$B$40*(1+'Sell-Compute'!$B$50)^MOD(Z$51-1,'Sell-Compute'!$C$21)-'Sell-Compute'!$B$42-'Sell-Compute'!$B$43)*(Z147/4)-'Sell-Compute'!$B$41-'Sell-Compute'!$B$44-'Sell-Compute'!$B$45-IF(AND(MOD(Z$51,'Sell-Compute'!$C$21)=0,Z$51&lt;Rates!$D$71),'Sell-Compute'!$B$34*(Z147/4),0),0)</f>
        <v/>
      </c>
      <c r="AA153" s="68">
        <f>IF(AA$51&lt;=Rates!$D$71,('Sell-Compute'!$B$40*(1+'Sell-Compute'!$B$50)^MOD(AA$51-1,'Sell-Compute'!$C$21)-'Sell-Compute'!$B$42-'Sell-Compute'!$B$43)*(AA147/4)-'Sell-Compute'!$B$41-'Sell-Compute'!$B$44-'Sell-Compute'!$B$45-IF(AND(MOD(AA$51,'Sell-Compute'!$C$21)=0,AA$51&lt;Rates!$D$71),'Sell-Compute'!$B$34*(AA147/4),0),0)</f>
        <v/>
      </c>
      <c r="AB153" s="68">
        <f>IF(AB$51&lt;=Rates!$D$71,('Sell-Compute'!$B$40*(1+'Sell-Compute'!$B$50)^MOD(AB$51-1,'Sell-Compute'!$C$21)-'Sell-Compute'!$B$42-'Sell-Compute'!$B$43)*(AB147/4)-'Sell-Compute'!$B$41-'Sell-Compute'!$B$44-'Sell-Compute'!$B$45-IF(AND(MOD(AB$51,'Sell-Compute'!$C$21)=0,AB$51&lt;Rates!$D$71),'Sell-Compute'!$B$34*(AB147/4),0),0)</f>
        <v/>
      </c>
    </row>
    <row r="154">
      <c r="A154" s="68" t="inlineStr">
        <is>
          <t>(a) Extra doublets at start | colo</t>
        </is>
      </c>
      <c r="C154" s="68">
        <f>-'Sell-Compute'!$I$36-IF(ISNUMBER($E$140),$E$140*(2*($C$11+$C$12)*(1+$C$14)),0)</f>
        <v/>
      </c>
      <c r="D154" s="68">
        <f>IF(D$51&lt;=Rates!$D$71,'Sell-Compute'!$I$46-'Sell-Compute'!$I$40*(1-(D147/4)),0)</f>
        <v/>
      </c>
      <c r="E154" s="68">
        <f>IF(E$51&lt;=Rates!$D$71,'Sell-Compute'!$I$46-'Sell-Compute'!$I$40*(1-(E147/4)),0)</f>
        <v/>
      </c>
      <c r="F154" s="68">
        <f>IF(F$51&lt;=Rates!$D$71,'Sell-Compute'!$I$46-'Sell-Compute'!$I$40*(1-(F147/4)),0)</f>
        <v/>
      </c>
      <c r="G154" s="68">
        <f>IF(G$51&lt;=Rates!$D$71,'Sell-Compute'!$I$46-'Sell-Compute'!$I$40*(1-(G147/4)),0)</f>
        <v/>
      </c>
      <c r="H154" s="68">
        <f>IF(H$51&lt;=Rates!$D$71,'Sell-Compute'!$I$46-'Sell-Compute'!$I$40*(1-(H147/4)),0)</f>
        <v/>
      </c>
      <c r="I154" s="68">
        <f>IF(I$51&lt;=Rates!$D$71,'Sell-Compute'!$I$46-'Sell-Compute'!$I$40*(1-(I147/4)),0)</f>
        <v/>
      </c>
      <c r="J154" s="68">
        <f>IF(J$51&lt;=Rates!$D$71,'Sell-Compute'!$I$46-'Sell-Compute'!$I$40*(1-(J147/4)),0)</f>
        <v/>
      </c>
      <c r="K154" s="68">
        <f>IF(K$51&lt;=Rates!$D$71,'Sell-Compute'!$I$46-'Sell-Compute'!$I$40*(1-(K147/4)),0)</f>
        <v/>
      </c>
      <c r="L154" s="68">
        <f>IF(L$51&lt;=Rates!$D$71,'Sell-Compute'!$I$46-'Sell-Compute'!$I$40*(1-(L147/4)),0)</f>
        <v/>
      </c>
      <c r="M154" s="68">
        <f>IF(M$51&lt;=Rates!$D$71,'Sell-Compute'!$I$46-'Sell-Compute'!$I$40*(1-(M147/4)),0)</f>
        <v/>
      </c>
      <c r="N154" s="68">
        <f>IF(N$51&lt;=Rates!$D$71,'Sell-Compute'!$I$46-'Sell-Compute'!$I$40*(1-(N147/4)),0)</f>
        <v/>
      </c>
      <c r="O154" s="68">
        <f>IF(O$51&lt;=Rates!$D$71,'Sell-Compute'!$I$46-'Sell-Compute'!$I$40*(1-(O147/4)),0)</f>
        <v/>
      </c>
      <c r="P154" s="68">
        <f>IF(P$51&lt;=Rates!$D$71,'Sell-Compute'!$I$46-'Sell-Compute'!$I$40*(1-(P147/4)),0)</f>
        <v/>
      </c>
      <c r="Q154" s="68">
        <f>IF(Q$51&lt;=Rates!$D$71,'Sell-Compute'!$I$46-'Sell-Compute'!$I$40*(1-(Q147/4)),0)</f>
        <v/>
      </c>
      <c r="R154" s="68">
        <f>IF(R$51&lt;=Rates!$D$71,'Sell-Compute'!$I$46-'Sell-Compute'!$I$40*(1-(R147/4)),0)</f>
        <v/>
      </c>
      <c r="S154" s="68">
        <f>IF(S$51&lt;=Rates!$D$71,'Sell-Compute'!$I$46-'Sell-Compute'!$I$40*(1-(S147/4)),0)</f>
        <v/>
      </c>
      <c r="T154" s="68">
        <f>IF(T$51&lt;=Rates!$D$71,'Sell-Compute'!$I$46-'Sell-Compute'!$I$40*(1-(T147/4)),0)</f>
        <v/>
      </c>
      <c r="U154" s="68">
        <f>IF(U$51&lt;=Rates!$D$71,'Sell-Compute'!$I$46-'Sell-Compute'!$I$40*(1-(U147/4)),0)</f>
        <v/>
      </c>
      <c r="V154" s="68">
        <f>IF(V$51&lt;=Rates!$D$71,'Sell-Compute'!$I$46-'Sell-Compute'!$I$40*(1-(V147/4)),0)</f>
        <v/>
      </c>
      <c r="W154" s="68">
        <f>IF(W$51&lt;=Rates!$D$71,'Sell-Compute'!$I$46-'Sell-Compute'!$I$40*(1-(W147/4)),0)</f>
        <v/>
      </c>
      <c r="X154" s="68">
        <f>IF(X$51&lt;=Rates!$D$71,'Sell-Compute'!$I$46-'Sell-Compute'!$I$40*(1-(X147/4)),0)</f>
        <v/>
      </c>
      <c r="Y154" s="68">
        <f>IF(Y$51&lt;=Rates!$D$71,'Sell-Compute'!$I$46-'Sell-Compute'!$I$40*(1-(Y147/4)),0)</f>
        <v/>
      </c>
      <c r="Z154" s="68">
        <f>IF(Z$51&lt;=Rates!$D$71,'Sell-Compute'!$I$46-'Sell-Compute'!$I$40*(1-(Z147/4)),0)</f>
        <v/>
      </c>
      <c r="AA154" s="68">
        <f>IF(AA$51&lt;=Rates!$D$71,'Sell-Compute'!$I$46-'Sell-Compute'!$I$40*(1-(AA147/4)),0)</f>
        <v/>
      </c>
      <c r="AB154" s="68">
        <f>IF(AB$51&lt;=Rates!$D$71,'Sell-Compute'!$I$46-'Sell-Compute'!$I$40*(1-(AB147/4)),0)</f>
        <v/>
      </c>
    </row>
    <row r="155">
      <c r="A155" s="68" t="inlineStr">
        <is>
          <t>(b) Make-up doublets on a monitored trigger | flat</t>
        </is>
      </c>
      <c r="C155" s="68">
        <f>-'Sell-Compute'!$C$36-C145</f>
        <v/>
      </c>
      <c r="D155" s="68">
        <f>IF(D$51&lt;=Rates!$D$71,('Sell-Compute'!$C$40*(1+'Sell-Compute'!$C$50)^MOD(D$51-1,'Sell-Compute'!$C$21)-'Sell-Compute'!$C$42-'Sell-Compute'!$C$43)*(D148/4)-'Sell-Compute'!$C$41-'Sell-Compute'!$C$44-'Sell-Compute'!$C$45-IF(AND(MOD(D$51,'Sell-Compute'!$C$21)=0,D$51&lt;Rates!$D$71),'Sell-Compute'!$C$34*(D148/4),0),0)-D145</f>
        <v/>
      </c>
      <c r="E155" s="68">
        <f>IF(E$51&lt;=Rates!$D$71,('Sell-Compute'!$C$40*(1+'Sell-Compute'!$C$50)^MOD(E$51-1,'Sell-Compute'!$C$21)-'Sell-Compute'!$C$42-'Sell-Compute'!$C$43)*(E148/4)-'Sell-Compute'!$C$41-'Sell-Compute'!$C$44-'Sell-Compute'!$C$45-IF(AND(MOD(E$51,'Sell-Compute'!$C$21)=0,E$51&lt;Rates!$D$71),'Sell-Compute'!$C$34*(E148/4),0),0)-E145</f>
        <v/>
      </c>
      <c r="F155" s="68">
        <f>IF(F$51&lt;=Rates!$D$71,('Sell-Compute'!$C$40*(1+'Sell-Compute'!$C$50)^MOD(F$51-1,'Sell-Compute'!$C$21)-'Sell-Compute'!$C$42-'Sell-Compute'!$C$43)*(F148/4)-'Sell-Compute'!$C$41-'Sell-Compute'!$C$44-'Sell-Compute'!$C$45-IF(AND(MOD(F$51,'Sell-Compute'!$C$21)=0,F$51&lt;Rates!$D$71),'Sell-Compute'!$C$34*(F148/4),0),0)-F145</f>
        <v/>
      </c>
      <c r="G155" s="68">
        <f>IF(G$51&lt;=Rates!$D$71,('Sell-Compute'!$C$40*(1+'Sell-Compute'!$C$50)^MOD(G$51-1,'Sell-Compute'!$C$21)-'Sell-Compute'!$C$42-'Sell-Compute'!$C$43)*(G148/4)-'Sell-Compute'!$C$41-'Sell-Compute'!$C$44-'Sell-Compute'!$C$45-IF(AND(MOD(G$51,'Sell-Compute'!$C$21)=0,G$51&lt;Rates!$D$71),'Sell-Compute'!$C$34*(G148/4),0),0)-G145</f>
        <v/>
      </c>
      <c r="H155" s="68">
        <f>IF(H$51&lt;=Rates!$D$71,('Sell-Compute'!$C$40*(1+'Sell-Compute'!$C$50)^MOD(H$51-1,'Sell-Compute'!$C$21)-'Sell-Compute'!$C$42-'Sell-Compute'!$C$43)*(H148/4)-'Sell-Compute'!$C$41-'Sell-Compute'!$C$44-'Sell-Compute'!$C$45-IF(AND(MOD(H$51,'Sell-Compute'!$C$21)=0,H$51&lt;Rates!$D$71),'Sell-Compute'!$C$34*(H148/4),0),0)-H145</f>
        <v/>
      </c>
      <c r="I155" s="68">
        <f>IF(I$51&lt;=Rates!$D$71,('Sell-Compute'!$C$40*(1+'Sell-Compute'!$C$50)^MOD(I$51-1,'Sell-Compute'!$C$21)-'Sell-Compute'!$C$42-'Sell-Compute'!$C$43)*(I148/4)-'Sell-Compute'!$C$41-'Sell-Compute'!$C$44-'Sell-Compute'!$C$45-IF(AND(MOD(I$51,'Sell-Compute'!$C$21)=0,I$51&lt;Rates!$D$71),'Sell-Compute'!$C$34*(I148/4),0),0)-I145</f>
        <v/>
      </c>
      <c r="J155" s="68">
        <f>IF(J$51&lt;=Rates!$D$71,('Sell-Compute'!$C$40*(1+'Sell-Compute'!$C$50)^MOD(J$51-1,'Sell-Compute'!$C$21)-'Sell-Compute'!$C$42-'Sell-Compute'!$C$43)*(J148/4)-'Sell-Compute'!$C$41-'Sell-Compute'!$C$44-'Sell-Compute'!$C$45-IF(AND(MOD(J$51,'Sell-Compute'!$C$21)=0,J$51&lt;Rates!$D$71),'Sell-Compute'!$C$34*(J148/4),0),0)-J145</f>
        <v/>
      </c>
      <c r="K155" s="68">
        <f>IF(K$51&lt;=Rates!$D$71,('Sell-Compute'!$C$40*(1+'Sell-Compute'!$C$50)^MOD(K$51-1,'Sell-Compute'!$C$21)-'Sell-Compute'!$C$42-'Sell-Compute'!$C$43)*(K148/4)-'Sell-Compute'!$C$41-'Sell-Compute'!$C$44-'Sell-Compute'!$C$45-IF(AND(MOD(K$51,'Sell-Compute'!$C$21)=0,K$51&lt;Rates!$D$71),'Sell-Compute'!$C$34*(K148/4),0),0)-K145</f>
        <v/>
      </c>
      <c r="L155" s="68">
        <f>IF(L$51&lt;=Rates!$D$71,('Sell-Compute'!$C$40*(1+'Sell-Compute'!$C$50)^MOD(L$51-1,'Sell-Compute'!$C$21)-'Sell-Compute'!$C$42-'Sell-Compute'!$C$43)*(L148/4)-'Sell-Compute'!$C$41-'Sell-Compute'!$C$44-'Sell-Compute'!$C$45-IF(AND(MOD(L$51,'Sell-Compute'!$C$21)=0,L$51&lt;Rates!$D$71),'Sell-Compute'!$C$34*(L148/4),0),0)-L145</f>
        <v/>
      </c>
      <c r="M155" s="68">
        <f>IF(M$51&lt;=Rates!$D$71,('Sell-Compute'!$C$40*(1+'Sell-Compute'!$C$50)^MOD(M$51-1,'Sell-Compute'!$C$21)-'Sell-Compute'!$C$42-'Sell-Compute'!$C$43)*(M148/4)-'Sell-Compute'!$C$41-'Sell-Compute'!$C$44-'Sell-Compute'!$C$45-IF(AND(MOD(M$51,'Sell-Compute'!$C$21)=0,M$51&lt;Rates!$D$71),'Sell-Compute'!$C$34*(M148/4),0),0)-M145</f>
        <v/>
      </c>
      <c r="N155" s="68">
        <f>IF(N$51&lt;=Rates!$D$71,('Sell-Compute'!$C$40*(1+'Sell-Compute'!$C$50)^MOD(N$51-1,'Sell-Compute'!$C$21)-'Sell-Compute'!$C$42-'Sell-Compute'!$C$43)*(N148/4)-'Sell-Compute'!$C$41-'Sell-Compute'!$C$44-'Sell-Compute'!$C$45-IF(AND(MOD(N$51,'Sell-Compute'!$C$21)=0,N$51&lt;Rates!$D$71),'Sell-Compute'!$C$34*(N148/4),0),0)-N145</f>
        <v/>
      </c>
      <c r="O155" s="68">
        <f>IF(O$51&lt;=Rates!$D$71,('Sell-Compute'!$C$40*(1+'Sell-Compute'!$C$50)^MOD(O$51-1,'Sell-Compute'!$C$21)-'Sell-Compute'!$C$42-'Sell-Compute'!$C$43)*(O148/4)-'Sell-Compute'!$C$41-'Sell-Compute'!$C$44-'Sell-Compute'!$C$45-IF(AND(MOD(O$51,'Sell-Compute'!$C$21)=0,O$51&lt;Rates!$D$71),'Sell-Compute'!$C$34*(O148/4),0),0)-O145</f>
        <v/>
      </c>
      <c r="P155" s="68">
        <f>IF(P$51&lt;=Rates!$D$71,('Sell-Compute'!$C$40*(1+'Sell-Compute'!$C$50)^MOD(P$51-1,'Sell-Compute'!$C$21)-'Sell-Compute'!$C$42-'Sell-Compute'!$C$43)*(P148/4)-'Sell-Compute'!$C$41-'Sell-Compute'!$C$44-'Sell-Compute'!$C$45-IF(AND(MOD(P$51,'Sell-Compute'!$C$21)=0,P$51&lt;Rates!$D$71),'Sell-Compute'!$C$34*(P148/4),0),0)-P145</f>
        <v/>
      </c>
      <c r="Q155" s="68">
        <f>IF(Q$51&lt;=Rates!$D$71,('Sell-Compute'!$C$40*(1+'Sell-Compute'!$C$50)^MOD(Q$51-1,'Sell-Compute'!$C$21)-'Sell-Compute'!$C$42-'Sell-Compute'!$C$43)*(Q148/4)-'Sell-Compute'!$C$41-'Sell-Compute'!$C$44-'Sell-Compute'!$C$45-IF(AND(MOD(Q$51,'Sell-Compute'!$C$21)=0,Q$51&lt;Rates!$D$71),'Sell-Compute'!$C$34*(Q148/4),0),0)-Q145</f>
        <v/>
      </c>
      <c r="R155" s="68">
        <f>IF(R$51&lt;=Rates!$D$71,('Sell-Compute'!$C$40*(1+'Sell-Compute'!$C$50)^MOD(R$51-1,'Sell-Compute'!$C$21)-'Sell-Compute'!$C$42-'Sell-Compute'!$C$43)*(R148/4)-'Sell-Compute'!$C$41-'Sell-Compute'!$C$44-'Sell-Compute'!$C$45-IF(AND(MOD(R$51,'Sell-Compute'!$C$21)=0,R$51&lt;Rates!$D$71),'Sell-Compute'!$C$34*(R148/4),0),0)-R145</f>
        <v/>
      </c>
      <c r="S155" s="68">
        <f>IF(S$51&lt;=Rates!$D$71,('Sell-Compute'!$C$40*(1+'Sell-Compute'!$C$50)^MOD(S$51-1,'Sell-Compute'!$C$21)-'Sell-Compute'!$C$42-'Sell-Compute'!$C$43)*(S148/4)-'Sell-Compute'!$C$41-'Sell-Compute'!$C$44-'Sell-Compute'!$C$45-IF(AND(MOD(S$51,'Sell-Compute'!$C$21)=0,S$51&lt;Rates!$D$71),'Sell-Compute'!$C$34*(S148/4),0),0)-S145</f>
        <v/>
      </c>
      <c r="T155" s="68">
        <f>IF(T$51&lt;=Rates!$D$71,('Sell-Compute'!$C$40*(1+'Sell-Compute'!$C$50)^MOD(T$51-1,'Sell-Compute'!$C$21)-'Sell-Compute'!$C$42-'Sell-Compute'!$C$43)*(T148/4)-'Sell-Compute'!$C$41-'Sell-Compute'!$C$44-'Sell-Compute'!$C$45-IF(AND(MOD(T$51,'Sell-Compute'!$C$21)=0,T$51&lt;Rates!$D$71),'Sell-Compute'!$C$34*(T148/4),0),0)-T145</f>
        <v/>
      </c>
      <c r="U155" s="68">
        <f>IF(U$51&lt;=Rates!$D$71,('Sell-Compute'!$C$40*(1+'Sell-Compute'!$C$50)^MOD(U$51-1,'Sell-Compute'!$C$21)-'Sell-Compute'!$C$42-'Sell-Compute'!$C$43)*(U148/4)-'Sell-Compute'!$C$41-'Sell-Compute'!$C$44-'Sell-Compute'!$C$45-IF(AND(MOD(U$51,'Sell-Compute'!$C$21)=0,U$51&lt;Rates!$D$71),'Sell-Compute'!$C$34*(U148/4),0),0)-U145</f>
        <v/>
      </c>
      <c r="V155" s="68">
        <f>IF(V$51&lt;=Rates!$D$71,('Sell-Compute'!$C$40*(1+'Sell-Compute'!$C$50)^MOD(V$51-1,'Sell-Compute'!$C$21)-'Sell-Compute'!$C$42-'Sell-Compute'!$C$43)*(V148/4)-'Sell-Compute'!$C$41-'Sell-Compute'!$C$44-'Sell-Compute'!$C$45-IF(AND(MOD(V$51,'Sell-Compute'!$C$21)=0,V$51&lt;Rates!$D$71),'Sell-Compute'!$C$34*(V148/4),0),0)-V145</f>
        <v/>
      </c>
      <c r="W155" s="68">
        <f>IF(W$51&lt;=Rates!$D$71,('Sell-Compute'!$C$40*(1+'Sell-Compute'!$C$50)^MOD(W$51-1,'Sell-Compute'!$C$21)-'Sell-Compute'!$C$42-'Sell-Compute'!$C$43)*(W148/4)-'Sell-Compute'!$C$41-'Sell-Compute'!$C$44-'Sell-Compute'!$C$45-IF(AND(MOD(W$51,'Sell-Compute'!$C$21)=0,W$51&lt;Rates!$D$71),'Sell-Compute'!$C$34*(W148/4),0),0)-W145</f>
        <v/>
      </c>
      <c r="X155" s="68">
        <f>IF(X$51&lt;=Rates!$D$71,('Sell-Compute'!$C$40*(1+'Sell-Compute'!$C$50)^MOD(X$51-1,'Sell-Compute'!$C$21)-'Sell-Compute'!$C$42-'Sell-Compute'!$C$43)*(X148/4)-'Sell-Compute'!$C$41-'Sell-Compute'!$C$44-'Sell-Compute'!$C$45-IF(AND(MOD(X$51,'Sell-Compute'!$C$21)=0,X$51&lt;Rates!$D$71),'Sell-Compute'!$C$34*(X148/4),0),0)-X145</f>
        <v/>
      </c>
      <c r="Y155" s="68">
        <f>IF(Y$51&lt;=Rates!$D$71,('Sell-Compute'!$C$40*(1+'Sell-Compute'!$C$50)^MOD(Y$51-1,'Sell-Compute'!$C$21)-'Sell-Compute'!$C$42-'Sell-Compute'!$C$43)*(Y148/4)-'Sell-Compute'!$C$41-'Sell-Compute'!$C$44-'Sell-Compute'!$C$45-IF(AND(MOD(Y$51,'Sell-Compute'!$C$21)=0,Y$51&lt;Rates!$D$71),'Sell-Compute'!$C$34*(Y148/4),0),0)-Y145</f>
        <v/>
      </c>
      <c r="Z155" s="68">
        <f>IF(Z$51&lt;=Rates!$D$71,('Sell-Compute'!$C$40*(1+'Sell-Compute'!$C$50)^MOD(Z$51-1,'Sell-Compute'!$C$21)-'Sell-Compute'!$C$42-'Sell-Compute'!$C$43)*(Z148/4)-'Sell-Compute'!$C$41-'Sell-Compute'!$C$44-'Sell-Compute'!$C$45-IF(AND(MOD(Z$51,'Sell-Compute'!$C$21)=0,Z$51&lt;Rates!$D$71),'Sell-Compute'!$C$34*(Z148/4),0),0)-Z145</f>
        <v/>
      </c>
      <c r="AA155" s="68">
        <f>IF(AA$51&lt;=Rates!$D$71,('Sell-Compute'!$C$40*(1+'Sell-Compute'!$C$50)^MOD(AA$51-1,'Sell-Compute'!$C$21)-'Sell-Compute'!$C$42-'Sell-Compute'!$C$43)*(AA148/4)-'Sell-Compute'!$C$41-'Sell-Compute'!$C$44-'Sell-Compute'!$C$45-IF(AND(MOD(AA$51,'Sell-Compute'!$C$21)=0,AA$51&lt;Rates!$D$71),'Sell-Compute'!$C$34*(AA148/4),0),0)-AA145</f>
        <v/>
      </c>
      <c r="AB155" s="68">
        <f>IF(AB$51&lt;=Rates!$D$71,('Sell-Compute'!$C$40*(1+'Sell-Compute'!$C$50)^MOD(AB$51-1,'Sell-Compute'!$C$21)-'Sell-Compute'!$C$42-'Sell-Compute'!$C$43)*(AB148/4)-'Sell-Compute'!$C$41-'Sell-Compute'!$C$44-'Sell-Compute'!$C$45-IF(AND(MOD(AB$51,'Sell-Compute'!$C$21)=0,AB$51&lt;Rates!$D$71),'Sell-Compute'!$C$34*(AB148/4),0),0)-AB145</f>
        <v/>
      </c>
    </row>
    <row r="156">
      <c r="A156" s="68" t="inlineStr">
        <is>
          <t>(b) Make-up doublets on a monitored trigger | dec</t>
        </is>
      </c>
      <c r="C156" s="68">
        <f>-'Sell-Compute'!$B$36-C145</f>
        <v/>
      </c>
      <c r="D156" s="68">
        <f>IF(D$51&lt;=Rates!$D$71,('Sell-Compute'!$B$40*(1+'Sell-Compute'!$B$50)^MOD(D$51-1,'Sell-Compute'!$C$21)-'Sell-Compute'!$B$42-'Sell-Compute'!$B$43)*(D148/4)-'Sell-Compute'!$B$41-'Sell-Compute'!$B$44-'Sell-Compute'!$B$45-IF(AND(MOD(D$51,'Sell-Compute'!$C$21)=0,D$51&lt;Rates!$D$71),'Sell-Compute'!$B$34*(D148/4),0),0)-D145</f>
        <v/>
      </c>
      <c r="E156" s="68">
        <f>IF(E$51&lt;=Rates!$D$71,('Sell-Compute'!$B$40*(1+'Sell-Compute'!$B$50)^MOD(E$51-1,'Sell-Compute'!$C$21)-'Sell-Compute'!$B$42-'Sell-Compute'!$B$43)*(E148/4)-'Sell-Compute'!$B$41-'Sell-Compute'!$B$44-'Sell-Compute'!$B$45-IF(AND(MOD(E$51,'Sell-Compute'!$C$21)=0,E$51&lt;Rates!$D$71),'Sell-Compute'!$B$34*(E148/4),0),0)-E145</f>
        <v/>
      </c>
      <c r="F156" s="68">
        <f>IF(F$51&lt;=Rates!$D$71,('Sell-Compute'!$B$40*(1+'Sell-Compute'!$B$50)^MOD(F$51-1,'Sell-Compute'!$C$21)-'Sell-Compute'!$B$42-'Sell-Compute'!$B$43)*(F148/4)-'Sell-Compute'!$B$41-'Sell-Compute'!$B$44-'Sell-Compute'!$B$45-IF(AND(MOD(F$51,'Sell-Compute'!$C$21)=0,F$51&lt;Rates!$D$71),'Sell-Compute'!$B$34*(F148/4),0),0)-F145</f>
        <v/>
      </c>
      <c r="G156" s="68">
        <f>IF(G$51&lt;=Rates!$D$71,('Sell-Compute'!$B$40*(1+'Sell-Compute'!$B$50)^MOD(G$51-1,'Sell-Compute'!$C$21)-'Sell-Compute'!$B$42-'Sell-Compute'!$B$43)*(G148/4)-'Sell-Compute'!$B$41-'Sell-Compute'!$B$44-'Sell-Compute'!$B$45-IF(AND(MOD(G$51,'Sell-Compute'!$C$21)=0,G$51&lt;Rates!$D$71),'Sell-Compute'!$B$34*(G148/4),0),0)-G145</f>
        <v/>
      </c>
      <c r="H156" s="68">
        <f>IF(H$51&lt;=Rates!$D$71,('Sell-Compute'!$B$40*(1+'Sell-Compute'!$B$50)^MOD(H$51-1,'Sell-Compute'!$C$21)-'Sell-Compute'!$B$42-'Sell-Compute'!$B$43)*(H148/4)-'Sell-Compute'!$B$41-'Sell-Compute'!$B$44-'Sell-Compute'!$B$45-IF(AND(MOD(H$51,'Sell-Compute'!$C$21)=0,H$51&lt;Rates!$D$71),'Sell-Compute'!$B$34*(H148/4),0),0)-H145</f>
        <v/>
      </c>
      <c r="I156" s="68">
        <f>IF(I$51&lt;=Rates!$D$71,('Sell-Compute'!$B$40*(1+'Sell-Compute'!$B$50)^MOD(I$51-1,'Sell-Compute'!$C$21)-'Sell-Compute'!$B$42-'Sell-Compute'!$B$43)*(I148/4)-'Sell-Compute'!$B$41-'Sell-Compute'!$B$44-'Sell-Compute'!$B$45-IF(AND(MOD(I$51,'Sell-Compute'!$C$21)=0,I$51&lt;Rates!$D$71),'Sell-Compute'!$B$34*(I148/4),0),0)-I145</f>
        <v/>
      </c>
      <c r="J156" s="68">
        <f>IF(J$51&lt;=Rates!$D$71,('Sell-Compute'!$B$40*(1+'Sell-Compute'!$B$50)^MOD(J$51-1,'Sell-Compute'!$C$21)-'Sell-Compute'!$B$42-'Sell-Compute'!$B$43)*(J148/4)-'Sell-Compute'!$B$41-'Sell-Compute'!$B$44-'Sell-Compute'!$B$45-IF(AND(MOD(J$51,'Sell-Compute'!$C$21)=0,J$51&lt;Rates!$D$71),'Sell-Compute'!$B$34*(J148/4),0),0)-J145</f>
        <v/>
      </c>
      <c r="K156" s="68">
        <f>IF(K$51&lt;=Rates!$D$71,('Sell-Compute'!$B$40*(1+'Sell-Compute'!$B$50)^MOD(K$51-1,'Sell-Compute'!$C$21)-'Sell-Compute'!$B$42-'Sell-Compute'!$B$43)*(K148/4)-'Sell-Compute'!$B$41-'Sell-Compute'!$B$44-'Sell-Compute'!$B$45-IF(AND(MOD(K$51,'Sell-Compute'!$C$21)=0,K$51&lt;Rates!$D$71),'Sell-Compute'!$B$34*(K148/4),0),0)-K145</f>
        <v/>
      </c>
      <c r="L156" s="68">
        <f>IF(L$51&lt;=Rates!$D$71,('Sell-Compute'!$B$40*(1+'Sell-Compute'!$B$50)^MOD(L$51-1,'Sell-Compute'!$C$21)-'Sell-Compute'!$B$42-'Sell-Compute'!$B$43)*(L148/4)-'Sell-Compute'!$B$41-'Sell-Compute'!$B$44-'Sell-Compute'!$B$45-IF(AND(MOD(L$51,'Sell-Compute'!$C$21)=0,L$51&lt;Rates!$D$71),'Sell-Compute'!$B$34*(L148/4),0),0)-L145</f>
        <v/>
      </c>
      <c r="M156" s="68">
        <f>IF(M$51&lt;=Rates!$D$71,('Sell-Compute'!$B$40*(1+'Sell-Compute'!$B$50)^MOD(M$51-1,'Sell-Compute'!$C$21)-'Sell-Compute'!$B$42-'Sell-Compute'!$B$43)*(M148/4)-'Sell-Compute'!$B$41-'Sell-Compute'!$B$44-'Sell-Compute'!$B$45-IF(AND(MOD(M$51,'Sell-Compute'!$C$21)=0,M$51&lt;Rates!$D$71),'Sell-Compute'!$B$34*(M148/4),0),0)-M145</f>
        <v/>
      </c>
      <c r="N156" s="68">
        <f>IF(N$51&lt;=Rates!$D$71,('Sell-Compute'!$B$40*(1+'Sell-Compute'!$B$50)^MOD(N$51-1,'Sell-Compute'!$C$21)-'Sell-Compute'!$B$42-'Sell-Compute'!$B$43)*(N148/4)-'Sell-Compute'!$B$41-'Sell-Compute'!$B$44-'Sell-Compute'!$B$45-IF(AND(MOD(N$51,'Sell-Compute'!$C$21)=0,N$51&lt;Rates!$D$71),'Sell-Compute'!$B$34*(N148/4),0),0)-N145</f>
        <v/>
      </c>
      <c r="O156" s="68">
        <f>IF(O$51&lt;=Rates!$D$71,('Sell-Compute'!$B$40*(1+'Sell-Compute'!$B$50)^MOD(O$51-1,'Sell-Compute'!$C$21)-'Sell-Compute'!$B$42-'Sell-Compute'!$B$43)*(O148/4)-'Sell-Compute'!$B$41-'Sell-Compute'!$B$44-'Sell-Compute'!$B$45-IF(AND(MOD(O$51,'Sell-Compute'!$C$21)=0,O$51&lt;Rates!$D$71),'Sell-Compute'!$B$34*(O148/4),0),0)-O145</f>
        <v/>
      </c>
      <c r="P156" s="68">
        <f>IF(P$51&lt;=Rates!$D$71,('Sell-Compute'!$B$40*(1+'Sell-Compute'!$B$50)^MOD(P$51-1,'Sell-Compute'!$C$21)-'Sell-Compute'!$B$42-'Sell-Compute'!$B$43)*(P148/4)-'Sell-Compute'!$B$41-'Sell-Compute'!$B$44-'Sell-Compute'!$B$45-IF(AND(MOD(P$51,'Sell-Compute'!$C$21)=0,P$51&lt;Rates!$D$71),'Sell-Compute'!$B$34*(P148/4),0),0)-P145</f>
        <v/>
      </c>
      <c r="Q156" s="68">
        <f>IF(Q$51&lt;=Rates!$D$71,('Sell-Compute'!$B$40*(1+'Sell-Compute'!$B$50)^MOD(Q$51-1,'Sell-Compute'!$C$21)-'Sell-Compute'!$B$42-'Sell-Compute'!$B$43)*(Q148/4)-'Sell-Compute'!$B$41-'Sell-Compute'!$B$44-'Sell-Compute'!$B$45-IF(AND(MOD(Q$51,'Sell-Compute'!$C$21)=0,Q$51&lt;Rates!$D$71),'Sell-Compute'!$B$34*(Q148/4),0),0)-Q145</f>
        <v/>
      </c>
      <c r="R156" s="68">
        <f>IF(R$51&lt;=Rates!$D$71,('Sell-Compute'!$B$40*(1+'Sell-Compute'!$B$50)^MOD(R$51-1,'Sell-Compute'!$C$21)-'Sell-Compute'!$B$42-'Sell-Compute'!$B$43)*(R148/4)-'Sell-Compute'!$B$41-'Sell-Compute'!$B$44-'Sell-Compute'!$B$45-IF(AND(MOD(R$51,'Sell-Compute'!$C$21)=0,R$51&lt;Rates!$D$71),'Sell-Compute'!$B$34*(R148/4),0),0)-R145</f>
        <v/>
      </c>
      <c r="S156" s="68">
        <f>IF(S$51&lt;=Rates!$D$71,('Sell-Compute'!$B$40*(1+'Sell-Compute'!$B$50)^MOD(S$51-1,'Sell-Compute'!$C$21)-'Sell-Compute'!$B$42-'Sell-Compute'!$B$43)*(S148/4)-'Sell-Compute'!$B$41-'Sell-Compute'!$B$44-'Sell-Compute'!$B$45-IF(AND(MOD(S$51,'Sell-Compute'!$C$21)=0,S$51&lt;Rates!$D$71),'Sell-Compute'!$B$34*(S148/4),0),0)-S145</f>
        <v/>
      </c>
      <c r="T156" s="68">
        <f>IF(T$51&lt;=Rates!$D$71,('Sell-Compute'!$B$40*(1+'Sell-Compute'!$B$50)^MOD(T$51-1,'Sell-Compute'!$C$21)-'Sell-Compute'!$B$42-'Sell-Compute'!$B$43)*(T148/4)-'Sell-Compute'!$B$41-'Sell-Compute'!$B$44-'Sell-Compute'!$B$45-IF(AND(MOD(T$51,'Sell-Compute'!$C$21)=0,T$51&lt;Rates!$D$71),'Sell-Compute'!$B$34*(T148/4),0),0)-T145</f>
        <v/>
      </c>
      <c r="U156" s="68">
        <f>IF(U$51&lt;=Rates!$D$71,('Sell-Compute'!$B$40*(1+'Sell-Compute'!$B$50)^MOD(U$51-1,'Sell-Compute'!$C$21)-'Sell-Compute'!$B$42-'Sell-Compute'!$B$43)*(U148/4)-'Sell-Compute'!$B$41-'Sell-Compute'!$B$44-'Sell-Compute'!$B$45-IF(AND(MOD(U$51,'Sell-Compute'!$C$21)=0,U$51&lt;Rates!$D$71),'Sell-Compute'!$B$34*(U148/4),0),0)-U145</f>
        <v/>
      </c>
      <c r="V156" s="68">
        <f>IF(V$51&lt;=Rates!$D$71,('Sell-Compute'!$B$40*(1+'Sell-Compute'!$B$50)^MOD(V$51-1,'Sell-Compute'!$C$21)-'Sell-Compute'!$B$42-'Sell-Compute'!$B$43)*(V148/4)-'Sell-Compute'!$B$41-'Sell-Compute'!$B$44-'Sell-Compute'!$B$45-IF(AND(MOD(V$51,'Sell-Compute'!$C$21)=0,V$51&lt;Rates!$D$71),'Sell-Compute'!$B$34*(V148/4),0),0)-V145</f>
        <v/>
      </c>
      <c r="W156" s="68">
        <f>IF(W$51&lt;=Rates!$D$71,('Sell-Compute'!$B$40*(1+'Sell-Compute'!$B$50)^MOD(W$51-1,'Sell-Compute'!$C$21)-'Sell-Compute'!$B$42-'Sell-Compute'!$B$43)*(W148/4)-'Sell-Compute'!$B$41-'Sell-Compute'!$B$44-'Sell-Compute'!$B$45-IF(AND(MOD(W$51,'Sell-Compute'!$C$21)=0,W$51&lt;Rates!$D$71),'Sell-Compute'!$B$34*(W148/4),0),0)-W145</f>
        <v/>
      </c>
      <c r="X156" s="68">
        <f>IF(X$51&lt;=Rates!$D$71,('Sell-Compute'!$B$40*(1+'Sell-Compute'!$B$50)^MOD(X$51-1,'Sell-Compute'!$C$21)-'Sell-Compute'!$B$42-'Sell-Compute'!$B$43)*(X148/4)-'Sell-Compute'!$B$41-'Sell-Compute'!$B$44-'Sell-Compute'!$B$45-IF(AND(MOD(X$51,'Sell-Compute'!$C$21)=0,X$51&lt;Rates!$D$71),'Sell-Compute'!$B$34*(X148/4),0),0)-X145</f>
        <v/>
      </c>
      <c r="Y156" s="68">
        <f>IF(Y$51&lt;=Rates!$D$71,('Sell-Compute'!$B$40*(1+'Sell-Compute'!$B$50)^MOD(Y$51-1,'Sell-Compute'!$C$21)-'Sell-Compute'!$B$42-'Sell-Compute'!$B$43)*(Y148/4)-'Sell-Compute'!$B$41-'Sell-Compute'!$B$44-'Sell-Compute'!$B$45-IF(AND(MOD(Y$51,'Sell-Compute'!$C$21)=0,Y$51&lt;Rates!$D$71),'Sell-Compute'!$B$34*(Y148/4),0),0)-Y145</f>
        <v/>
      </c>
      <c r="Z156" s="68">
        <f>IF(Z$51&lt;=Rates!$D$71,('Sell-Compute'!$B$40*(1+'Sell-Compute'!$B$50)^MOD(Z$51-1,'Sell-Compute'!$C$21)-'Sell-Compute'!$B$42-'Sell-Compute'!$B$43)*(Z148/4)-'Sell-Compute'!$B$41-'Sell-Compute'!$B$44-'Sell-Compute'!$B$45-IF(AND(MOD(Z$51,'Sell-Compute'!$C$21)=0,Z$51&lt;Rates!$D$71),'Sell-Compute'!$B$34*(Z148/4),0),0)-Z145</f>
        <v/>
      </c>
      <c r="AA156" s="68">
        <f>IF(AA$51&lt;=Rates!$D$71,('Sell-Compute'!$B$40*(1+'Sell-Compute'!$B$50)^MOD(AA$51-1,'Sell-Compute'!$C$21)-'Sell-Compute'!$B$42-'Sell-Compute'!$B$43)*(AA148/4)-'Sell-Compute'!$B$41-'Sell-Compute'!$B$44-'Sell-Compute'!$B$45-IF(AND(MOD(AA$51,'Sell-Compute'!$C$21)=0,AA$51&lt;Rates!$D$71),'Sell-Compute'!$B$34*(AA148/4),0),0)-AA145</f>
        <v/>
      </c>
      <c r="AB156" s="68">
        <f>IF(AB$51&lt;=Rates!$D$71,('Sell-Compute'!$B$40*(1+'Sell-Compute'!$B$50)^MOD(AB$51-1,'Sell-Compute'!$C$21)-'Sell-Compute'!$B$42-'Sell-Compute'!$B$43)*(AB148/4)-'Sell-Compute'!$B$41-'Sell-Compute'!$B$44-'Sell-Compute'!$B$45-IF(AND(MOD(AB$51,'Sell-Compute'!$C$21)=0,AB$51&lt;Rates!$D$71),'Sell-Compute'!$B$34*(AB148/4),0),0)-AB145</f>
        <v/>
      </c>
    </row>
    <row r="157">
      <c r="A157" s="68" t="inlineStr">
        <is>
          <t>(b) Make-up doublets on a monitored trigger | colo</t>
        </is>
      </c>
      <c r="C157" s="68">
        <f>-'Sell-Compute'!$I$36-C145</f>
        <v/>
      </c>
      <c r="D157" s="68">
        <f>IF(D$51&lt;=Rates!$D$71,'Sell-Compute'!$I$46-'Sell-Compute'!$I$40*(1-(D148/4)),0)-D145</f>
        <v/>
      </c>
      <c r="E157" s="68">
        <f>IF(E$51&lt;=Rates!$D$71,'Sell-Compute'!$I$46-'Sell-Compute'!$I$40*(1-(E148/4)),0)-E145</f>
        <v/>
      </c>
      <c r="F157" s="68">
        <f>IF(F$51&lt;=Rates!$D$71,'Sell-Compute'!$I$46-'Sell-Compute'!$I$40*(1-(F148/4)),0)-F145</f>
        <v/>
      </c>
      <c r="G157" s="68">
        <f>IF(G$51&lt;=Rates!$D$71,'Sell-Compute'!$I$46-'Sell-Compute'!$I$40*(1-(G148/4)),0)-G145</f>
        <v/>
      </c>
      <c r="H157" s="68">
        <f>IF(H$51&lt;=Rates!$D$71,'Sell-Compute'!$I$46-'Sell-Compute'!$I$40*(1-(H148/4)),0)-H145</f>
        <v/>
      </c>
      <c r="I157" s="68">
        <f>IF(I$51&lt;=Rates!$D$71,'Sell-Compute'!$I$46-'Sell-Compute'!$I$40*(1-(I148/4)),0)-I145</f>
        <v/>
      </c>
      <c r="J157" s="68">
        <f>IF(J$51&lt;=Rates!$D$71,'Sell-Compute'!$I$46-'Sell-Compute'!$I$40*(1-(J148/4)),0)-J145</f>
        <v/>
      </c>
      <c r="K157" s="68">
        <f>IF(K$51&lt;=Rates!$D$71,'Sell-Compute'!$I$46-'Sell-Compute'!$I$40*(1-(K148/4)),0)-K145</f>
        <v/>
      </c>
      <c r="L157" s="68">
        <f>IF(L$51&lt;=Rates!$D$71,'Sell-Compute'!$I$46-'Sell-Compute'!$I$40*(1-(L148/4)),0)-L145</f>
        <v/>
      </c>
      <c r="M157" s="68">
        <f>IF(M$51&lt;=Rates!$D$71,'Sell-Compute'!$I$46-'Sell-Compute'!$I$40*(1-(M148/4)),0)-M145</f>
        <v/>
      </c>
      <c r="N157" s="68">
        <f>IF(N$51&lt;=Rates!$D$71,'Sell-Compute'!$I$46-'Sell-Compute'!$I$40*(1-(N148/4)),0)-N145</f>
        <v/>
      </c>
      <c r="O157" s="68">
        <f>IF(O$51&lt;=Rates!$D$71,'Sell-Compute'!$I$46-'Sell-Compute'!$I$40*(1-(O148/4)),0)-O145</f>
        <v/>
      </c>
      <c r="P157" s="68">
        <f>IF(P$51&lt;=Rates!$D$71,'Sell-Compute'!$I$46-'Sell-Compute'!$I$40*(1-(P148/4)),0)-P145</f>
        <v/>
      </c>
      <c r="Q157" s="68">
        <f>IF(Q$51&lt;=Rates!$D$71,'Sell-Compute'!$I$46-'Sell-Compute'!$I$40*(1-(Q148/4)),0)-Q145</f>
        <v/>
      </c>
      <c r="R157" s="68">
        <f>IF(R$51&lt;=Rates!$D$71,'Sell-Compute'!$I$46-'Sell-Compute'!$I$40*(1-(R148/4)),0)-R145</f>
        <v/>
      </c>
      <c r="S157" s="68">
        <f>IF(S$51&lt;=Rates!$D$71,'Sell-Compute'!$I$46-'Sell-Compute'!$I$40*(1-(S148/4)),0)-S145</f>
        <v/>
      </c>
      <c r="T157" s="68">
        <f>IF(T$51&lt;=Rates!$D$71,'Sell-Compute'!$I$46-'Sell-Compute'!$I$40*(1-(T148/4)),0)-T145</f>
        <v/>
      </c>
      <c r="U157" s="68">
        <f>IF(U$51&lt;=Rates!$D$71,'Sell-Compute'!$I$46-'Sell-Compute'!$I$40*(1-(U148/4)),0)-U145</f>
        <v/>
      </c>
      <c r="V157" s="68">
        <f>IF(V$51&lt;=Rates!$D$71,'Sell-Compute'!$I$46-'Sell-Compute'!$I$40*(1-(V148/4)),0)-V145</f>
        <v/>
      </c>
      <c r="W157" s="68">
        <f>IF(W$51&lt;=Rates!$D$71,'Sell-Compute'!$I$46-'Sell-Compute'!$I$40*(1-(W148/4)),0)-W145</f>
        <v/>
      </c>
      <c r="X157" s="68">
        <f>IF(X$51&lt;=Rates!$D$71,'Sell-Compute'!$I$46-'Sell-Compute'!$I$40*(1-(X148/4)),0)-X145</f>
        <v/>
      </c>
      <c r="Y157" s="68">
        <f>IF(Y$51&lt;=Rates!$D$71,'Sell-Compute'!$I$46-'Sell-Compute'!$I$40*(1-(Y148/4)),0)-Y145</f>
        <v/>
      </c>
      <c r="Z157" s="68">
        <f>IF(Z$51&lt;=Rates!$D$71,'Sell-Compute'!$I$46-'Sell-Compute'!$I$40*(1-(Z148/4)),0)-Z145</f>
        <v/>
      </c>
      <c r="AA157" s="68">
        <f>IF(AA$51&lt;=Rates!$D$71,'Sell-Compute'!$I$46-'Sell-Compute'!$I$40*(1-(AA148/4)),0)-AA145</f>
        <v/>
      </c>
      <c r="AB157" s="68">
        <f>IF(AB$51&lt;=Rates!$D$71,'Sell-Compute'!$I$46-'Sell-Compute'!$I$40*(1-(AB148/4)),0)-AB145</f>
        <v/>
      </c>
    </row>
    <row r="158">
      <c r="A158" s="68" t="inlineStr">
        <is>
          <t>(c) Build fewer modules | flat</t>
        </is>
      </c>
      <c r="C158" s="68">
        <f>-'Sell-Compute'!$C$36+(1-($G$140/4))*('Sell-Compute'!$C$34+('AU-Route'!$B$31*(1+Control!$B$13)))</f>
        <v/>
      </c>
      <c r="D158" s="68">
        <f>IF(D$51&lt;=Rates!$D$71,('Sell-Compute'!$C$40*(1+'Sell-Compute'!$C$50)^MOD(D$51-1,'Sell-Compute'!$C$21)-'Sell-Compute'!$C$42-'Sell-Compute'!$C$43)*($G$140/4)-'Sell-Compute'!$C$41-'Sell-Compute'!$C$44-'Sell-Compute'!$C$45-IF(AND(MOD(D$51,'Sell-Compute'!$C$21)=0,D$51&lt;Rates!$D$71),'Sell-Compute'!$C$34*($G$140/4),0),0)</f>
        <v/>
      </c>
      <c r="E158" s="68">
        <f>IF(E$51&lt;=Rates!$D$71,('Sell-Compute'!$C$40*(1+'Sell-Compute'!$C$50)^MOD(E$51-1,'Sell-Compute'!$C$21)-'Sell-Compute'!$C$42-'Sell-Compute'!$C$43)*($G$140/4)-'Sell-Compute'!$C$41-'Sell-Compute'!$C$44-'Sell-Compute'!$C$45-IF(AND(MOD(E$51,'Sell-Compute'!$C$21)=0,E$51&lt;Rates!$D$71),'Sell-Compute'!$C$34*($G$140/4),0),0)</f>
        <v/>
      </c>
      <c r="F158" s="68">
        <f>IF(F$51&lt;=Rates!$D$71,('Sell-Compute'!$C$40*(1+'Sell-Compute'!$C$50)^MOD(F$51-1,'Sell-Compute'!$C$21)-'Sell-Compute'!$C$42-'Sell-Compute'!$C$43)*($G$140/4)-'Sell-Compute'!$C$41-'Sell-Compute'!$C$44-'Sell-Compute'!$C$45-IF(AND(MOD(F$51,'Sell-Compute'!$C$21)=0,F$51&lt;Rates!$D$71),'Sell-Compute'!$C$34*($G$140/4),0),0)</f>
        <v/>
      </c>
      <c r="G158" s="68">
        <f>IF(G$51&lt;=Rates!$D$71,('Sell-Compute'!$C$40*(1+'Sell-Compute'!$C$50)^MOD(G$51-1,'Sell-Compute'!$C$21)-'Sell-Compute'!$C$42-'Sell-Compute'!$C$43)*($G$140/4)-'Sell-Compute'!$C$41-'Sell-Compute'!$C$44-'Sell-Compute'!$C$45-IF(AND(MOD(G$51,'Sell-Compute'!$C$21)=0,G$51&lt;Rates!$D$71),'Sell-Compute'!$C$34*($G$140/4),0),0)</f>
        <v/>
      </c>
      <c r="H158" s="68">
        <f>IF(H$51&lt;=Rates!$D$71,('Sell-Compute'!$C$40*(1+'Sell-Compute'!$C$50)^MOD(H$51-1,'Sell-Compute'!$C$21)-'Sell-Compute'!$C$42-'Sell-Compute'!$C$43)*($G$140/4)-'Sell-Compute'!$C$41-'Sell-Compute'!$C$44-'Sell-Compute'!$C$45-IF(AND(MOD(H$51,'Sell-Compute'!$C$21)=0,H$51&lt;Rates!$D$71),'Sell-Compute'!$C$34*($G$140/4),0),0)</f>
        <v/>
      </c>
      <c r="I158" s="68">
        <f>IF(I$51&lt;=Rates!$D$71,('Sell-Compute'!$C$40*(1+'Sell-Compute'!$C$50)^MOD(I$51-1,'Sell-Compute'!$C$21)-'Sell-Compute'!$C$42-'Sell-Compute'!$C$43)*($G$140/4)-'Sell-Compute'!$C$41-'Sell-Compute'!$C$44-'Sell-Compute'!$C$45-IF(AND(MOD(I$51,'Sell-Compute'!$C$21)=0,I$51&lt;Rates!$D$71),'Sell-Compute'!$C$34*($G$140/4),0),0)</f>
        <v/>
      </c>
      <c r="J158" s="68">
        <f>IF(J$51&lt;=Rates!$D$71,('Sell-Compute'!$C$40*(1+'Sell-Compute'!$C$50)^MOD(J$51-1,'Sell-Compute'!$C$21)-'Sell-Compute'!$C$42-'Sell-Compute'!$C$43)*($G$140/4)-'Sell-Compute'!$C$41-'Sell-Compute'!$C$44-'Sell-Compute'!$C$45-IF(AND(MOD(J$51,'Sell-Compute'!$C$21)=0,J$51&lt;Rates!$D$71),'Sell-Compute'!$C$34*($G$140/4),0),0)</f>
        <v/>
      </c>
      <c r="K158" s="68">
        <f>IF(K$51&lt;=Rates!$D$71,('Sell-Compute'!$C$40*(1+'Sell-Compute'!$C$50)^MOD(K$51-1,'Sell-Compute'!$C$21)-'Sell-Compute'!$C$42-'Sell-Compute'!$C$43)*($G$140/4)-'Sell-Compute'!$C$41-'Sell-Compute'!$C$44-'Sell-Compute'!$C$45-IF(AND(MOD(K$51,'Sell-Compute'!$C$21)=0,K$51&lt;Rates!$D$71),'Sell-Compute'!$C$34*($G$140/4),0),0)</f>
        <v/>
      </c>
      <c r="L158" s="68">
        <f>IF(L$51&lt;=Rates!$D$71,('Sell-Compute'!$C$40*(1+'Sell-Compute'!$C$50)^MOD(L$51-1,'Sell-Compute'!$C$21)-'Sell-Compute'!$C$42-'Sell-Compute'!$C$43)*($G$140/4)-'Sell-Compute'!$C$41-'Sell-Compute'!$C$44-'Sell-Compute'!$C$45-IF(AND(MOD(L$51,'Sell-Compute'!$C$21)=0,L$51&lt;Rates!$D$71),'Sell-Compute'!$C$34*($G$140/4),0),0)</f>
        <v/>
      </c>
      <c r="M158" s="68">
        <f>IF(M$51&lt;=Rates!$D$71,('Sell-Compute'!$C$40*(1+'Sell-Compute'!$C$50)^MOD(M$51-1,'Sell-Compute'!$C$21)-'Sell-Compute'!$C$42-'Sell-Compute'!$C$43)*($G$140/4)-'Sell-Compute'!$C$41-'Sell-Compute'!$C$44-'Sell-Compute'!$C$45-IF(AND(MOD(M$51,'Sell-Compute'!$C$21)=0,M$51&lt;Rates!$D$71),'Sell-Compute'!$C$34*($G$140/4),0),0)</f>
        <v/>
      </c>
      <c r="N158" s="68">
        <f>IF(N$51&lt;=Rates!$D$71,('Sell-Compute'!$C$40*(1+'Sell-Compute'!$C$50)^MOD(N$51-1,'Sell-Compute'!$C$21)-'Sell-Compute'!$C$42-'Sell-Compute'!$C$43)*($G$140/4)-'Sell-Compute'!$C$41-'Sell-Compute'!$C$44-'Sell-Compute'!$C$45-IF(AND(MOD(N$51,'Sell-Compute'!$C$21)=0,N$51&lt;Rates!$D$71),'Sell-Compute'!$C$34*($G$140/4),0),0)</f>
        <v/>
      </c>
      <c r="O158" s="68">
        <f>IF(O$51&lt;=Rates!$D$71,('Sell-Compute'!$C$40*(1+'Sell-Compute'!$C$50)^MOD(O$51-1,'Sell-Compute'!$C$21)-'Sell-Compute'!$C$42-'Sell-Compute'!$C$43)*($G$140/4)-'Sell-Compute'!$C$41-'Sell-Compute'!$C$44-'Sell-Compute'!$C$45-IF(AND(MOD(O$51,'Sell-Compute'!$C$21)=0,O$51&lt;Rates!$D$71),'Sell-Compute'!$C$34*($G$140/4),0),0)</f>
        <v/>
      </c>
      <c r="P158" s="68">
        <f>IF(P$51&lt;=Rates!$D$71,('Sell-Compute'!$C$40*(1+'Sell-Compute'!$C$50)^MOD(P$51-1,'Sell-Compute'!$C$21)-'Sell-Compute'!$C$42-'Sell-Compute'!$C$43)*($G$140/4)-'Sell-Compute'!$C$41-'Sell-Compute'!$C$44-'Sell-Compute'!$C$45-IF(AND(MOD(P$51,'Sell-Compute'!$C$21)=0,P$51&lt;Rates!$D$71),'Sell-Compute'!$C$34*($G$140/4),0),0)</f>
        <v/>
      </c>
      <c r="Q158" s="68">
        <f>IF(Q$51&lt;=Rates!$D$71,('Sell-Compute'!$C$40*(1+'Sell-Compute'!$C$50)^MOD(Q$51-1,'Sell-Compute'!$C$21)-'Sell-Compute'!$C$42-'Sell-Compute'!$C$43)*($G$140/4)-'Sell-Compute'!$C$41-'Sell-Compute'!$C$44-'Sell-Compute'!$C$45-IF(AND(MOD(Q$51,'Sell-Compute'!$C$21)=0,Q$51&lt;Rates!$D$71),'Sell-Compute'!$C$34*($G$140/4),0),0)</f>
        <v/>
      </c>
      <c r="R158" s="68">
        <f>IF(R$51&lt;=Rates!$D$71,('Sell-Compute'!$C$40*(1+'Sell-Compute'!$C$50)^MOD(R$51-1,'Sell-Compute'!$C$21)-'Sell-Compute'!$C$42-'Sell-Compute'!$C$43)*($G$140/4)-'Sell-Compute'!$C$41-'Sell-Compute'!$C$44-'Sell-Compute'!$C$45-IF(AND(MOD(R$51,'Sell-Compute'!$C$21)=0,R$51&lt;Rates!$D$71),'Sell-Compute'!$C$34*($G$140/4),0),0)</f>
        <v/>
      </c>
      <c r="S158" s="68">
        <f>IF(S$51&lt;=Rates!$D$71,('Sell-Compute'!$C$40*(1+'Sell-Compute'!$C$50)^MOD(S$51-1,'Sell-Compute'!$C$21)-'Sell-Compute'!$C$42-'Sell-Compute'!$C$43)*($G$140/4)-'Sell-Compute'!$C$41-'Sell-Compute'!$C$44-'Sell-Compute'!$C$45-IF(AND(MOD(S$51,'Sell-Compute'!$C$21)=0,S$51&lt;Rates!$D$71),'Sell-Compute'!$C$34*($G$140/4),0),0)</f>
        <v/>
      </c>
      <c r="T158" s="68">
        <f>IF(T$51&lt;=Rates!$D$71,('Sell-Compute'!$C$40*(1+'Sell-Compute'!$C$50)^MOD(T$51-1,'Sell-Compute'!$C$21)-'Sell-Compute'!$C$42-'Sell-Compute'!$C$43)*($G$140/4)-'Sell-Compute'!$C$41-'Sell-Compute'!$C$44-'Sell-Compute'!$C$45-IF(AND(MOD(T$51,'Sell-Compute'!$C$21)=0,T$51&lt;Rates!$D$71),'Sell-Compute'!$C$34*($G$140/4),0),0)</f>
        <v/>
      </c>
      <c r="U158" s="68">
        <f>IF(U$51&lt;=Rates!$D$71,('Sell-Compute'!$C$40*(1+'Sell-Compute'!$C$50)^MOD(U$51-1,'Sell-Compute'!$C$21)-'Sell-Compute'!$C$42-'Sell-Compute'!$C$43)*($G$140/4)-'Sell-Compute'!$C$41-'Sell-Compute'!$C$44-'Sell-Compute'!$C$45-IF(AND(MOD(U$51,'Sell-Compute'!$C$21)=0,U$51&lt;Rates!$D$71),'Sell-Compute'!$C$34*($G$140/4),0),0)</f>
        <v/>
      </c>
      <c r="V158" s="68">
        <f>IF(V$51&lt;=Rates!$D$71,('Sell-Compute'!$C$40*(1+'Sell-Compute'!$C$50)^MOD(V$51-1,'Sell-Compute'!$C$21)-'Sell-Compute'!$C$42-'Sell-Compute'!$C$43)*($G$140/4)-'Sell-Compute'!$C$41-'Sell-Compute'!$C$44-'Sell-Compute'!$C$45-IF(AND(MOD(V$51,'Sell-Compute'!$C$21)=0,V$51&lt;Rates!$D$71),'Sell-Compute'!$C$34*($G$140/4),0),0)</f>
        <v/>
      </c>
      <c r="W158" s="68">
        <f>IF(W$51&lt;=Rates!$D$71,('Sell-Compute'!$C$40*(1+'Sell-Compute'!$C$50)^MOD(W$51-1,'Sell-Compute'!$C$21)-'Sell-Compute'!$C$42-'Sell-Compute'!$C$43)*($G$140/4)-'Sell-Compute'!$C$41-'Sell-Compute'!$C$44-'Sell-Compute'!$C$45-IF(AND(MOD(W$51,'Sell-Compute'!$C$21)=0,W$51&lt;Rates!$D$71),'Sell-Compute'!$C$34*($G$140/4),0),0)</f>
        <v/>
      </c>
      <c r="X158" s="68">
        <f>IF(X$51&lt;=Rates!$D$71,('Sell-Compute'!$C$40*(1+'Sell-Compute'!$C$50)^MOD(X$51-1,'Sell-Compute'!$C$21)-'Sell-Compute'!$C$42-'Sell-Compute'!$C$43)*($G$140/4)-'Sell-Compute'!$C$41-'Sell-Compute'!$C$44-'Sell-Compute'!$C$45-IF(AND(MOD(X$51,'Sell-Compute'!$C$21)=0,X$51&lt;Rates!$D$71),'Sell-Compute'!$C$34*($G$140/4),0),0)</f>
        <v/>
      </c>
      <c r="Y158" s="68">
        <f>IF(Y$51&lt;=Rates!$D$71,('Sell-Compute'!$C$40*(1+'Sell-Compute'!$C$50)^MOD(Y$51-1,'Sell-Compute'!$C$21)-'Sell-Compute'!$C$42-'Sell-Compute'!$C$43)*($G$140/4)-'Sell-Compute'!$C$41-'Sell-Compute'!$C$44-'Sell-Compute'!$C$45-IF(AND(MOD(Y$51,'Sell-Compute'!$C$21)=0,Y$51&lt;Rates!$D$71),'Sell-Compute'!$C$34*($G$140/4),0),0)</f>
        <v/>
      </c>
      <c r="Z158" s="68">
        <f>IF(Z$51&lt;=Rates!$D$71,('Sell-Compute'!$C$40*(1+'Sell-Compute'!$C$50)^MOD(Z$51-1,'Sell-Compute'!$C$21)-'Sell-Compute'!$C$42-'Sell-Compute'!$C$43)*($G$140/4)-'Sell-Compute'!$C$41-'Sell-Compute'!$C$44-'Sell-Compute'!$C$45-IF(AND(MOD(Z$51,'Sell-Compute'!$C$21)=0,Z$51&lt;Rates!$D$71),'Sell-Compute'!$C$34*($G$140/4),0),0)</f>
        <v/>
      </c>
      <c r="AA158" s="68">
        <f>IF(AA$51&lt;=Rates!$D$71,('Sell-Compute'!$C$40*(1+'Sell-Compute'!$C$50)^MOD(AA$51-1,'Sell-Compute'!$C$21)-'Sell-Compute'!$C$42-'Sell-Compute'!$C$43)*($G$140/4)-'Sell-Compute'!$C$41-'Sell-Compute'!$C$44-'Sell-Compute'!$C$45-IF(AND(MOD(AA$51,'Sell-Compute'!$C$21)=0,AA$51&lt;Rates!$D$71),'Sell-Compute'!$C$34*($G$140/4),0),0)</f>
        <v/>
      </c>
      <c r="AB158" s="68">
        <f>IF(AB$51&lt;=Rates!$D$71,('Sell-Compute'!$C$40*(1+'Sell-Compute'!$C$50)^MOD(AB$51-1,'Sell-Compute'!$C$21)-'Sell-Compute'!$C$42-'Sell-Compute'!$C$43)*($G$140/4)-'Sell-Compute'!$C$41-'Sell-Compute'!$C$44-'Sell-Compute'!$C$45-IF(AND(MOD(AB$51,'Sell-Compute'!$C$21)=0,AB$51&lt;Rates!$D$71),'Sell-Compute'!$C$34*($G$140/4),0),0)</f>
        <v/>
      </c>
    </row>
    <row r="159">
      <c r="A159" s="68" t="inlineStr">
        <is>
          <t>(c) Build fewer modules | dec</t>
        </is>
      </c>
      <c r="C159" s="68">
        <f>-'Sell-Compute'!$B$36+(1-($G$140/4))*('Sell-Compute'!$B$34+('AU-Route'!$B$31*(1+Control!$B$13)))</f>
        <v/>
      </c>
      <c r="D159" s="68">
        <f>IF(D$51&lt;=Rates!$D$71,('Sell-Compute'!$B$40*(1+'Sell-Compute'!$B$50)^MOD(D$51-1,'Sell-Compute'!$C$21)-'Sell-Compute'!$B$42-'Sell-Compute'!$B$43)*($G$140/4)-'Sell-Compute'!$B$41-'Sell-Compute'!$B$44-'Sell-Compute'!$B$45-IF(AND(MOD(D$51,'Sell-Compute'!$C$21)=0,D$51&lt;Rates!$D$71),'Sell-Compute'!$B$34*($G$140/4),0),0)</f>
        <v/>
      </c>
      <c r="E159" s="68">
        <f>IF(E$51&lt;=Rates!$D$71,('Sell-Compute'!$B$40*(1+'Sell-Compute'!$B$50)^MOD(E$51-1,'Sell-Compute'!$C$21)-'Sell-Compute'!$B$42-'Sell-Compute'!$B$43)*($G$140/4)-'Sell-Compute'!$B$41-'Sell-Compute'!$B$44-'Sell-Compute'!$B$45-IF(AND(MOD(E$51,'Sell-Compute'!$C$21)=0,E$51&lt;Rates!$D$71),'Sell-Compute'!$B$34*($G$140/4),0),0)</f>
        <v/>
      </c>
      <c r="F159" s="68">
        <f>IF(F$51&lt;=Rates!$D$71,('Sell-Compute'!$B$40*(1+'Sell-Compute'!$B$50)^MOD(F$51-1,'Sell-Compute'!$C$21)-'Sell-Compute'!$B$42-'Sell-Compute'!$B$43)*($G$140/4)-'Sell-Compute'!$B$41-'Sell-Compute'!$B$44-'Sell-Compute'!$B$45-IF(AND(MOD(F$51,'Sell-Compute'!$C$21)=0,F$51&lt;Rates!$D$71),'Sell-Compute'!$B$34*($G$140/4),0),0)</f>
        <v/>
      </c>
      <c r="G159" s="68">
        <f>IF(G$51&lt;=Rates!$D$71,('Sell-Compute'!$B$40*(1+'Sell-Compute'!$B$50)^MOD(G$51-1,'Sell-Compute'!$C$21)-'Sell-Compute'!$B$42-'Sell-Compute'!$B$43)*($G$140/4)-'Sell-Compute'!$B$41-'Sell-Compute'!$B$44-'Sell-Compute'!$B$45-IF(AND(MOD(G$51,'Sell-Compute'!$C$21)=0,G$51&lt;Rates!$D$71),'Sell-Compute'!$B$34*($G$140/4),0),0)</f>
        <v/>
      </c>
      <c r="H159" s="68">
        <f>IF(H$51&lt;=Rates!$D$71,('Sell-Compute'!$B$40*(1+'Sell-Compute'!$B$50)^MOD(H$51-1,'Sell-Compute'!$C$21)-'Sell-Compute'!$B$42-'Sell-Compute'!$B$43)*($G$140/4)-'Sell-Compute'!$B$41-'Sell-Compute'!$B$44-'Sell-Compute'!$B$45-IF(AND(MOD(H$51,'Sell-Compute'!$C$21)=0,H$51&lt;Rates!$D$71),'Sell-Compute'!$B$34*($G$140/4),0),0)</f>
        <v/>
      </c>
      <c r="I159" s="68">
        <f>IF(I$51&lt;=Rates!$D$71,('Sell-Compute'!$B$40*(1+'Sell-Compute'!$B$50)^MOD(I$51-1,'Sell-Compute'!$C$21)-'Sell-Compute'!$B$42-'Sell-Compute'!$B$43)*($G$140/4)-'Sell-Compute'!$B$41-'Sell-Compute'!$B$44-'Sell-Compute'!$B$45-IF(AND(MOD(I$51,'Sell-Compute'!$C$21)=0,I$51&lt;Rates!$D$71),'Sell-Compute'!$B$34*($G$140/4),0),0)</f>
        <v/>
      </c>
      <c r="J159" s="68">
        <f>IF(J$51&lt;=Rates!$D$71,('Sell-Compute'!$B$40*(1+'Sell-Compute'!$B$50)^MOD(J$51-1,'Sell-Compute'!$C$21)-'Sell-Compute'!$B$42-'Sell-Compute'!$B$43)*($G$140/4)-'Sell-Compute'!$B$41-'Sell-Compute'!$B$44-'Sell-Compute'!$B$45-IF(AND(MOD(J$51,'Sell-Compute'!$C$21)=0,J$51&lt;Rates!$D$71),'Sell-Compute'!$B$34*($G$140/4),0),0)</f>
        <v/>
      </c>
      <c r="K159" s="68">
        <f>IF(K$51&lt;=Rates!$D$71,('Sell-Compute'!$B$40*(1+'Sell-Compute'!$B$50)^MOD(K$51-1,'Sell-Compute'!$C$21)-'Sell-Compute'!$B$42-'Sell-Compute'!$B$43)*($G$140/4)-'Sell-Compute'!$B$41-'Sell-Compute'!$B$44-'Sell-Compute'!$B$45-IF(AND(MOD(K$51,'Sell-Compute'!$C$21)=0,K$51&lt;Rates!$D$71),'Sell-Compute'!$B$34*($G$140/4),0),0)</f>
        <v/>
      </c>
      <c r="L159" s="68">
        <f>IF(L$51&lt;=Rates!$D$71,('Sell-Compute'!$B$40*(1+'Sell-Compute'!$B$50)^MOD(L$51-1,'Sell-Compute'!$C$21)-'Sell-Compute'!$B$42-'Sell-Compute'!$B$43)*($G$140/4)-'Sell-Compute'!$B$41-'Sell-Compute'!$B$44-'Sell-Compute'!$B$45-IF(AND(MOD(L$51,'Sell-Compute'!$C$21)=0,L$51&lt;Rates!$D$71),'Sell-Compute'!$B$34*($G$140/4),0),0)</f>
        <v/>
      </c>
      <c r="M159" s="68">
        <f>IF(M$51&lt;=Rates!$D$71,('Sell-Compute'!$B$40*(1+'Sell-Compute'!$B$50)^MOD(M$51-1,'Sell-Compute'!$C$21)-'Sell-Compute'!$B$42-'Sell-Compute'!$B$43)*($G$140/4)-'Sell-Compute'!$B$41-'Sell-Compute'!$B$44-'Sell-Compute'!$B$45-IF(AND(MOD(M$51,'Sell-Compute'!$C$21)=0,M$51&lt;Rates!$D$71),'Sell-Compute'!$B$34*($G$140/4),0),0)</f>
        <v/>
      </c>
      <c r="N159" s="68">
        <f>IF(N$51&lt;=Rates!$D$71,('Sell-Compute'!$B$40*(1+'Sell-Compute'!$B$50)^MOD(N$51-1,'Sell-Compute'!$C$21)-'Sell-Compute'!$B$42-'Sell-Compute'!$B$43)*($G$140/4)-'Sell-Compute'!$B$41-'Sell-Compute'!$B$44-'Sell-Compute'!$B$45-IF(AND(MOD(N$51,'Sell-Compute'!$C$21)=0,N$51&lt;Rates!$D$71),'Sell-Compute'!$B$34*($G$140/4),0),0)</f>
        <v/>
      </c>
      <c r="O159" s="68">
        <f>IF(O$51&lt;=Rates!$D$71,('Sell-Compute'!$B$40*(1+'Sell-Compute'!$B$50)^MOD(O$51-1,'Sell-Compute'!$C$21)-'Sell-Compute'!$B$42-'Sell-Compute'!$B$43)*($G$140/4)-'Sell-Compute'!$B$41-'Sell-Compute'!$B$44-'Sell-Compute'!$B$45-IF(AND(MOD(O$51,'Sell-Compute'!$C$21)=0,O$51&lt;Rates!$D$71),'Sell-Compute'!$B$34*($G$140/4),0),0)</f>
        <v/>
      </c>
      <c r="P159" s="68">
        <f>IF(P$51&lt;=Rates!$D$71,('Sell-Compute'!$B$40*(1+'Sell-Compute'!$B$50)^MOD(P$51-1,'Sell-Compute'!$C$21)-'Sell-Compute'!$B$42-'Sell-Compute'!$B$43)*($G$140/4)-'Sell-Compute'!$B$41-'Sell-Compute'!$B$44-'Sell-Compute'!$B$45-IF(AND(MOD(P$51,'Sell-Compute'!$C$21)=0,P$51&lt;Rates!$D$71),'Sell-Compute'!$B$34*($G$140/4),0),0)</f>
        <v/>
      </c>
      <c r="Q159" s="68">
        <f>IF(Q$51&lt;=Rates!$D$71,('Sell-Compute'!$B$40*(1+'Sell-Compute'!$B$50)^MOD(Q$51-1,'Sell-Compute'!$C$21)-'Sell-Compute'!$B$42-'Sell-Compute'!$B$43)*($G$140/4)-'Sell-Compute'!$B$41-'Sell-Compute'!$B$44-'Sell-Compute'!$B$45-IF(AND(MOD(Q$51,'Sell-Compute'!$C$21)=0,Q$51&lt;Rates!$D$71),'Sell-Compute'!$B$34*($G$140/4),0),0)</f>
        <v/>
      </c>
      <c r="R159" s="68">
        <f>IF(R$51&lt;=Rates!$D$71,('Sell-Compute'!$B$40*(1+'Sell-Compute'!$B$50)^MOD(R$51-1,'Sell-Compute'!$C$21)-'Sell-Compute'!$B$42-'Sell-Compute'!$B$43)*($G$140/4)-'Sell-Compute'!$B$41-'Sell-Compute'!$B$44-'Sell-Compute'!$B$45-IF(AND(MOD(R$51,'Sell-Compute'!$C$21)=0,R$51&lt;Rates!$D$71),'Sell-Compute'!$B$34*($G$140/4),0),0)</f>
        <v/>
      </c>
      <c r="S159" s="68">
        <f>IF(S$51&lt;=Rates!$D$71,('Sell-Compute'!$B$40*(1+'Sell-Compute'!$B$50)^MOD(S$51-1,'Sell-Compute'!$C$21)-'Sell-Compute'!$B$42-'Sell-Compute'!$B$43)*($G$140/4)-'Sell-Compute'!$B$41-'Sell-Compute'!$B$44-'Sell-Compute'!$B$45-IF(AND(MOD(S$51,'Sell-Compute'!$C$21)=0,S$51&lt;Rates!$D$71),'Sell-Compute'!$B$34*($G$140/4),0),0)</f>
        <v/>
      </c>
      <c r="T159" s="68">
        <f>IF(T$51&lt;=Rates!$D$71,('Sell-Compute'!$B$40*(1+'Sell-Compute'!$B$50)^MOD(T$51-1,'Sell-Compute'!$C$21)-'Sell-Compute'!$B$42-'Sell-Compute'!$B$43)*($G$140/4)-'Sell-Compute'!$B$41-'Sell-Compute'!$B$44-'Sell-Compute'!$B$45-IF(AND(MOD(T$51,'Sell-Compute'!$C$21)=0,T$51&lt;Rates!$D$71),'Sell-Compute'!$B$34*($G$140/4),0),0)</f>
        <v/>
      </c>
      <c r="U159" s="68">
        <f>IF(U$51&lt;=Rates!$D$71,('Sell-Compute'!$B$40*(1+'Sell-Compute'!$B$50)^MOD(U$51-1,'Sell-Compute'!$C$21)-'Sell-Compute'!$B$42-'Sell-Compute'!$B$43)*($G$140/4)-'Sell-Compute'!$B$41-'Sell-Compute'!$B$44-'Sell-Compute'!$B$45-IF(AND(MOD(U$51,'Sell-Compute'!$C$21)=0,U$51&lt;Rates!$D$71),'Sell-Compute'!$B$34*($G$140/4),0),0)</f>
        <v/>
      </c>
      <c r="V159" s="68">
        <f>IF(V$51&lt;=Rates!$D$71,('Sell-Compute'!$B$40*(1+'Sell-Compute'!$B$50)^MOD(V$51-1,'Sell-Compute'!$C$21)-'Sell-Compute'!$B$42-'Sell-Compute'!$B$43)*($G$140/4)-'Sell-Compute'!$B$41-'Sell-Compute'!$B$44-'Sell-Compute'!$B$45-IF(AND(MOD(V$51,'Sell-Compute'!$C$21)=0,V$51&lt;Rates!$D$71),'Sell-Compute'!$B$34*($G$140/4),0),0)</f>
        <v/>
      </c>
      <c r="W159" s="68">
        <f>IF(W$51&lt;=Rates!$D$71,('Sell-Compute'!$B$40*(1+'Sell-Compute'!$B$50)^MOD(W$51-1,'Sell-Compute'!$C$21)-'Sell-Compute'!$B$42-'Sell-Compute'!$B$43)*($G$140/4)-'Sell-Compute'!$B$41-'Sell-Compute'!$B$44-'Sell-Compute'!$B$45-IF(AND(MOD(W$51,'Sell-Compute'!$C$21)=0,W$51&lt;Rates!$D$71),'Sell-Compute'!$B$34*($G$140/4),0),0)</f>
        <v/>
      </c>
      <c r="X159" s="68">
        <f>IF(X$51&lt;=Rates!$D$71,('Sell-Compute'!$B$40*(1+'Sell-Compute'!$B$50)^MOD(X$51-1,'Sell-Compute'!$C$21)-'Sell-Compute'!$B$42-'Sell-Compute'!$B$43)*($G$140/4)-'Sell-Compute'!$B$41-'Sell-Compute'!$B$44-'Sell-Compute'!$B$45-IF(AND(MOD(X$51,'Sell-Compute'!$C$21)=0,X$51&lt;Rates!$D$71),'Sell-Compute'!$B$34*($G$140/4),0),0)</f>
        <v/>
      </c>
      <c r="Y159" s="68">
        <f>IF(Y$51&lt;=Rates!$D$71,('Sell-Compute'!$B$40*(1+'Sell-Compute'!$B$50)^MOD(Y$51-1,'Sell-Compute'!$C$21)-'Sell-Compute'!$B$42-'Sell-Compute'!$B$43)*($G$140/4)-'Sell-Compute'!$B$41-'Sell-Compute'!$B$44-'Sell-Compute'!$B$45-IF(AND(MOD(Y$51,'Sell-Compute'!$C$21)=0,Y$51&lt;Rates!$D$71),'Sell-Compute'!$B$34*($G$140/4),0),0)</f>
        <v/>
      </c>
      <c r="Z159" s="68">
        <f>IF(Z$51&lt;=Rates!$D$71,('Sell-Compute'!$B$40*(1+'Sell-Compute'!$B$50)^MOD(Z$51-1,'Sell-Compute'!$C$21)-'Sell-Compute'!$B$42-'Sell-Compute'!$B$43)*($G$140/4)-'Sell-Compute'!$B$41-'Sell-Compute'!$B$44-'Sell-Compute'!$B$45-IF(AND(MOD(Z$51,'Sell-Compute'!$C$21)=0,Z$51&lt;Rates!$D$71),'Sell-Compute'!$B$34*($G$140/4),0),0)</f>
        <v/>
      </c>
      <c r="AA159" s="68">
        <f>IF(AA$51&lt;=Rates!$D$71,('Sell-Compute'!$B$40*(1+'Sell-Compute'!$B$50)^MOD(AA$51-1,'Sell-Compute'!$C$21)-'Sell-Compute'!$B$42-'Sell-Compute'!$B$43)*($G$140/4)-'Sell-Compute'!$B$41-'Sell-Compute'!$B$44-'Sell-Compute'!$B$45-IF(AND(MOD(AA$51,'Sell-Compute'!$C$21)=0,AA$51&lt;Rates!$D$71),'Sell-Compute'!$B$34*($G$140/4),0),0)</f>
        <v/>
      </c>
      <c r="AB159" s="68">
        <f>IF(AB$51&lt;=Rates!$D$71,('Sell-Compute'!$B$40*(1+'Sell-Compute'!$B$50)^MOD(AB$51-1,'Sell-Compute'!$C$21)-'Sell-Compute'!$B$42-'Sell-Compute'!$B$43)*($G$140/4)-'Sell-Compute'!$B$41-'Sell-Compute'!$B$44-'Sell-Compute'!$B$45-IF(AND(MOD(AB$51,'Sell-Compute'!$C$21)=0,AB$51&lt;Rates!$D$71),'Sell-Compute'!$B$34*($G$140/4),0),0)</f>
        <v/>
      </c>
    </row>
    <row r="160">
      <c r="A160" s="68" t="inlineStr">
        <is>
          <t>(c) Build fewer modules | colo</t>
        </is>
      </c>
      <c r="C160" s="68">
        <f>-'Sell-Compute'!$I$36+(1-($G$140/4))*('AU-Route'!$B$31*(1+Control!$B$13))</f>
        <v/>
      </c>
      <c r="D160" s="68">
        <f>IF(D$51&lt;=Rates!$D$71,'Sell-Compute'!$I$46-'Sell-Compute'!$I$40*(1-($G$140/4)),0)</f>
        <v/>
      </c>
      <c r="E160" s="68">
        <f>IF(E$51&lt;=Rates!$D$71,'Sell-Compute'!$I$46-'Sell-Compute'!$I$40*(1-($G$140/4)),0)</f>
        <v/>
      </c>
      <c r="F160" s="68">
        <f>IF(F$51&lt;=Rates!$D$71,'Sell-Compute'!$I$46-'Sell-Compute'!$I$40*(1-($G$140/4)),0)</f>
        <v/>
      </c>
      <c r="G160" s="68">
        <f>IF(G$51&lt;=Rates!$D$71,'Sell-Compute'!$I$46-'Sell-Compute'!$I$40*(1-($G$140/4)),0)</f>
        <v/>
      </c>
      <c r="H160" s="68">
        <f>IF(H$51&lt;=Rates!$D$71,'Sell-Compute'!$I$46-'Sell-Compute'!$I$40*(1-($G$140/4)),0)</f>
        <v/>
      </c>
      <c r="I160" s="68">
        <f>IF(I$51&lt;=Rates!$D$71,'Sell-Compute'!$I$46-'Sell-Compute'!$I$40*(1-($G$140/4)),0)</f>
        <v/>
      </c>
      <c r="J160" s="68">
        <f>IF(J$51&lt;=Rates!$D$71,'Sell-Compute'!$I$46-'Sell-Compute'!$I$40*(1-($G$140/4)),0)</f>
        <v/>
      </c>
      <c r="K160" s="68">
        <f>IF(K$51&lt;=Rates!$D$71,'Sell-Compute'!$I$46-'Sell-Compute'!$I$40*(1-($G$140/4)),0)</f>
        <v/>
      </c>
      <c r="L160" s="68">
        <f>IF(L$51&lt;=Rates!$D$71,'Sell-Compute'!$I$46-'Sell-Compute'!$I$40*(1-($G$140/4)),0)</f>
        <v/>
      </c>
      <c r="M160" s="68">
        <f>IF(M$51&lt;=Rates!$D$71,'Sell-Compute'!$I$46-'Sell-Compute'!$I$40*(1-($G$140/4)),0)</f>
        <v/>
      </c>
      <c r="N160" s="68">
        <f>IF(N$51&lt;=Rates!$D$71,'Sell-Compute'!$I$46-'Sell-Compute'!$I$40*(1-($G$140/4)),0)</f>
        <v/>
      </c>
      <c r="O160" s="68">
        <f>IF(O$51&lt;=Rates!$D$71,'Sell-Compute'!$I$46-'Sell-Compute'!$I$40*(1-($G$140/4)),0)</f>
        <v/>
      </c>
      <c r="P160" s="68">
        <f>IF(P$51&lt;=Rates!$D$71,'Sell-Compute'!$I$46-'Sell-Compute'!$I$40*(1-($G$140/4)),0)</f>
        <v/>
      </c>
      <c r="Q160" s="68">
        <f>IF(Q$51&lt;=Rates!$D$71,'Sell-Compute'!$I$46-'Sell-Compute'!$I$40*(1-($G$140/4)),0)</f>
        <v/>
      </c>
      <c r="R160" s="68">
        <f>IF(R$51&lt;=Rates!$D$71,'Sell-Compute'!$I$46-'Sell-Compute'!$I$40*(1-($G$140/4)),0)</f>
        <v/>
      </c>
      <c r="S160" s="68">
        <f>IF(S$51&lt;=Rates!$D$71,'Sell-Compute'!$I$46-'Sell-Compute'!$I$40*(1-($G$140/4)),0)</f>
        <v/>
      </c>
      <c r="T160" s="68">
        <f>IF(T$51&lt;=Rates!$D$71,'Sell-Compute'!$I$46-'Sell-Compute'!$I$40*(1-($G$140/4)),0)</f>
        <v/>
      </c>
      <c r="U160" s="68">
        <f>IF(U$51&lt;=Rates!$D$71,'Sell-Compute'!$I$46-'Sell-Compute'!$I$40*(1-($G$140/4)),0)</f>
        <v/>
      </c>
      <c r="V160" s="68">
        <f>IF(V$51&lt;=Rates!$D$71,'Sell-Compute'!$I$46-'Sell-Compute'!$I$40*(1-($G$140/4)),0)</f>
        <v/>
      </c>
      <c r="W160" s="68">
        <f>IF(W$51&lt;=Rates!$D$71,'Sell-Compute'!$I$46-'Sell-Compute'!$I$40*(1-($G$140/4)),0)</f>
        <v/>
      </c>
      <c r="X160" s="68">
        <f>IF(X$51&lt;=Rates!$D$71,'Sell-Compute'!$I$46-'Sell-Compute'!$I$40*(1-($G$140/4)),0)</f>
        <v/>
      </c>
      <c r="Y160" s="68">
        <f>IF(Y$51&lt;=Rates!$D$71,'Sell-Compute'!$I$46-'Sell-Compute'!$I$40*(1-($G$140/4)),0)</f>
        <v/>
      </c>
      <c r="Z160" s="68">
        <f>IF(Z$51&lt;=Rates!$D$71,'Sell-Compute'!$I$46-'Sell-Compute'!$I$40*(1-($G$140/4)),0)</f>
        <v/>
      </c>
      <c r="AA160" s="68">
        <f>IF(AA$51&lt;=Rates!$D$71,'Sell-Compute'!$I$46-'Sell-Compute'!$I$40*(1-($G$140/4)),0)</f>
        <v/>
      </c>
      <c r="AB160" s="68">
        <f>IF(AB$51&lt;=Rates!$D$71,'Sell-Compute'!$I$46-'Sell-Compute'!$I$40*(1-($G$140/4)),0)</f>
        <v/>
      </c>
    </row>
    <row r="161"/>
    <row r="162">
      <c r="A162" s="68" t="inlineStr">
        <is>
          <t>rate: EGS base case 6.45 degC/yr</t>
        </is>
      </c>
      <c r="B162" s="123">
        <f>Decline!$C$10</f>
        <v/>
      </c>
      <c r="D162" s="68" t="inlineStr">
        <is>
          <t>k (a)</t>
        </is>
      </c>
      <c r="E162" s="68">
        <f>IF(AA$163&lt;=0,"not feasible",MAX(0,CEILING(Decline!$C$20/AA$163-1E-9,1)-Decline!$C$19))</f>
        <v/>
      </c>
      <c r="F162" s="68" t="inlineStr">
        <is>
          <t>N (c)</t>
        </is>
      </c>
      <c r="G162" s="68">
        <f>MAX(0,MIN(4,INT(MIN(Decline!$C$20,Decline!$C$19*MAX(0,AA$163))*Decline!$C$21/Decline!$C$22+1E-9)))</f>
        <v/>
      </c>
    </row>
    <row r="163">
      <c r="A163" s="68" t="inlineStr">
        <is>
          <t>capability per producer by age (MW net)</t>
        </is>
      </c>
      <c r="C163" s="68">
        <f>(Rates!$D$66*((Decline!$C$15-$B$162*C$51)-Decline!$C$16-(Decline!$C$16+273.15)*LN(((Decline!$C$15-$B$162*C$51)+273.15)/(Decline!$C$16+273.15)))/Decline!$C$23*Decline!$C$24-Decline!$C$25)</f>
        <v/>
      </c>
      <c r="D163" s="68">
        <f>(Rates!$D$66*((Decline!$C$15-$B$162*D$51)-Decline!$C$16-(Decline!$C$16+273.15)*LN(((Decline!$C$15-$B$162*D$51)+273.15)/(Decline!$C$16+273.15)))/Decline!$C$23*Decline!$C$24-Decline!$C$25)</f>
        <v/>
      </c>
      <c r="E163" s="68">
        <f>(Rates!$D$66*((Decline!$C$15-$B$162*E$51)-Decline!$C$16-(Decline!$C$16+273.15)*LN(((Decline!$C$15-$B$162*E$51)+273.15)/(Decline!$C$16+273.15)))/Decline!$C$23*Decline!$C$24-Decline!$C$25)</f>
        <v/>
      </c>
      <c r="F163" s="68">
        <f>(Rates!$D$66*((Decline!$C$15-$B$162*F$51)-Decline!$C$16-(Decline!$C$16+273.15)*LN(((Decline!$C$15-$B$162*F$51)+273.15)/(Decline!$C$16+273.15)))/Decline!$C$23*Decline!$C$24-Decline!$C$25)</f>
        <v/>
      </c>
      <c r="G163" s="68">
        <f>(Rates!$D$66*((Decline!$C$15-$B$162*G$51)-Decline!$C$16-(Decline!$C$16+273.15)*LN(((Decline!$C$15-$B$162*G$51)+273.15)/(Decline!$C$16+273.15)))/Decline!$C$23*Decline!$C$24-Decline!$C$25)</f>
        <v/>
      </c>
      <c r="H163" s="68">
        <f>(Rates!$D$66*((Decline!$C$15-$B$162*H$51)-Decline!$C$16-(Decline!$C$16+273.15)*LN(((Decline!$C$15-$B$162*H$51)+273.15)/(Decline!$C$16+273.15)))/Decline!$C$23*Decline!$C$24-Decline!$C$25)</f>
        <v/>
      </c>
      <c r="I163" s="68">
        <f>(Rates!$D$66*((Decline!$C$15-$B$162*I$51)-Decline!$C$16-(Decline!$C$16+273.15)*LN(((Decline!$C$15-$B$162*I$51)+273.15)/(Decline!$C$16+273.15)))/Decline!$C$23*Decline!$C$24-Decline!$C$25)</f>
        <v/>
      </c>
      <c r="J163" s="68">
        <f>(Rates!$D$66*((Decline!$C$15-$B$162*J$51)-Decline!$C$16-(Decline!$C$16+273.15)*LN(((Decline!$C$15-$B$162*J$51)+273.15)/(Decline!$C$16+273.15)))/Decline!$C$23*Decline!$C$24-Decline!$C$25)</f>
        <v/>
      </c>
      <c r="K163" s="68">
        <f>(Rates!$D$66*((Decline!$C$15-$B$162*K$51)-Decline!$C$16-(Decline!$C$16+273.15)*LN(((Decline!$C$15-$B$162*K$51)+273.15)/(Decline!$C$16+273.15)))/Decline!$C$23*Decline!$C$24-Decline!$C$25)</f>
        <v/>
      </c>
      <c r="L163" s="68">
        <f>(Rates!$D$66*((Decline!$C$15-$B$162*L$51)-Decline!$C$16-(Decline!$C$16+273.15)*LN(((Decline!$C$15-$B$162*L$51)+273.15)/(Decline!$C$16+273.15)))/Decline!$C$23*Decline!$C$24-Decline!$C$25)</f>
        <v/>
      </c>
      <c r="M163" s="68">
        <f>(Rates!$D$66*((Decline!$C$15-$B$162*M$51)-Decline!$C$16-(Decline!$C$16+273.15)*LN(((Decline!$C$15-$B$162*M$51)+273.15)/(Decline!$C$16+273.15)))/Decline!$C$23*Decline!$C$24-Decline!$C$25)</f>
        <v/>
      </c>
      <c r="N163" s="68">
        <f>(Rates!$D$66*((Decline!$C$15-$B$162*N$51)-Decline!$C$16-(Decline!$C$16+273.15)*LN(((Decline!$C$15-$B$162*N$51)+273.15)/(Decline!$C$16+273.15)))/Decline!$C$23*Decline!$C$24-Decline!$C$25)</f>
        <v/>
      </c>
      <c r="O163" s="68">
        <f>(Rates!$D$66*((Decline!$C$15-$B$162*O$51)-Decline!$C$16-(Decline!$C$16+273.15)*LN(((Decline!$C$15-$B$162*O$51)+273.15)/(Decline!$C$16+273.15)))/Decline!$C$23*Decline!$C$24-Decline!$C$25)</f>
        <v/>
      </c>
      <c r="P163" s="68">
        <f>(Rates!$D$66*((Decline!$C$15-$B$162*P$51)-Decline!$C$16-(Decline!$C$16+273.15)*LN(((Decline!$C$15-$B$162*P$51)+273.15)/(Decline!$C$16+273.15)))/Decline!$C$23*Decline!$C$24-Decline!$C$25)</f>
        <v/>
      </c>
      <c r="Q163" s="68">
        <f>(Rates!$D$66*((Decline!$C$15-$B$162*Q$51)-Decline!$C$16-(Decline!$C$16+273.15)*LN(((Decline!$C$15-$B$162*Q$51)+273.15)/(Decline!$C$16+273.15)))/Decline!$C$23*Decline!$C$24-Decline!$C$25)</f>
        <v/>
      </c>
      <c r="R163" s="68">
        <f>(Rates!$D$66*((Decline!$C$15-$B$162*R$51)-Decline!$C$16-(Decline!$C$16+273.15)*LN(((Decline!$C$15-$B$162*R$51)+273.15)/(Decline!$C$16+273.15)))/Decline!$C$23*Decline!$C$24-Decline!$C$25)</f>
        <v/>
      </c>
      <c r="S163" s="68">
        <f>(Rates!$D$66*((Decline!$C$15-$B$162*S$51)-Decline!$C$16-(Decline!$C$16+273.15)*LN(((Decline!$C$15-$B$162*S$51)+273.15)/(Decline!$C$16+273.15)))/Decline!$C$23*Decline!$C$24-Decline!$C$25)</f>
        <v/>
      </c>
      <c r="T163" s="68">
        <f>(Rates!$D$66*((Decline!$C$15-$B$162*T$51)-Decline!$C$16-(Decline!$C$16+273.15)*LN(((Decline!$C$15-$B$162*T$51)+273.15)/(Decline!$C$16+273.15)))/Decline!$C$23*Decline!$C$24-Decline!$C$25)</f>
        <v/>
      </c>
      <c r="U163" s="68">
        <f>(Rates!$D$66*((Decline!$C$15-$B$162*U$51)-Decline!$C$16-(Decline!$C$16+273.15)*LN(((Decline!$C$15-$B$162*U$51)+273.15)/(Decline!$C$16+273.15)))/Decline!$C$23*Decline!$C$24-Decline!$C$25)</f>
        <v/>
      </c>
      <c r="V163" s="68">
        <f>(Rates!$D$66*((Decline!$C$15-$B$162*V$51)-Decline!$C$16-(Decline!$C$16+273.15)*LN(((Decline!$C$15-$B$162*V$51)+273.15)/(Decline!$C$16+273.15)))/Decline!$C$23*Decline!$C$24-Decline!$C$25)</f>
        <v/>
      </c>
      <c r="W163" s="68">
        <f>(Rates!$D$66*((Decline!$C$15-$B$162*W$51)-Decline!$C$16-(Decline!$C$16+273.15)*LN(((Decline!$C$15-$B$162*W$51)+273.15)/(Decline!$C$16+273.15)))/Decline!$C$23*Decline!$C$24-Decline!$C$25)</f>
        <v/>
      </c>
      <c r="X163" s="68">
        <f>(Rates!$D$66*((Decline!$C$15-$B$162*X$51)-Decline!$C$16-(Decline!$C$16+273.15)*LN(((Decline!$C$15-$B$162*X$51)+273.15)/(Decline!$C$16+273.15)))/Decline!$C$23*Decline!$C$24-Decline!$C$25)</f>
        <v/>
      </c>
      <c r="Y163" s="68">
        <f>(Rates!$D$66*((Decline!$C$15-$B$162*Y$51)-Decline!$C$16-(Decline!$C$16+273.15)*LN(((Decline!$C$15-$B$162*Y$51)+273.15)/(Decline!$C$16+273.15)))/Decline!$C$23*Decline!$C$24-Decline!$C$25)</f>
        <v/>
      </c>
      <c r="Z163" s="68">
        <f>(Rates!$D$66*((Decline!$C$15-$B$162*Z$51)-Decline!$C$16-(Decline!$C$16+273.15)*LN(((Decline!$C$15-$B$162*Z$51)+273.15)/(Decline!$C$16+273.15)))/Decline!$C$23*Decline!$C$24-Decline!$C$25)</f>
        <v/>
      </c>
      <c r="AA163" s="68">
        <f>(Rates!$D$66*((Decline!$C$15-$B$162*AA$51)-Decline!$C$16-(Decline!$C$16+273.15)*LN(((Decline!$C$15-$B$162*AA$51)+273.15)/(Decline!$C$16+273.15)))/Decline!$C$23*Decline!$C$24-Decline!$C$25)</f>
        <v/>
      </c>
      <c r="AB163" s="68">
        <f>(Rates!$D$66*((Decline!$C$15-$B$162*AB$51)-Decline!$C$16-(Decline!$C$16+273.15)*LN(((Decline!$C$15-$B$162*AB$51)+273.15)/(Decline!$C$16+273.15)))/Decline!$C$23*Decline!$C$24-Decline!$C$25)</f>
        <v/>
      </c>
    </row>
    <row r="164">
      <c r="A164" s="68" t="inlineStr">
        <is>
          <t>(b) capability before new wells</t>
        </is>
      </c>
      <c r="D164" s="68">
        <f>Decline!$C$19*C$163</f>
        <v/>
      </c>
      <c r="E164" s="68">
        <f>Decline!$C$19*D$163</f>
        <v/>
      </c>
      <c r="F164" s="68">
        <f>Decline!$C$19*E$163+E165*D$163</f>
        <v/>
      </c>
      <c r="G164" s="68">
        <f>Decline!$C$19*F$163+E165*E$163+F165*D$163</f>
        <v/>
      </c>
      <c r="H164" s="68">
        <f>Decline!$C$19*G$163+E165*F$163+F165*E$163+G165*D$163</f>
        <v/>
      </c>
      <c r="I164" s="68">
        <f>Decline!$C$19*H$163+E165*G$163+F165*F$163+G165*E$163+H165*D$163</f>
        <v/>
      </c>
      <c r="J164" s="68">
        <f>Decline!$C$19*I$163+E165*H$163+F165*G$163+G165*F$163+H165*E$163+I165*D$163</f>
        <v/>
      </c>
      <c r="K164" s="68">
        <f>Decline!$C$19*J$163+E165*I$163+F165*H$163+G165*G$163+H165*F$163+I165*E$163+J165*D$163</f>
        <v/>
      </c>
      <c r="L164" s="68">
        <f>Decline!$C$19*K$163+E165*J$163+F165*I$163+G165*H$163+H165*G$163+I165*F$163+J165*E$163+K165*D$163</f>
        <v/>
      </c>
      <c r="M164" s="68">
        <f>Decline!$C$19*L$163+E165*K$163+F165*J$163+G165*I$163+H165*H$163+I165*G$163+J165*F$163+K165*E$163+L165*D$163</f>
        <v/>
      </c>
      <c r="N164" s="68">
        <f>Decline!$C$19*M$163+E165*L$163+F165*K$163+G165*J$163+H165*I$163+I165*H$163+J165*G$163+K165*F$163+L165*E$163+M165*D$163</f>
        <v/>
      </c>
      <c r="O164" s="68">
        <f>Decline!$C$19*N$163+E165*M$163+F165*L$163+G165*K$163+H165*J$163+I165*I$163+J165*H$163+K165*G$163+L165*F$163+M165*E$163+N165*D$163</f>
        <v/>
      </c>
      <c r="P164" s="68">
        <f>Decline!$C$19*O$163+E165*N$163+F165*M$163+G165*L$163+H165*K$163+I165*J$163+J165*I$163+K165*H$163+L165*G$163+M165*F$163+N165*E$163+O165*D$163</f>
        <v/>
      </c>
      <c r="Q164" s="68">
        <f>Decline!$C$19*P$163+E165*O$163+F165*N$163+G165*M$163+H165*L$163+I165*K$163+J165*J$163+K165*I$163+L165*H$163+M165*G$163+N165*F$163+O165*E$163+P165*D$163</f>
        <v/>
      </c>
      <c r="R164" s="68">
        <f>Decline!$C$19*Q$163+E165*P$163+F165*O$163+G165*N$163+H165*M$163+I165*L$163+J165*K$163+K165*J$163+L165*I$163+M165*H$163+N165*G$163+O165*F$163+P165*E$163+Q165*D$163</f>
        <v/>
      </c>
      <c r="S164" s="68">
        <f>Decline!$C$19*R$163+E165*Q$163+F165*P$163+G165*O$163+H165*N$163+I165*M$163+J165*L$163+K165*K$163+L165*J$163+M165*I$163+N165*H$163+O165*G$163+P165*F$163+Q165*E$163+R165*D$163</f>
        <v/>
      </c>
      <c r="T164" s="68">
        <f>Decline!$C$19*S$163+E165*R$163+F165*Q$163+G165*P$163+H165*O$163+I165*N$163+J165*M$163+K165*L$163+L165*K$163+M165*J$163+N165*I$163+O165*H$163+P165*G$163+Q165*F$163+R165*E$163+S165*D$163</f>
        <v/>
      </c>
      <c r="U164" s="68">
        <f>Decline!$C$19*T$163+E165*S$163+F165*R$163+G165*Q$163+H165*P$163+I165*O$163+J165*N$163+K165*M$163+L165*L$163+M165*K$163+N165*J$163+O165*I$163+P165*H$163+Q165*G$163+R165*F$163+S165*E$163+T165*D$163</f>
        <v/>
      </c>
      <c r="V164" s="68">
        <f>Decline!$C$19*U$163+E165*T$163+F165*S$163+G165*R$163+H165*Q$163+I165*P$163+J165*O$163+K165*N$163+L165*M$163+M165*L$163+N165*K$163+O165*J$163+P165*I$163+Q165*H$163+R165*G$163+S165*F$163+T165*E$163+U165*D$163</f>
        <v/>
      </c>
      <c r="W164" s="68">
        <f>Decline!$C$19*V$163+E165*U$163+F165*T$163+G165*S$163+H165*R$163+I165*Q$163+J165*P$163+K165*O$163+L165*N$163+M165*M$163+N165*L$163+O165*K$163+P165*J$163+Q165*I$163+R165*H$163+S165*G$163+T165*F$163+U165*E$163+V165*D$163</f>
        <v/>
      </c>
      <c r="X164" s="68">
        <f>Decline!$C$19*W$163+E165*V$163+F165*U$163+G165*T$163+H165*S$163+I165*R$163+J165*Q$163+K165*P$163+L165*O$163+M165*N$163+N165*M$163+O165*L$163+P165*K$163+Q165*J$163+R165*I$163+S165*H$163+T165*G$163+U165*F$163+V165*E$163+W165*D$163</f>
        <v/>
      </c>
      <c r="Y164" s="68">
        <f>Decline!$C$19*X$163+E165*W$163+F165*V$163+G165*U$163+H165*T$163+I165*S$163+J165*R$163+K165*Q$163+L165*P$163+M165*O$163+N165*N$163+O165*M$163+P165*L$163+Q165*K$163+R165*J$163+S165*I$163+T165*H$163+U165*G$163+V165*F$163+W165*E$163+X165*D$163</f>
        <v/>
      </c>
      <c r="Z164" s="68">
        <f>Decline!$C$19*Y$163+E165*X$163+F165*W$163+G165*V$163+H165*U$163+I165*T$163+J165*S$163+K165*R$163+L165*Q$163+M165*P$163+N165*O$163+O165*N$163+P165*M$163+Q165*L$163+R165*K$163+S165*J$163+T165*I$163+U165*H$163+V165*G$163+W165*F$163+X165*E$163+Y165*D$163</f>
        <v/>
      </c>
      <c r="AA164" s="68">
        <f>Decline!$C$19*Z$163+E165*Y$163+F165*X$163+G165*W$163+H165*V$163+I165*U$163+J165*T$163+K165*S$163+L165*R$163+M165*Q$163+N165*P$163+O165*O$163+P165*N$163+Q165*M$163+R165*L$163+S165*K$163+T165*J$163+U165*I$163+V165*H$163+W165*G$163+X165*F$163+Y165*E$163+Z165*D$163</f>
        <v/>
      </c>
      <c r="AB164" s="68">
        <f>Decline!$C$19*AA$163+E165*Z$163+F165*Y$163+G165*X$163+H165*W$163+I165*V$163+J165*U$163+K165*T$163+L165*S$163+M165*R$163+N165*Q$163+O165*P$163+P165*O$163+Q165*N$163+R165*M$163+S165*L$163+T165*K$163+U165*J$163+V165*I$163+W165*H$163+X165*G$163+Y165*F$163+Z165*E$163+AA165*D$163</f>
        <v/>
      </c>
    </row>
    <row r="165">
      <c r="A165" s="68" t="inlineStr">
        <is>
          <t>(b) doublets online this year</t>
        </is>
      </c>
      <c r="C165" s="68" t="n">
        <v>0</v>
      </c>
      <c r="D165" s="68" t="n">
        <v>0</v>
      </c>
      <c r="E165" s="68">
        <f>IF(E164&lt;Decline!$C$20-1E-9,IF(C$163&lt;=0,0,CEILING((Decline!$C$20-E164)/C$163,1)),0)</f>
        <v/>
      </c>
      <c r="F165" s="68">
        <f>IF(F164&lt;Decline!$C$20-1E-9,IF(C$163&lt;=0,0,CEILING((Decline!$C$20-F164)/C$163,1)),0)</f>
        <v/>
      </c>
      <c r="G165" s="68">
        <f>IF(G164&lt;Decline!$C$20-1E-9,IF(C$163&lt;=0,0,CEILING((Decline!$C$20-G164)/C$163,1)),0)</f>
        <v/>
      </c>
      <c r="H165" s="68">
        <f>IF(H164&lt;Decline!$C$20-1E-9,IF(C$163&lt;=0,0,CEILING((Decline!$C$20-H164)/C$163,1)),0)</f>
        <v/>
      </c>
      <c r="I165" s="68">
        <f>IF(I164&lt;Decline!$C$20-1E-9,IF(C$163&lt;=0,0,CEILING((Decline!$C$20-I164)/C$163,1)),0)</f>
        <v/>
      </c>
      <c r="J165" s="68">
        <f>IF(J164&lt;Decline!$C$20-1E-9,IF(C$163&lt;=0,0,CEILING((Decline!$C$20-J164)/C$163,1)),0)</f>
        <v/>
      </c>
      <c r="K165" s="68">
        <f>IF(K164&lt;Decline!$C$20-1E-9,IF(C$163&lt;=0,0,CEILING((Decline!$C$20-K164)/C$163,1)),0)</f>
        <v/>
      </c>
      <c r="L165" s="68">
        <f>IF(L164&lt;Decline!$C$20-1E-9,IF(C$163&lt;=0,0,CEILING((Decline!$C$20-L164)/C$163,1)),0)</f>
        <v/>
      </c>
      <c r="M165" s="68">
        <f>IF(M164&lt;Decline!$C$20-1E-9,IF(C$163&lt;=0,0,CEILING((Decline!$C$20-M164)/C$163,1)),0)</f>
        <v/>
      </c>
      <c r="N165" s="68">
        <f>IF(N164&lt;Decline!$C$20-1E-9,IF(C$163&lt;=0,0,CEILING((Decline!$C$20-N164)/C$163,1)),0)</f>
        <v/>
      </c>
      <c r="O165" s="68">
        <f>IF(O164&lt;Decline!$C$20-1E-9,IF(C$163&lt;=0,0,CEILING((Decline!$C$20-O164)/C$163,1)),0)</f>
        <v/>
      </c>
      <c r="P165" s="68">
        <f>IF(P164&lt;Decline!$C$20-1E-9,IF(C$163&lt;=0,0,CEILING((Decline!$C$20-P164)/C$163,1)),0)</f>
        <v/>
      </c>
      <c r="Q165" s="68">
        <f>IF(Q164&lt;Decline!$C$20-1E-9,IF(C$163&lt;=0,0,CEILING((Decline!$C$20-Q164)/C$163,1)),0)</f>
        <v/>
      </c>
      <c r="R165" s="68">
        <f>IF(R164&lt;Decline!$C$20-1E-9,IF(C$163&lt;=0,0,CEILING((Decline!$C$20-R164)/C$163,1)),0)</f>
        <v/>
      </c>
      <c r="S165" s="68">
        <f>IF(S164&lt;Decline!$C$20-1E-9,IF(C$163&lt;=0,0,CEILING((Decline!$C$20-S164)/C$163,1)),0)</f>
        <v/>
      </c>
      <c r="T165" s="68">
        <f>IF(T164&lt;Decline!$C$20-1E-9,IF(C$163&lt;=0,0,CEILING((Decline!$C$20-T164)/C$163,1)),0)</f>
        <v/>
      </c>
      <c r="U165" s="68">
        <f>IF(U164&lt;Decline!$C$20-1E-9,IF(C$163&lt;=0,0,CEILING((Decline!$C$20-U164)/C$163,1)),0)</f>
        <v/>
      </c>
      <c r="V165" s="68">
        <f>IF(V164&lt;Decline!$C$20-1E-9,IF(C$163&lt;=0,0,CEILING((Decline!$C$20-V164)/C$163,1)),0)</f>
        <v/>
      </c>
      <c r="W165" s="68">
        <f>IF(W164&lt;Decline!$C$20-1E-9,IF(C$163&lt;=0,0,CEILING((Decline!$C$20-W164)/C$163,1)),0)</f>
        <v/>
      </c>
      <c r="X165" s="68">
        <f>IF(X164&lt;Decline!$C$20-1E-9,IF(C$163&lt;=0,0,CEILING((Decline!$C$20-X164)/C$163,1)),0)</f>
        <v/>
      </c>
      <c r="Y165" s="68">
        <f>IF(Y164&lt;Decline!$C$20-1E-9,IF(C$163&lt;=0,0,CEILING((Decline!$C$20-Y164)/C$163,1)),0)</f>
        <v/>
      </c>
      <c r="Z165" s="68">
        <f>IF(Z164&lt;Decline!$C$20-1E-9,IF(C$163&lt;=0,0,CEILING((Decline!$C$20-Z164)/C$163,1)),0)</f>
        <v/>
      </c>
      <c r="AA165" s="68">
        <f>IF(AA164&lt;Decline!$C$20-1E-9,IF(C$163&lt;=0,0,CEILING((Decline!$C$20-AA164)/C$163,1)),0)</f>
        <v/>
      </c>
      <c r="AB165" s="68">
        <f>IF(AB164&lt;Decline!$C$20-1E-9,IF(C$163&lt;=0,0,CEILING((Decline!$C$20-AB164)/C$163,1)),0)</f>
        <v/>
      </c>
    </row>
    <row r="166">
      <c r="A166" s="68" t="inlineStr">
        <is>
          <t>(b) capability after</t>
        </is>
      </c>
      <c r="D166" s="68">
        <f>D164+D165*C$163</f>
        <v/>
      </c>
      <c r="E166" s="68">
        <f>E164+E165*C$163</f>
        <v/>
      </c>
      <c r="F166" s="68">
        <f>F164+F165*C$163</f>
        <v/>
      </c>
      <c r="G166" s="68">
        <f>G164+G165*C$163</f>
        <v/>
      </c>
      <c r="H166" s="68">
        <f>H164+H165*C$163</f>
        <v/>
      </c>
      <c r="I166" s="68">
        <f>I164+I165*C$163</f>
        <v/>
      </c>
      <c r="J166" s="68">
        <f>J164+J165*C$163</f>
        <v/>
      </c>
      <c r="K166" s="68">
        <f>K164+K165*C$163</f>
        <v/>
      </c>
      <c r="L166" s="68">
        <f>L164+L165*C$163</f>
        <v/>
      </c>
      <c r="M166" s="68">
        <f>M164+M165*C$163</f>
        <v/>
      </c>
      <c r="N166" s="68">
        <f>N164+N165*C$163</f>
        <v/>
      </c>
      <c r="O166" s="68">
        <f>O164+O165*C$163</f>
        <v/>
      </c>
      <c r="P166" s="68">
        <f>P164+P165*C$163</f>
        <v/>
      </c>
      <c r="Q166" s="68">
        <f>Q164+Q165*C$163</f>
        <v/>
      </c>
      <c r="R166" s="68">
        <f>R164+R165*C$163</f>
        <v/>
      </c>
      <c r="S166" s="68">
        <f>S164+S165*C$163</f>
        <v/>
      </c>
      <c r="T166" s="68">
        <f>T164+T165*C$163</f>
        <v/>
      </c>
      <c r="U166" s="68">
        <f>U164+U165*C$163</f>
        <v/>
      </c>
      <c r="V166" s="68">
        <f>V164+V165*C$163</f>
        <v/>
      </c>
      <c r="W166" s="68">
        <f>W164+W165*C$163</f>
        <v/>
      </c>
      <c r="X166" s="68">
        <f>X164+X165*C$163</f>
        <v/>
      </c>
      <c r="Y166" s="68">
        <f>Y164+Y165*C$163</f>
        <v/>
      </c>
      <c r="Z166" s="68">
        <f>Z164+Z165*C$163</f>
        <v/>
      </c>
      <c r="AA166" s="68">
        <f>AA164+AA165*C$163</f>
        <v/>
      </c>
      <c r="AB166" s="68">
        <f>AB164+AB165*C$163</f>
        <v/>
      </c>
    </row>
    <row r="167">
      <c r="A167" s="68" t="inlineStr">
        <is>
          <t>(b) make-up capex (spent the year before)</t>
        </is>
      </c>
      <c r="C167" s="68">
        <f>IF(D165&gt;0,D165*(2*($C$11+$C$12)*(1+$C$14))+($C$13*(1+$C$14)),0)</f>
        <v/>
      </c>
      <c r="D167" s="68">
        <f>IF(E165&gt;0,E165*(2*($C$11+$C$12)*(1+$C$14))+($C$13*(1+$C$14)),0)</f>
        <v/>
      </c>
      <c r="E167" s="68">
        <f>IF(F165&gt;0,F165*(2*($C$11+$C$12)*(1+$C$14))+($C$13*(1+$C$14)),0)</f>
        <v/>
      </c>
      <c r="F167" s="68">
        <f>IF(G165&gt;0,G165*(2*($C$11+$C$12)*(1+$C$14))+($C$13*(1+$C$14)),0)</f>
        <v/>
      </c>
      <c r="G167" s="68">
        <f>IF(H165&gt;0,H165*(2*($C$11+$C$12)*(1+$C$14))+($C$13*(1+$C$14)),0)</f>
        <v/>
      </c>
      <c r="H167" s="68">
        <f>IF(I165&gt;0,I165*(2*($C$11+$C$12)*(1+$C$14))+($C$13*(1+$C$14)),0)</f>
        <v/>
      </c>
      <c r="I167" s="68">
        <f>IF(J165&gt;0,J165*(2*($C$11+$C$12)*(1+$C$14))+($C$13*(1+$C$14)),0)</f>
        <v/>
      </c>
      <c r="J167" s="68">
        <f>IF(K165&gt;0,K165*(2*($C$11+$C$12)*(1+$C$14))+($C$13*(1+$C$14)),0)</f>
        <v/>
      </c>
      <c r="K167" s="68">
        <f>IF(L165&gt;0,L165*(2*($C$11+$C$12)*(1+$C$14))+($C$13*(1+$C$14)),0)</f>
        <v/>
      </c>
      <c r="L167" s="68">
        <f>IF(M165&gt;0,M165*(2*($C$11+$C$12)*(1+$C$14))+($C$13*(1+$C$14)),0)</f>
        <v/>
      </c>
      <c r="M167" s="68">
        <f>IF(N165&gt;0,N165*(2*($C$11+$C$12)*(1+$C$14))+($C$13*(1+$C$14)),0)</f>
        <v/>
      </c>
      <c r="N167" s="68">
        <f>IF(O165&gt;0,O165*(2*($C$11+$C$12)*(1+$C$14))+($C$13*(1+$C$14)),0)</f>
        <v/>
      </c>
      <c r="O167" s="68">
        <f>IF(P165&gt;0,P165*(2*($C$11+$C$12)*(1+$C$14))+($C$13*(1+$C$14)),0)</f>
        <v/>
      </c>
      <c r="P167" s="68">
        <f>IF(Q165&gt;0,Q165*(2*($C$11+$C$12)*(1+$C$14))+($C$13*(1+$C$14)),0)</f>
        <v/>
      </c>
      <c r="Q167" s="68">
        <f>IF(R165&gt;0,R165*(2*($C$11+$C$12)*(1+$C$14))+($C$13*(1+$C$14)),0)</f>
        <v/>
      </c>
      <c r="R167" s="68">
        <f>IF(S165&gt;0,S165*(2*($C$11+$C$12)*(1+$C$14))+($C$13*(1+$C$14)),0)</f>
        <v/>
      </c>
      <c r="S167" s="68">
        <f>IF(T165&gt;0,T165*(2*($C$11+$C$12)*(1+$C$14))+($C$13*(1+$C$14)),0)</f>
        <v/>
      </c>
      <c r="T167" s="68">
        <f>IF(U165&gt;0,U165*(2*($C$11+$C$12)*(1+$C$14))+($C$13*(1+$C$14)),0)</f>
        <v/>
      </c>
      <c r="U167" s="68">
        <f>IF(V165&gt;0,V165*(2*($C$11+$C$12)*(1+$C$14))+($C$13*(1+$C$14)),0)</f>
        <v/>
      </c>
      <c r="V167" s="68">
        <f>IF(W165&gt;0,W165*(2*($C$11+$C$12)*(1+$C$14))+($C$13*(1+$C$14)),0)</f>
        <v/>
      </c>
      <c r="W167" s="68">
        <f>IF(X165&gt;0,X165*(2*($C$11+$C$12)*(1+$C$14))+($C$13*(1+$C$14)),0)</f>
        <v/>
      </c>
      <c r="X167" s="68">
        <f>IF(Y165&gt;0,Y165*(2*($C$11+$C$12)*(1+$C$14))+($C$13*(1+$C$14)),0)</f>
        <v/>
      </c>
      <c r="Y167" s="68">
        <f>IF(Z165&gt;0,Z165*(2*($C$11+$C$12)*(1+$C$14))+($C$13*(1+$C$14)),0)</f>
        <v/>
      </c>
      <c r="Z167" s="68">
        <f>IF(AA165&gt;0,AA165*(2*($C$11+$C$12)*(1+$C$14))+($C$13*(1+$C$14)),0)</f>
        <v/>
      </c>
      <c r="AA167" s="68">
        <f>IF(AB165&gt;0,AB165*(2*($C$11+$C$12)*(1+$C$14))+($C$13*(1+$C$14)),0)</f>
        <v/>
      </c>
      <c r="AB167" s="68" t="n">
        <v>0</v>
      </c>
    </row>
    <row r="168">
      <c r="A168" s="68" t="inlineStr">
        <is>
          <t>do nothing: lit modules</t>
        </is>
      </c>
      <c r="D168" s="68">
        <f>MAX(0,MIN(4,INT(MIN(Decline!$C$20,Decline!$C$19*C$163)*Decline!$C$21/Decline!$C$22+1E-9)))</f>
        <v/>
      </c>
      <c r="E168" s="68">
        <f>MAX(0,MIN(4,INT(MIN(Decline!$C$20,Decline!$C$19*D$163)*Decline!$C$21/Decline!$C$22+1E-9)))</f>
        <v/>
      </c>
      <c r="F168" s="68">
        <f>MAX(0,MIN(4,INT(MIN(Decline!$C$20,Decline!$C$19*E$163)*Decline!$C$21/Decline!$C$22+1E-9)))</f>
        <v/>
      </c>
      <c r="G168" s="68">
        <f>MAX(0,MIN(4,INT(MIN(Decline!$C$20,Decline!$C$19*F$163)*Decline!$C$21/Decline!$C$22+1E-9)))</f>
        <v/>
      </c>
      <c r="H168" s="68">
        <f>MAX(0,MIN(4,INT(MIN(Decline!$C$20,Decline!$C$19*G$163)*Decline!$C$21/Decline!$C$22+1E-9)))</f>
        <v/>
      </c>
      <c r="I168" s="68">
        <f>MAX(0,MIN(4,INT(MIN(Decline!$C$20,Decline!$C$19*H$163)*Decline!$C$21/Decline!$C$22+1E-9)))</f>
        <v/>
      </c>
      <c r="J168" s="68">
        <f>MAX(0,MIN(4,INT(MIN(Decline!$C$20,Decline!$C$19*I$163)*Decline!$C$21/Decline!$C$22+1E-9)))</f>
        <v/>
      </c>
      <c r="K168" s="68">
        <f>MAX(0,MIN(4,INT(MIN(Decline!$C$20,Decline!$C$19*J$163)*Decline!$C$21/Decline!$C$22+1E-9)))</f>
        <v/>
      </c>
      <c r="L168" s="68">
        <f>MAX(0,MIN(4,INT(MIN(Decline!$C$20,Decline!$C$19*K$163)*Decline!$C$21/Decline!$C$22+1E-9)))</f>
        <v/>
      </c>
      <c r="M168" s="68">
        <f>MAX(0,MIN(4,INT(MIN(Decline!$C$20,Decline!$C$19*L$163)*Decline!$C$21/Decline!$C$22+1E-9)))</f>
        <v/>
      </c>
      <c r="N168" s="68">
        <f>MAX(0,MIN(4,INT(MIN(Decline!$C$20,Decline!$C$19*M$163)*Decline!$C$21/Decline!$C$22+1E-9)))</f>
        <v/>
      </c>
      <c r="O168" s="68">
        <f>MAX(0,MIN(4,INT(MIN(Decline!$C$20,Decline!$C$19*N$163)*Decline!$C$21/Decline!$C$22+1E-9)))</f>
        <v/>
      </c>
      <c r="P168" s="68">
        <f>MAX(0,MIN(4,INT(MIN(Decline!$C$20,Decline!$C$19*O$163)*Decline!$C$21/Decline!$C$22+1E-9)))</f>
        <v/>
      </c>
      <c r="Q168" s="68">
        <f>MAX(0,MIN(4,INT(MIN(Decline!$C$20,Decline!$C$19*P$163)*Decline!$C$21/Decline!$C$22+1E-9)))</f>
        <v/>
      </c>
      <c r="R168" s="68">
        <f>MAX(0,MIN(4,INT(MIN(Decline!$C$20,Decline!$C$19*Q$163)*Decline!$C$21/Decline!$C$22+1E-9)))</f>
        <v/>
      </c>
      <c r="S168" s="68">
        <f>MAX(0,MIN(4,INT(MIN(Decline!$C$20,Decline!$C$19*R$163)*Decline!$C$21/Decline!$C$22+1E-9)))</f>
        <v/>
      </c>
      <c r="T168" s="68">
        <f>MAX(0,MIN(4,INT(MIN(Decline!$C$20,Decline!$C$19*S$163)*Decline!$C$21/Decline!$C$22+1E-9)))</f>
        <v/>
      </c>
      <c r="U168" s="68">
        <f>MAX(0,MIN(4,INT(MIN(Decline!$C$20,Decline!$C$19*T$163)*Decline!$C$21/Decline!$C$22+1E-9)))</f>
        <v/>
      </c>
      <c r="V168" s="68">
        <f>MAX(0,MIN(4,INT(MIN(Decline!$C$20,Decline!$C$19*U$163)*Decline!$C$21/Decline!$C$22+1E-9)))</f>
        <v/>
      </c>
      <c r="W168" s="68">
        <f>MAX(0,MIN(4,INT(MIN(Decline!$C$20,Decline!$C$19*V$163)*Decline!$C$21/Decline!$C$22+1E-9)))</f>
        <v/>
      </c>
      <c r="X168" s="68">
        <f>MAX(0,MIN(4,INT(MIN(Decline!$C$20,Decline!$C$19*W$163)*Decline!$C$21/Decline!$C$22+1E-9)))</f>
        <v/>
      </c>
      <c r="Y168" s="68">
        <f>MAX(0,MIN(4,INT(MIN(Decline!$C$20,Decline!$C$19*X$163)*Decline!$C$21/Decline!$C$22+1E-9)))</f>
        <v/>
      </c>
      <c r="Z168" s="68">
        <f>MAX(0,MIN(4,INT(MIN(Decline!$C$20,Decline!$C$19*Y$163)*Decline!$C$21/Decline!$C$22+1E-9)))</f>
        <v/>
      </c>
      <c r="AA168" s="68">
        <f>MAX(0,MIN(4,INT(MIN(Decline!$C$20,Decline!$C$19*Z$163)*Decline!$C$21/Decline!$C$22+1E-9)))</f>
        <v/>
      </c>
      <c r="AB168" s="68">
        <f>MAX(0,MIN(4,INT(MIN(Decline!$C$20,Decline!$C$19*AA$163)*Decline!$C$21/Decline!$C$22+1E-9)))</f>
        <v/>
      </c>
    </row>
    <row r="169">
      <c r="A169" s="68" t="inlineStr">
        <is>
          <t>(a) lit modules</t>
        </is>
      </c>
      <c r="D169" s="68">
        <f>MAX(0,MIN(4,INT(MIN(Decline!$C$20,(Decline!$C$19+IF(ISNUMBER($E$162),$E$162,0))*C$163)*Decline!$C$21/Decline!$C$22+1E-9)))</f>
        <v/>
      </c>
      <c r="E169" s="68">
        <f>MAX(0,MIN(4,INT(MIN(Decline!$C$20,(Decline!$C$19+IF(ISNUMBER($E$162),$E$162,0))*D$163)*Decline!$C$21/Decline!$C$22+1E-9)))</f>
        <v/>
      </c>
      <c r="F169" s="68">
        <f>MAX(0,MIN(4,INT(MIN(Decline!$C$20,(Decline!$C$19+IF(ISNUMBER($E$162),$E$162,0))*E$163)*Decline!$C$21/Decline!$C$22+1E-9)))</f>
        <v/>
      </c>
      <c r="G169" s="68">
        <f>MAX(0,MIN(4,INT(MIN(Decline!$C$20,(Decline!$C$19+IF(ISNUMBER($E$162),$E$162,0))*F$163)*Decline!$C$21/Decline!$C$22+1E-9)))</f>
        <v/>
      </c>
      <c r="H169" s="68">
        <f>MAX(0,MIN(4,INT(MIN(Decline!$C$20,(Decline!$C$19+IF(ISNUMBER($E$162),$E$162,0))*G$163)*Decline!$C$21/Decline!$C$22+1E-9)))</f>
        <v/>
      </c>
      <c r="I169" s="68">
        <f>MAX(0,MIN(4,INT(MIN(Decline!$C$20,(Decline!$C$19+IF(ISNUMBER($E$162),$E$162,0))*H$163)*Decline!$C$21/Decline!$C$22+1E-9)))</f>
        <v/>
      </c>
      <c r="J169" s="68">
        <f>MAX(0,MIN(4,INT(MIN(Decline!$C$20,(Decline!$C$19+IF(ISNUMBER($E$162),$E$162,0))*I$163)*Decline!$C$21/Decline!$C$22+1E-9)))</f>
        <v/>
      </c>
      <c r="K169" s="68">
        <f>MAX(0,MIN(4,INT(MIN(Decline!$C$20,(Decline!$C$19+IF(ISNUMBER($E$162),$E$162,0))*J$163)*Decline!$C$21/Decline!$C$22+1E-9)))</f>
        <v/>
      </c>
      <c r="L169" s="68">
        <f>MAX(0,MIN(4,INT(MIN(Decline!$C$20,(Decline!$C$19+IF(ISNUMBER($E$162),$E$162,0))*K$163)*Decline!$C$21/Decline!$C$22+1E-9)))</f>
        <v/>
      </c>
      <c r="M169" s="68">
        <f>MAX(0,MIN(4,INT(MIN(Decline!$C$20,(Decline!$C$19+IF(ISNUMBER($E$162),$E$162,0))*L$163)*Decline!$C$21/Decline!$C$22+1E-9)))</f>
        <v/>
      </c>
      <c r="N169" s="68">
        <f>MAX(0,MIN(4,INT(MIN(Decline!$C$20,(Decline!$C$19+IF(ISNUMBER($E$162),$E$162,0))*M$163)*Decline!$C$21/Decline!$C$22+1E-9)))</f>
        <v/>
      </c>
      <c r="O169" s="68">
        <f>MAX(0,MIN(4,INT(MIN(Decline!$C$20,(Decline!$C$19+IF(ISNUMBER($E$162),$E$162,0))*N$163)*Decline!$C$21/Decline!$C$22+1E-9)))</f>
        <v/>
      </c>
      <c r="P169" s="68">
        <f>MAX(0,MIN(4,INT(MIN(Decline!$C$20,(Decline!$C$19+IF(ISNUMBER($E$162),$E$162,0))*O$163)*Decline!$C$21/Decline!$C$22+1E-9)))</f>
        <v/>
      </c>
      <c r="Q169" s="68">
        <f>MAX(0,MIN(4,INT(MIN(Decline!$C$20,(Decline!$C$19+IF(ISNUMBER($E$162),$E$162,0))*P$163)*Decline!$C$21/Decline!$C$22+1E-9)))</f>
        <v/>
      </c>
      <c r="R169" s="68">
        <f>MAX(0,MIN(4,INT(MIN(Decline!$C$20,(Decline!$C$19+IF(ISNUMBER($E$162),$E$162,0))*Q$163)*Decline!$C$21/Decline!$C$22+1E-9)))</f>
        <v/>
      </c>
      <c r="S169" s="68">
        <f>MAX(0,MIN(4,INT(MIN(Decline!$C$20,(Decline!$C$19+IF(ISNUMBER($E$162),$E$162,0))*R$163)*Decline!$C$21/Decline!$C$22+1E-9)))</f>
        <v/>
      </c>
      <c r="T169" s="68">
        <f>MAX(0,MIN(4,INT(MIN(Decline!$C$20,(Decline!$C$19+IF(ISNUMBER($E$162),$E$162,0))*S$163)*Decline!$C$21/Decline!$C$22+1E-9)))</f>
        <v/>
      </c>
      <c r="U169" s="68">
        <f>MAX(0,MIN(4,INT(MIN(Decline!$C$20,(Decline!$C$19+IF(ISNUMBER($E$162),$E$162,0))*T$163)*Decline!$C$21/Decline!$C$22+1E-9)))</f>
        <v/>
      </c>
      <c r="V169" s="68">
        <f>MAX(0,MIN(4,INT(MIN(Decline!$C$20,(Decline!$C$19+IF(ISNUMBER($E$162),$E$162,0))*U$163)*Decline!$C$21/Decline!$C$22+1E-9)))</f>
        <v/>
      </c>
      <c r="W169" s="68">
        <f>MAX(0,MIN(4,INT(MIN(Decline!$C$20,(Decline!$C$19+IF(ISNUMBER($E$162),$E$162,0))*V$163)*Decline!$C$21/Decline!$C$22+1E-9)))</f>
        <v/>
      </c>
      <c r="X169" s="68">
        <f>MAX(0,MIN(4,INT(MIN(Decline!$C$20,(Decline!$C$19+IF(ISNUMBER($E$162),$E$162,0))*W$163)*Decline!$C$21/Decline!$C$22+1E-9)))</f>
        <v/>
      </c>
      <c r="Y169" s="68">
        <f>MAX(0,MIN(4,INT(MIN(Decline!$C$20,(Decline!$C$19+IF(ISNUMBER($E$162),$E$162,0))*X$163)*Decline!$C$21/Decline!$C$22+1E-9)))</f>
        <v/>
      </c>
      <c r="Z169" s="68">
        <f>MAX(0,MIN(4,INT(MIN(Decline!$C$20,(Decline!$C$19+IF(ISNUMBER($E$162),$E$162,0))*Y$163)*Decline!$C$21/Decline!$C$22+1E-9)))</f>
        <v/>
      </c>
      <c r="AA169" s="68">
        <f>MAX(0,MIN(4,INT(MIN(Decline!$C$20,(Decline!$C$19+IF(ISNUMBER($E$162),$E$162,0))*Z$163)*Decline!$C$21/Decline!$C$22+1E-9)))</f>
        <v/>
      </c>
      <c r="AB169" s="68">
        <f>MAX(0,MIN(4,INT(MIN(Decline!$C$20,(Decline!$C$19+IF(ISNUMBER($E$162),$E$162,0))*AA$163)*Decline!$C$21/Decline!$C$22+1E-9)))</f>
        <v/>
      </c>
    </row>
    <row r="170">
      <c r="A170" s="68" t="inlineStr">
        <is>
          <t>(b) lit modules</t>
        </is>
      </c>
      <c r="D170" s="68">
        <f>MAX(0,MIN(4,INT(MIN(Decline!$C$20,D166)*Decline!$C$21/Decline!$C$22+1E-9)))</f>
        <v/>
      </c>
      <c r="E170" s="68">
        <f>MAX(0,MIN(4,INT(MIN(Decline!$C$20,E166)*Decline!$C$21/Decline!$C$22+1E-9)))</f>
        <v/>
      </c>
      <c r="F170" s="68">
        <f>MAX(0,MIN(4,INT(MIN(Decline!$C$20,F166)*Decline!$C$21/Decline!$C$22+1E-9)))</f>
        <v/>
      </c>
      <c r="G170" s="68">
        <f>MAX(0,MIN(4,INT(MIN(Decline!$C$20,G166)*Decline!$C$21/Decline!$C$22+1E-9)))</f>
        <v/>
      </c>
      <c r="H170" s="68">
        <f>MAX(0,MIN(4,INT(MIN(Decline!$C$20,H166)*Decline!$C$21/Decline!$C$22+1E-9)))</f>
        <v/>
      </c>
      <c r="I170" s="68">
        <f>MAX(0,MIN(4,INT(MIN(Decline!$C$20,I166)*Decline!$C$21/Decline!$C$22+1E-9)))</f>
        <v/>
      </c>
      <c r="J170" s="68">
        <f>MAX(0,MIN(4,INT(MIN(Decline!$C$20,J166)*Decline!$C$21/Decline!$C$22+1E-9)))</f>
        <v/>
      </c>
      <c r="K170" s="68">
        <f>MAX(0,MIN(4,INT(MIN(Decline!$C$20,K166)*Decline!$C$21/Decline!$C$22+1E-9)))</f>
        <v/>
      </c>
      <c r="L170" s="68">
        <f>MAX(0,MIN(4,INT(MIN(Decline!$C$20,L166)*Decline!$C$21/Decline!$C$22+1E-9)))</f>
        <v/>
      </c>
      <c r="M170" s="68">
        <f>MAX(0,MIN(4,INT(MIN(Decline!$C$20,M166)*Decline!$C$21/Decline!$C$22+1E-9)))</f>
        <v/>
      </c>
      <c r="N170" s="68">
        <f>MAX(0,MIN(4,INT(MIN(Decline!$C$20,N166)*Decline!$C$21/Decline!$C$22+1E-9)))</f>
        <v/>
      </c>
      <c r="O170" s="68">
        <f>MAX(0,MIN(4,INT(MIN(Decline!$C$20,O166)*Decline!$C$21/Decline!$C$22+1E-9)))</f>
        <v/>
      </c>
      <c r="P170" s="68">
        <f>MAX(0,MIN(4,INT(MIN(Decline!$C$20,P166)*Decline!$C$21/Decline!$C$22+1E-9)))</f>
        <v/>
      </c>
      <c r="Q170" s="68">
        <f>MAX(0,MIN(4,INT(MIN(Decline!$C$20,Q166)*Decline!$C$21/Decline!$C$22+1E-9)))</f>
        <v/>
      </c>
      <c r="R170" s="68">
        <f>MAX(0,MIN(4,INT(MIN(Decline!$C$20,R166)*Decline!$C$21/Decline!$C$22+1E-9)))</f>
        <v/>
      </c>
      <c r="S170" s="68">
        <f>MAX(0,MIN(4,INT(MIN(Decline!$C$20,S166)*Decline!$C$21/Decline!$C$22+1E-9)))</f>
        <v/>
      </c>
      <c r="T170" s="68">
        <f>MAX(0,MIN(4,INT(MIN(Decline!$C$20,T166)*Decline!$C$21/Decline!$C$22+1E-9)))</f>
        <v/>
      </c>
      <c r="U170" s="68">
        <f>MAX(0,MIN(4,INT(MIN(Decline!$C$20,U166)*Decline!$C$21/Decline!$C$22+1E-9)))</f>
        <v/>
      </c>
      <c r="V170" s="68">
        <f>MAX(0,MIN(4,INT(MIN(Decline!$C$20,V166)*Decline!$C$21/Decline!$C$22+1E-9)))</f>
        <v/>
      </c>
      <c r="W170" s="68">
        <f>MAX(0,MIN(4,INT(MIN(Decline!$C$20,W166)*Decline!$C$21/Decline!$C$22+1E-9)))</f>
        <v/>
      </c>
      <c r="X170" s="68">
        <f>MAX(0,MIN(4,INT(MIN(Decline!$C$20,X166)*Decline!$C$21/Decline!$C$22+1E-9)))</f>
        <v/>
      </c>
      <c r="Y170" s="68">
        <f>MAX(0,MIN(4,INT(MIN(Decline!$C$20,Y166)*Decline!$C$21/Decline!$C$22+1E-9)))</f>
        <v/>
      </c>
      <c r="Z170" s="68">
        <f>MAX(0,MIN(4,INT(MIN(Decline!$C$20,Z166)*Decline!$C$21/Decline!$C$22+1E-9)))</f>
        <v/>
      </c>
      <c r="AA170" s="68">
        <f>MAX(0,MIN(4,INT(MIN(Decline!$C$20,AA166)*Decline!$C$21/Decline!$C$22+1E-9)))</f>
        <v/>
      </c>
      <c r="AB170" s="68">
        <f>MAX(0,MIN(4,INT(MIN(Decline!$C$20,AB166)*Decline!$C$21/Decline!$C$22+1E-9)))</f>
        <v/>
      </c>
    </row>
    <row r="171">
      <c r="A171" s="68" t="inlineStr">
        <is>
          <t>Do nothing (dark modules stop buying GPUs) | flat</t>
        </is>
      </c>
      <c r="C171" s="68">
        <f>-'Sell-Compute'!$C$36</f>
        <v/>
      </c>
      <c r="D171" s="68">
        <f>IF(D$51&lt;=Rates!$D$71,('Sell-Compute'!$C$40*(1+'Sell-Compute'!$C$50)^MOD(D$51-1,'Sell-Compute'!$C$21)-'Sell-Compute'!$C$42-'Sell-Compute'!$C$43)*(D168/4)-'Sell-Compute'!$C$41-'Sell-Compute'!$C$44-'Sell-Compute'!$C$45-IF(AND(MOD(D$51,'Sell-Compute'!$C$21)=0,D$51&lt;Rates!$D$71),'Sell-Compute'!$C$34*(D168/4),0),0)</f>
        <v/>
      </c>
      <c r="E171" s="68">
        <f>IF(E$51&lt;=Rates!$D$71,('Sell-Compute'!$C$40*(1+'Sell-Compute'!$C$50)^MOD(E$51-1,'Sell-Compute'!$C$21)-'Sell-Compute'!$C$42-'Sell-Compute'!$C$43)*(E168/4)-'Sell-Compute'!$C$41-'Sell-Compute'!$C$44-'Sell-Compute'!$C$45-IF(AND(MOD(E$51,'Sell-Compute'!$C$21)=0,E$51&lt;Rates!$D$71),'Sell-Compute'!$C$34*(E168/4),0),0)</f>
        <v/>
      </c>
      <c r="F171" s="68">
        <f>IF(F$51&lt;=Rates!$D$71,('Sell-Compute'!$C$40*(1+'Sell-Compute'!$C$50)^MOD(F$51-1,'Sell-Compute'!$C$21)-'Sell-Compute'!$C$42-'Sell-Compute'!$C$43)*(F168/4)-'Sell-Compute'!$C$41-'Sell-Compute'!$C$44-'Sell-Compute'!$C$45-IF(AND(MOD(F$51,'Sell-Compute'!$C$21)=0,F$51&lt;Rates!$D$71),'Sell-Compute'!$C$34*(F168/4),0),0)</f>
        <v/>
      </c>
      <c r="G171" s="68">
        <f>IF(G$51&lt;=Rates!$D$71,('Sell-Compute'!$C$40*(1+'Sell-Compute'!$C$50)^MOD(G$51-1,'Sell-Compute'!$C$21)-'Sell-Compute'!$C$42-'Sell-Compute'!$C$43)*(G168/4)-'Sell-Compute'!$C$41-'Sell-Compute'!$C$44-'Sell-Compute'!$C$45-IF(AND(MOD(G$51,'Sell-Compute'!$C$21)=0,G$51&lt;Rates!$D$71),'Sell-Compute'!$C$34*(G168/4),0),0)</f>
        <v/>
      </c>
      <c r="H171" s="68">
        <f>IF(H$51&lt;=Rates!$D$71,('Sell-Compute'!$C$40*(1+'Sell-Compute'!$C$50)^MOD(H$51-1,'Sell-Compute'!$C$21)-'Sell-Compute'!$C$42-'Sell-Compute'!$C$43)*(H168/4)-'Sell-Compute'!$C$41-'Sell-Compute'!$C$44-'Sell-Compute'!$C$45-IF(AND(MOD(H$51,'Sell-Compute'!$C$21)=0,H$51&lt;Rates!$D$71),'Sell-Compute'!$C$34*(H168/4),0),0)</f>
        <v/>
      </c>
      <c r="I171" s="68">
        <f>IF(I$51&lt;=Rates!$D$71,('Sell-Compute'!$C$40*(1+'Sell-Compute'!$C$50)^MOD(I$51-1,'Sell-Compute'!$C$21)-'Sell-Compute'!$C$42-'Sell-Compute'!$C$43)*(I168/4)-'Sell-Compute'!$C$41-'Sell-Compute'!$C$44-'Sell-Compute'!$C$45-IF(AND(MOD(I$51,'Sell-Compute'!$C$21)=0,I$51&lt;Rates!$D$71),'Sell-Compute'!$C$34*(I168/4),0),0)</f>
        <v/>
      </c>
      <c r="J171" s="68">
        <f>IF(J$51&lt;=Rates!$D$71,('Sell-Compute'!$C$40*(1+'Sell-Compute'!$C$50)^MOD(J$51-1,'Sell-Compute'!$C$21)-'Sell-Compute'!$C$42-'Sell-Compute'!$C$43)*(J168/4)-'Sell-Compute'!$C$41-'Sell-Compute'!$C$44-'Sell-Compute'!$C$45-IF(AND(MOD(J$51,'Sell-Compute'!$C$21)=0,J$51&lt;Rates!$D$71),'Sell-Compute'!$C$34*(J168/4),0),0)</f>
        <v/>
      </c>
      <c r="K171" s="68">
        <f>IF(K$51&lt;=Rates!$D$71,('Sell-Compute'!$C$40*(1+'Sell-Compute'!$C$50)^MOD(K$51-1,'Sell-Compute'!$C$21)-'Sell-Compute'!$C$42-'Sell-Compute'!$C$43)*(K168/4)-'Sell-Compute'!$C$41-'Sell-Compute'!$C$44-'Sell-Compute'!$C$45-IF(AND(MOD(K$51,'Sell-Compute'!$C$21)=0,K$51&lt;Rates!$D$71),'Sell-Compute'!$C$34*(K168/4),0),0)</f>
        <v/>
      </c>
      <c r="L171" s="68">
        <f>IF(L$51&lt;=Rates!$D$71,('Sell-Compute'!$C$40*(1+'Sell-Compute'!$C$50)^MOD(L$51-1,'Sell-Compute'!$C$21)-'Sell-Compute'!$C$42-'Sell-Compute'!$C$43)*(L168/4)-'Sell-Compute'!$C$41-'Sell-Compute'!$C$44-'Sell-Compute'!$C$45-IF(AND(MOD(L$51,'Sell-Compute'!$C$21)=0,L$51&lt;Rates!$D$71),'Sell-Compute'!$C$34*(L168/4),0),0)</f>
        <v/>
      </c>
      <c r="M171" s="68">
        <f>IF(M$51&lt;=Rates!$D$71,('Sell-Compute'!$C$40*(1+'Sell-Compute'!$C$50)^MOD(M$51-1,'Sell-Compute'!$C$21)-'Sell-Compute'!$C$42-'Sell-Compute'!$C$43)*(M168/4)-'Sell-Compute'!$C$41-'Sell-Compute'!$C$44-'Sell-Compute'!$C$45-IF(AND(MOD(M$51,'Sell-Compute'!$C$21)=0,M$51&lt;Rates!$D$71),'Sell-Compute'!$C$34*(M168/4),0),0)</f>
        <v/>
      </c>
      <c r="N171" s="68">
        <f>IF(N$51&lt;=Rates!$D$71,('Sell-Compute'!$C$40*(1+'Sell-Compute'!$C$50)^MOD(N$51-1,'Sell-Compute'!$C$21)-'Sell-Compute'!$C$42-'Sell-Compute'!$C$43)*(N168/4)-'Sell-Compute'!$C$41-'Sell-Compute'!$C$44-'Sell-Compute'!$C$45-IF(AND(MOD(N$51,'Sell-Compute'!$C$21)=0,N$51&lt;Rates!$D$71),'Sell-Compute'!$C$34*(N168/4),0),0)</f>
        <v/>
      </c>
      <c r="O171" s="68">
        <f>IF(O$51&lt;=Rates!$D$71,('Sell-Compute'!$C$40*(1+'Sell-Compute'!$C$50)^MOD(O$51-1,'Sell-Compute'!$C$21)-'Sell-Compute'!$C$42-'Sell-Compute'!$C$43)*(O168/4)-'Sell-Compute'!$C$41-'Sell-Compute'!$C$44-'Sell-Compute'!$C$45-IF(AND(MOD(O$51,'Sell-Compute'!$C$21)=0,O$51&lt;Rates!$D$71),'Sell-Compute'!$C$34*(O168/4),0),0)</f>
        <v/>
      </c>
      <c r="P171" s="68">
        <f>IF(P$51&lt;=Rates!$D$71,('Sell-Compute'!$C$40*(1+'Sell-Compute'!$C$50)^MOD(P$51-1,'Sell-Compute'!$C$21)-'Sell-Compute'!$C$42-'Sell-Compute'!$C$43)*(P168/4)-'Sell-Compute'!$C$41-'Sell-Compute'!$C$44-'Sell-Compute'!$C$45-IF(AND(MOD(P$51,'Sell-Compute'!$C$21)=0,P$51&lt;Rates!$D$71),'Sell-Compute'!$C$34*(P168/4),0),0)</f>
        <v/>
      </c>
      <c r="Q171" s="68">
        <f>IF(Q$51&lt;=Rates!$D$71,('Sell-Compute'!$C$40*(1+'Sell-Compute'!$C$50)^MOD(Q$51-1,'Sell-Compute'!$C$21)-'Sell-Compute'!$C$42-'Sell-Compute'!$C$43)*(Q168/4)-'Sell-Compute'!$C$41-'Sell-Compute'!$C$44-'Sell-Compute'!$C$45-IF(AND(MOD(Q$51,'Sell-Compute'!$C$21)=0,Q$51&lt;Rates!$D$71),'Sell-Compute'!$C$34*(Q168/4),0),0)</f>
        <v/>
      </c>
      <c r="R171" s="68">
        <f>IF(R$51&lt;=Rates!$D$71,('Sell-Compute'!$C$40*(1+'Sell-Compute'!$C$50)^MOD(R$51-1,'Sell-Compute'!$C$21)-'Sell-Compute'!$C$42-'Sell-Compute'!$C$43)*(R168/4)-'Sell-Compute'!$C$41-'Sell-Compute'!$C$44-'Sell-Compute'!$C$45-IF(AND(MOD(R$51,'Sell-Compute'!$C$21)=0,R$51&lt;Rates!$D$71),'Sell-Compute'!$C$34*(R168/4),0),0)</f>
        <v/>
      </c>
      <c r="S171" s="68">
        <f>IF(S$51&lt;=Rates!$D$71,('Sell-Compute'!$C$40*(1+'Sell-Compute'!$C$50)^MOD(S$51-1,'Sell-Compute'!$C$21)-'Sell-Compute'!$C$42-'Sell-Compute'!$C$43)*(S168/4)-'Sell-Compute'!$C$41-'Sell-Compute'!$C$44-'Sell-Compute'!$C$45-IF(AND(MOD(S$51,'Sell-Compute'!$C$21)=0,S$51&lt;Rates!$D$71),'Sell-Compute'!$C$34*(S168/4),0),0)</f>
        <v/>
      </c>
      <c r="T171" s="68">
        <f>IF(T$51&lt;=Rates!$D$71,('Sell-Compute'!$C$40*(1+'Sell-Compute'!$C$50)^MOD(T$51-1,'Sell-Compute'!$C$21)-'Sell-Compute'!$C$42-'Sell-Compute'!$C$43)*(T168/4)-'Sell-Compute'!$C$41-'Sell-Compute'!$C$44-'Sell-Compute'!$C$45-IF(AND(MOD(T$51,'Sell-Compute'!$C$21)=0,T$51&lt;Rates!$D$71),'Sell-Compute'!$C$34*(T168/4),0),0)</f>
        <v/>
      </c>
      <c r="U171" s="68">
        <f>IF(U$51&lt;=Rates!$D$71,('Sell-Compute'!$C$40*(1+'Sell-Compute'!$C$50)^MOD(U$51-1,'Sell-Compute'!$C$21)-'Sell-Compute'!$C$42-'Sell-Compute'!$C$43)*(U168/4)-'Sell-Compute'!$C$41-'Sell-Compute'!$C$44-'Sell-Compute'!$C$45-IF(AND(MOD(U$51,'Sell-Compute'!$C$21)=0,U$51&lt;Rates!$D$71),'Sell-Compute'!$C$34*(U168/4),0),0)</f>
        <v/>
      </c>
      <c r="V171" s="68">
        <f>IF(V$51&lt;=Rates!$D$71,('Sell-Compute'!$C$40*(1+'Sell-Compute'!$C$50)^MOD(V$51-1,'Sell-Compute'!$C$21)-'Sell-Compute'!$C$42-'Sell-Compute'!$C$43)*(V168/4)-'Sell-Compute'!$C$41-'Sell-Compute'!$C$44-'Sell-Compute'!$C$45-IF(AND(MOD(V$51,'Sell-Compute'!$C$21)=0,V$51&lt;Rates!$D$71),'Sell-Compute'!$C$34*(V168/4),0),0)</f>
        <v/>
      </c>
      <c r="W171" s="68">
        <f>IF(W$51&lt;=Rates!$D$71,('Sell-Compute'!$C$40*(1+'Sell-Compute'!$C$50)^MOD(W$51-1,'Sell-Compute'!$C$21)-'Sell-Compute'!$C$42-'Sell-Compute'!$C$43)*(W168/4)-'Sell-Compute'!$C$41-'Sell-Compute'!$C$44-'Sell-Compute'!$C$45-IF(AND(MOD(W$51,'Sell-Compute'!$C$21)=0,W$51&lt;Rates!$D$71),'Sell-Compute'!$C$34*(W168/4),0),0)</f>
        <v/>
      </c>
      <c r="X171" s="68">
        <f>IF(X$51&lt;=Rates!$D$71,('Sell-Compute'!$C$40*(1+'Sell-Compute'!$C$50)^MOD(X$51-1,'Sell-Compute'!$C$21)-'Sell-Compute'!$C$42-'Sell-Compute'!$C$43)*(X168/4)-'Sell-Compute'!$C$41-'Sell-Compute'!$C$44-'Sell-Compute'!$C$45-IF(AND(MOD(X$51,'Sell-Compute'!$C$21)=0,X$51&lt;Rates!$D$71),'Sell-Compute'!$C$34*(X168/4),0),0)</f>
        <v/>
      </c>
      <c r="Y171" s="68">
        <f>IF(Y$51&lt;=Rates!$D$71,('Sell-Compute'!$C$40*(1+'Sell-Compute'!$C$50)^MOD(Y$51-1,'Sell-Compute'!$C$21)-'Sell-Compute'!$C$42-'Sell-Compute'!$C$43)*(Y168/4)-'Sell-Compute'!$C$41-'Sell-Compute'!$C$44-'Sell-Compute'!$C$45-IF(AND(MOD(Y$51,'Sell-Compute'!$C$21)=0,Y$51&lt;Rates!$D$71),'Sell-Compute'!$C$34*(Y168/4),0),0)</f>
        <v/>
      </c>
      <c r="Z171" s="68">
        <f>IF(Z$51&lt;=Rates!$D$71,('Sell-Compute'!$C$40*(1+'Sell-Compute'!$C$50)^MOD(Z$51-1,'Sell-Compute'!$C$21)-'Sell-Compute'!$C$42-'Sell-Compute'!$C$43)*(Z168/4)-'Sell-Compute'!$C$41-'Sell-Compute'!$C$44-'Sell-Compute'!$C$45-IF(AND(MOD(Z$51,'Sell-Compute'!$C$21)=0,Z$51&lt;Rates!$D$71),'Sell-Compute'!$C$34*(Z168/4),0),0)</f>
        <v/>
      </c>
      <c r="AA171" s="68">
        <f>IF(AA$51&lt;=Rates!$D$71,('Sell-Compute'!$C$40*(1+'Sell-Compute'!$C$50)^MOD(AA$51-1,'Sell-Compute'!$C$21)-'Sell-Compute'!$C$42-'Sell-Compute'!$C$43)*(AA168/4)-'Sell-Compute'!$C$41-'Sell-Compute'!$C$44-'Sell-Compute'!$C$45-IF(AND(MOD(AA$51,'Sell-Compute'!$C$21)=0,AA$51&lt;Rates!$D$71),'Sell-Compute'!$C$34*(AA168/4),0),0)</f>
        <v/>
      </c>
      <c r="AB171" s="68">
        <f>IF(AB$51&lt;=Rates!$D$71,('Sell-Compute'!$C$40*(1+'Sell-Compute'!$C$50)^MOD(AB$51-1,'Sell-Compute'!$C$21)-'Sell-Compute'!$C$42-'Sell-Compute'!$C$43)*(AB168/4)-'Sell-Compute'!$C$41-'Sell-Compute'!$C$44-'Sell-Compute'!$C$45-IF(AND(MOD(AB$51,'Sell-Compute'!$C$21)=0,AB$51&lt;Rates!$D$71),'Sell-Compute'!$C$34*(AB168/4),0),0)</f>
        <v/>
      </c>
    </row>
    <row r="172">
      <c r="A172" s="68" t="inlineStr">
        <is>
          <t>Do nothing (dark modules stop buying GPUs) | dec</t>
        </is>
      </c>
      <c r="C172" s="68">
        <f>-'Sell-Compute'!$B$36</f>
        <v/>
      </c>
      <c r="D172" s="68">
        <f>IF(D$51&lt;=Rates!$D$71,('Sell-Compute'!$B$40*(1+'Sell-Compute'!$B$50)^MOD(D$51-1,'Sell-Compute'!$C$21)-'Sell-Compute'!$B$42-'Sell-Compute'!$B$43)*(D168/4)-'Sell-Compute'!$B$41-'Sell-Compute'!$B$44-'Sell-Compute'!$B$45-IF(AND(MOD(D$51,'Sell-Compute'!$C$21)=0,D$51&lt;Rates!$D$71),'Sell-Compute'!$B$34*(D168/4),0),0)</f>
        <v/>
      </c>
      <c r="E172" s="68">
        <f>IF(E$51&lt;=Rates!$D$71,('Sell-Compute'!$B$40*(1+'Sell-Compute'!$B$50)^MOD(E$51-1,'Sell-Compute'!$C$21)-'Sell-Compute'!$B$42-'Sell-Compute'!$B$43)*(E168/4)-'Sell-Compute'!$B$41-'Sell-Compute'!$B$44-'Sell-Compute'!$B$45-IF(AND(MOD(E$51,'Sell-Compute'!$C$21)=0,E$51&lt;Rates!$D$71),'Sell-Compute'!$B$34*(E168/4),0),0)</f>
        <v/>
      </c>
      <c r="F172" s="68">
        <f>IF(F$51&lt;=Rates!$D$71,('Sell-Compute'!$B$40*(1+'Sell-Compute'!$B$50)^MOD(F$51-1,'Sell-Compute'!$C$21)-'Sell-Compute'!$B$42-'Sell-Compute'!$B$43)*(F168/4)-'Sell-Compute'!$B$41-'Sell-Compute'!$B$44-'Sell-Compute'!$B$45-IF(AND(MOD(F$51,'Sell-Compute'!$C$21)=0,F$51&lt;Rates!$D$71),'Sell-Compute'!$B$34*(F168/4),0),0)</f>
        <v/>
      </c>
      <c r="G172" s="68">
        <f>IF(G$51&lt;=Rates!$D$71,('Sell-Compute'!$B$40*(1+'Sell-Compute'!$B$50)^MOD(G$51-1,'Sell-Compute'!$C$21)-'Sell-Compute'!$B$42-'Sell-Compute'!$B$43)*(G168/4)-'Sell-Compute'!$B$41-'Sell-Compute'!$B$44-'Sell-Compute'!$B$45-IF(AND(MOD(G$51,'Sell-Compute'!$C$21)=0,G$51&lt;Rates!$D$71),'Sell-Compute'!$B$34*(G168/4),0),0)</f>
        <v/>
      </c>
      <c r="H172" s="68">
        <f>IF(H$51&lt;=Rates!$D$71,('Sell-Compute'!$B$40*(1+'Sell-Compute'!$B$50)^MOD(H$51-1,'Sell-Compute'!$C$21)-'Sell-Compute'!$B$42-'Sell-Compute'!$B$43)*(H168/4)-'Sell-Compute'!$B$41-'Sell-Compute'!$B$44-'Sell-Compute'!$B$45-IF(AND(MOD(H$51,'Sell-Compute'!$C$21)=0,H$51&lt;Rates!$D$71),'Sell-Compute'!$B$34*(H168/4),0),0)</f>
        <v/>
      </c>
      <c r="I172" s="68">
        <f>IF(I$51&lt;=Rates!$D$71,('Sell-Compute'!$B$40*(1+'Sell-Compute'!$B$50)^MOD(I$51-1,'Sell-Compute'!$C$21)-'Sell-Compute'!$B$42-'Sell-Compute'!$B$43)*(I168/4)-'Sell-Compute'!$B$41-'Sell-Compute'!$B$44-'Sell-Compute'!$B$45-IF(AND(MOD(I$51,'Sell-Compute'!$C$21)=0,I$51&lt;Rates!$D$71),'Sell-Compute'!$B$34*(I168/4),0),0)</f>
        <v/>
      </c>
      <c r="J172" s="68">
        <f>IF(J$51&lt;=Rates!$D$71,('Sell-Compute'!$B$40*(1+'Sell-Compute'!$B$50)^MOD(J$51-1,'Sell-Compute'!$C$21)-'Sell-Compute'!$B$42-'Sell-Compute'!$B$43)*(J168/4)-'Sell-Compute'!$B$41-'Sell-Compute'!$B$44-'Sell-Compute'!$B$45-IF(AND(MOD(J$51,'Sell-Compute'!$C$21)=0,J$51&lt;Rates!$D$71),'Sell-Compute'!$B$34*(J168/4),0),0)</f>
        <v/>
      </c>
      <c r="K172" s="68">
        <f>IF(K$51&lt;=Rates!$D$71,('Sell-Compute'!$B$40*(1+'Sell-Compute'!$B$50)^MOD(K$51-1,'Sell-Compute'!$C$21)-'Sell-Compute'!$B$42-'Sell-Compute'!$B$43)*(K168/4)-'Sell-Compute'!$B$41-'Sell-Compute'!$B$44-'Sell-Compute'!$B$45-IF(AND(MOD(K$51,'Sell-Compute'!$C$21)=0,K$51&lt;Rates!$D$71),'Sell-Compute'!$B$34*(K168/4),0),0)</f>
        <v/>
      </c>
      <c r="L172" s="68">
        <f>IF(L$51&lt;=Rates!$D$71,('Sell-Compute'!$B$40*(1+'Sell-Compute'!$B$50)^MOD(L$51-1,'Sell-Compute'!$C$21)-'Sell-Compute'!$B$42-'Sell-Compute'!$B$43)*(L168/4)-'Sell-Compute'!$B$41-'Sell-Compute'!$B$44-'Sell-Compute'!$B$45-IF(AND(MOD(L$51,'Sell-Compute'!$C$21)=0,L$51&lt;Rates!$D$71),'Sell-Compute'!$B$34*(L168/4),0),0)</f>
        <v/>
      </c>
      <c r="M172" s="68">
        <f>IF(M$51&lt;=Rates!$D$71,('Sell-Compute'!$B$40*(1+'Sell-Compute'!$B$50)^MOD(M$51-1,'Sell-Compute'!$C$21)-'Sell-Compute'!$B$42-'Sell-Compute'!$B$43)*(M168/4)-'Sell-Compute'!$B$41-'Sell-Compute'!$B$44-'Sell-Compute'!$B$45-IF(AND(MOD(M$51,'Sell-Compute'!$C$21)=0,M$51&lt;Rates!$D$71),'Sell-Compute'!$B$34*(M168/4),0),0)</f>
        <v/>
      </c>
      <c r="N172" s="68">
        <f>IF(N$51&lt;=Rates!$D$71,('Sell-Compute'!$B$40*(1+'Sell-Compute'!$B$50)^MOD(N$51-1,'Sell-Compute'!$C$21)-'Sell-Compute'!$B$42-'Sell-Compute'!$B$43)*(N168/4)-'Sell-Compute'!$B$41-'Sell-Compute'!$B$44-'Sell-Compute'!$B$45-IF(AND(MOD(N$51,'Sell-Compute'!$C$21)=0,N$51&lt;Rates!$D$71),'Sell-Compute'!$B$34*(N168/4),0),0)</f>
        <v/>
      </c>
      <c r="O172" s="68">
        <f>IF(O$51&lt;=Rates!$D$71,('Sell-Compute'!$B$40*(1+'Sell-Compute'!$B$50)^MOD(O$51-1,'Sell-Compute'!$C$21)-'Sell-Compute'!$B$42-'Sell-Compute'!$B$43)*(O168/4)-'Sell-Compute'!$B$41-'Sell-Compute'!$B$44-'Sell-Compute'!$B$45-IF(AND(MOD(O$51,'Sell-Compute'!$C$21)=0,O$51&lt;Rates!$D$71),'Sell-Compute'!$B$34*(O168/4),0),0)</f>
        <v/>
      </c>
      <c r="P172" s="68">
        <f>IF(P$51&lt;=Rates!$D$71,('Sell-Compute'!$B$40*(1+'Sell-Compute'!$B$50)^MOD(P$51-1,'Sell-Compute'!$C$21)-'Sell-Compute'!$B$42-'Sell-Compute'!$B$43)*(P168/4)-'Sell-Compute'!$B$41-'Sell-Compute'!$B$44-'Sell-Compute'!$B$45-IF(AND(MOD(P$51,'Sell-Compute'!$C$21)=0,P$51&lt;Rates!$D$71),'Sell-Compute'!$B$34*(P168/4),0),0)</f>
        <v/>
      </c>
      <c r="Q172" s="68">
        <f>IF(Q$51&lt;=Rates!$D$71,('Sell-Compute'!$B$40*(1+'Sell-Compute'!$B$50)^MOD(Q$51-1,'Sell-Compute'!$C$21)-'Sell-Compute'!$B$42-'Sell-Compute'!$B$43)*(Q168/4)-'Sell-Compute'!$B$41-'Sell-Compute'!$B$44-'Sell-Compute'!$B$45-IF(AND(MOD(Q$51,'Sell-Compute'!$C$21)=0,Q$51&lt;Rates!$D$71),'Sell-Compute'!$B$34*(Q168/4),0),0)</f>
        <v/>
      </c>
      <c r="R172" s="68">
        <f>IF(R$51&lt;=Rates!$D$71,('Sell-Compute'!$B$40*(1+'Sell-Compute'!$B$50)^MOD(R$51-1,'Sell-Compute'!$C$21)-'Sell-Compute'!$B$42-'Sell-Compute'!$B$43)*(R168/4)-'Sell-Compute'!$B$41-'Sell-Compute'!$B$44-'Sell-Compute'!$B$45-IF(AND(MOD(R$51,'Sell-Compute'!$C$21)=0,R$51&lt;Rates!$D$71),'Sell-Compute'!$B$34*(R168/4),0),0)</f>
        <v/>
      </c>
      <c r="S172" s="68">
        <f>IF(S$51&lt;=Rates!$D$71,('Sell-Compute'!$B$40*(1+'Sell-Compute'!$B$50)^MOD(S$51-1,'Sell-Compute'!$C$21)-'Sell-Compute'!$B$42-'Sell-Compute'!$B$43)*(S168/4)-'Sell-Compute'!$B$41-'Sell-Compute'!$B$44-'Sell-Compute'!$B$45-IF(AND(MOD(S$51,'Sell-Compute'!$C$21)=0,S$51&lt;Rates!$D$71),'Sell-Compute'!$B$34*(S168/4),0),0)</f>
        <v/>
      </c>
      <c r="T172" s="68">
        <f>IF(T$51&lt;=Rates!$D$71,('Sell-Compute'!$B$40*(1+'Sell-Compute'!$B$50)^MOD(T$51-1,'Sell-Compute'!$C$21)-'Sell-Compute'!$B$42-'Sell-Compute'!$B$43)*(T168/4)-'Sell-Compute'!$B$41-'Sell-Compute'!$B$44-'Sell-Compute'!$B$45-IF(AND(MOD(T$51,'Sell-Compute'!$C$21)=0,T$51&lt;Rates!$D$71),'Sell-Compute'!$B$34*(T168/4),0),0)</f>
        <v/>
      </c>
      <c r="U172" s="68">
        <f>IF(U$51&lt;=Rates!$D$71,('Sell-Compute'!$B$40*(1+'Sell-Compute'!$B$50)^MOD(U$51-1,'Sell-Compute'!$C$21)-'Sell-Compute'!$B$42-'Sell-Compute'!$B$43)*(U168/4)-'Sell-Compute'!$B$41-'Sell-Compute'!$B$44-'Sell-Compute'!$B$45-IF(AND(MOD(U$51,'Sell-Compute'!$C$21)=0,U$51&lt;Rates!$D$71),'Sell-Compute'!$B$34*(U168/4),0),0)</f>
        <v/>
      </c>
      <c r="V172" s="68">
        <f>IF(V$51&lt;=Rates!$D$71,('Sell-Compute'!$B$40*(1+'Sell-Compute'!$B$50)^MOD(V$51-1,'Sell-Compute'!$C$21)-'Sell-Compute'!$B$42-'Sell-Compute'!$B$43)*(V168/4)-'Sell-Compute'!$B$41-'Sell-Compute'!$B$44-'Sell-Compute'!$B$45-IF(AND(MOD(V$51,'Sell-Compute'!$C$21)=0,V$51&lt;Rates!$D$71),'Sell-Compute'!$B$34*(V168/4),0),0)</f>
        <v/>
      </c>
      <c r="W172" s="68">
        <f>IF(W$51&lt;=Rates!$D$71,('Sell-Compute'!$B$40*(1+'Sell-Compute'!$B$50)^MOD(W$51-1,'Sell-Compute'!$C$21)-'Sell-Compute'!$B$42-'Sell-Compute'!$B$43)*(W168/4)-'Sell-Compute'!$B$41-'Sell-Compute'!$B$44-'Sell-Compute'!$B$45-IF(AND(MOD(W$51,'Sell-Compute'!$C$21)=0,W$51&lt;Rates!$D$71),'Sell-Compute'!$B$34*(W168/4),0),0)</f>
        <v/>
      </c>
      <c r="X172" s="68">
        <f>IF(X$51&lt;=Rates!$D$71,('Sell-Compute'!$B$40*(1+'Sell-Compute'!$B$50)^MOD(X$51-1,'Sell-Compute'!$C$21)-'Sell-Compute'!$B$42-'Sell-Compute'!$B$43)*(X168/4)-'Sell-Compute'!$B$41-'Sell-Compute'!$B$44-'Sell-Compute'!$B$45-IF(AND(MOD(X$51,'Sell-Compute'!$C$21)=0,X$51&lt;Rates!$D$71),'Sell-Compute'!$B$34*(X168/4),0),0)</f>
        <v/>
      </c>
      <c r="Y172" s="68">
        <f>IF(Y$51&lt;=Rates!$D$71,('Sell-Compute'!$B$40*(1+'Sell-Compute'!$B$50)^MOD(Y$51-1,'Sell-Compute'!$C$21)-'Sell-Compute'!$B$42-'Sell-Compute'!$B$43)*(Y168/4)-'Sell-Compute'!$B$41-'Sell-Compute'!$B$44-'Sell-Compute'!$B$45-IF(AND(MOD(Y$51,'Sell-Compute'!$C$21)=0,Y$51&lt;Rates!$D$71),'Sell-Compute'!$B$34*(Y168/4),0),0)</f>
        <v/>
      </c>
      <c r="Z172" s="68">
        <f>IF(Z$51&lt;=Rates!$D$71,('Sell-Compute'!$B$40*(1+'Sell-Compute'!$B$50)^MOD(Z$51-1,'Sell-Compute'!$C$21)-'Sell-Compute'!$B$42-'Sell-Compute'!$B$43)*(Z168/4)-'Sell-Compute'!$B$41-'Sell-Compute'!$B$44-'Sell-Compute'!$B$45-IF(AND(MOD(Z$51,'Sell-Compute'!$C$21)=0,Z$51&lt;Rates!$D$71),'Sell-Compute'!$B$34*(Z168/4),0),0)</f>
        <v/>
      </c>
      <c r="AA172" s="68">
        <f>IF(AA$51&lt;=Rates!$D$71,('Sell-Compute'!$B$40*(1+'Sell-Compute'!$B$50)^MOD(AA$51-1,'Sell-Compute'!$C$21)-'Sell-Compute'!$B$42-'Sell-Compute'!$B$43)*(AA168/4)-'Sell-Compute'!$B$41-'Sell-Compute'!$B$44-'Sell-Compute'!$B$45-IF(AND(MOD(AA$51,'Sell-Compute'!$C$21)=0,AA$51&lt;Rates!$D$71),'Sell-Compute'!$B$34*(AA168/4),0),0)</f>
        <v/>
      </c>
      <c r="AB172" s="68">
        <f>IF(AB$51&lt;=Rates!$D$71,('Sell-Compute'!$B$40*(1+'Sell-Compute'!$B$50)^MOD(AB$51-1,'Sell-Compute'!$C$21)-'Sell-Compute'!$B$42-'Sell-Compute'!$B$43)*(AB168/4)-'Sell-Compute'!$B$41-'Sell-Compute'!$B$44-'Sell-Compute'!$B$45-IF(AND(MOD(AB$51,'Sell-Compute'!$C$21)=0,AB$51&lt;Rates!$D$71),'Sell-Compute'!$B$34*(AB168/4),0),0)</f>
        <v/>
      </c>
    </row>
    <row r="173">
      <c r="A173" s="68" t="inlineStr">
        <is>
          <t>Do nothing (dark modules stop buying GPUs) | colo</t>
        </is>
      </c>
      <c r="C173" s="68">
        <f>-'Sell-Compute'!$I$36</f>
        <v/>
      </c>
      <c r="D173" s="68">
        <f>IF(D$51&lt;=Rates!$D$71,'Sell-Compute'!$I$46-'Sell-Compute'!$I$40*(1-(D168/4)),0)</f>
        <v/>
      </c>
      <c r="E173" s="68">
        <f>IF(E$51&lt;=Rates!$D$71,'Sell-Compute'!$I$46-'Sell-Compute'!$I$40*(1-(E168/4)),0)</f>
        <v/>
      </c>
      <c r="F173" s="68">
        <f>IF(F$51&lt;=Rates!$D$71,'Sell-Compute'!$I$46-'Sell-Compute'!$I$40*(1-(F168/4)),0)</f>
        <v/>
      </c>
      <c r="G173" s="68">
        <f>IF(G$51&lt;=Rates!$D$71,'Sell-Compute'!$I$46-'Sell-Compute'!$I$40*(1-(G168/4)),0)</f>
        <v/>
      </c>
      <c r="H173" s="68">
        <f>IF(H$51&lt;=Rates!$D$71,'Sell-Compute'!$I$46-'Sell-Compute'!$I$40*(1-(H168/4)),0)</f>
        <v/>
      </c>
      <c r="I173" s="68">
        <f>IF(I$51&lt;=Rates!$D$71,'Sell-Compute'!$I$46-'Sell-Compute'!$I$40*(1-(I168/4)),0)</f>
        <v/>
      </c>
      <c r="J173" s="68">
        <f>IF(J$51&lt;=Rates!$D$71,'Sell-Compute'!$I$46-'Sell-Compute'!$I$40*(1-(J168/4)),0)</f>
        <v/>
      </c>
      <c r="K173" s="68">
        <f>IF(K$51&lt;=Rates!$D$71,'Sell-Compute'!$I$46-'Sell-Compute'!$I$40*(1-(K168/4)),0)</f>
        <v/>
      </c>
      <c r="L173" s="68">
        <f>IF(L$51&lt;=Rates!$D$71,'Sell-Compute'!$I$46-'Sell-Compute'!$I$40*(1-(L168/4)),0)</f>
        <v/>
      </c>
      <c r="M173" s="68">
        <f>IF(M$51&lt;=Rates!$D$71,'Sell-Compute'!$I$46-'Sell-Compute'!$I$40*(1-(M168/4)),0)</f>
        <v/>
      </c>
      <c r="N173" s="68">
        <f>IF(N$51&lt;=Rates!$D$71,'Sell-Compute'!$I$46-'Sell-Compute'!$I$40*(1-(N168/4)),0)</f>
        <v/>
      </c>
      <c r="O173" s="68">
        <f>IF(O$51&lt;=Rates!$D$71,'Sell-Compute'!$I$46-'Sell-Compute'!$I$40*(1-(O168/4)),0)</f>
        <v/>
      </c>
      <c r="P173" s="68">
        <f>IF(P$51&lt;=Rates!$D$71,'Sell-Compute'!$I$46-'Sell-Compute'!$I$40*(1-(P168/4)),0)</f>
        <v/>
      </c>
      <c r="Q173" s="68">
        <f>IF(Q$51&lt;=Rates!$D$71,'Sell-Compute'!$I$46-'Sell-Compute'!$I$40*(1-(Q168/4)),0)</f>
        <v/>
      </c>
      <c r="R173" s="68">
        <f>IF(R$51&lt;=Rates!$D$71,'Sell-Compute'!$I$46-'Sell-Compute'!$I$40*(1-(R168/4)),0)</f>
        <v/>
      </c>
      <c r="S173" s="68">
        <f>IF(S$51&lt;=Rates!$D$71,'Sell-Compute'!$I$46-'Sell-Compute'!$I$40*(1-(S168/4)),0)</f>
        <v/>
      </c>
      <c r="T173" s="68">
        <f>IF(T$51&lt;=Rates!$D$71,'Sell-Compute'!$I$46-'Sell-Compute'!$I$40*(1-(T168/4)),0)</f>
        <v/>
      </c>
      <c r="U173" s="68">
        <f>IF(U$51&lt;=Rates!$D$71,'Sell-Compute'!$I$46-'Sell-Compute'!$I$40*(1-(U168/4)),0)</f>
        <v/>
      </c>
      <c r="V173" s="68">
        <f>IF(V$51&lt;=Rates!$D$71,'Sell-Compute'!$I$46-'Sell-Compute'!$I$40*(1-(V168/4)),0)</f>
        <v/>
      </c>
      <c r="W173" s="68">
        <f>IF(W$51&lt;=Rates!$D$71,'Sell-Compute'!$I$46-'Sell-Compute'!$I$40*(1-(W168/4)),0)</f>
        <v/>
      </c>
      <c r="X173" s="68">
        <f>IF(X$51&lt;=Rates!$D$71,'Sell-Compute'!$I$46-'Sell-Compute'!$I$40*(1-(X168/4)),0)</f>
        <v/>
      </c>
      <c r="Y173" s="68">
        <f>IF(Y$51&lt;=Rates!$D$71,'Sell-Compute'!$I$46-'Sell-Compute'!$I$40*(1-(Y168/4)),0)</f>
        <v/>
      </c>
      <c r="Z173" s="68">
        <f>IF(Z$51&lt;=Rates!$D$71,'Sell-Compute'!$I$46-'Sell-Compute'!$I$40*(1-(Z168/4)),0)</f>
        <v/>
      </c>
      <c r="AA173" s="68">
        <f>IF(AA$51&lt;=Rates!$D$71,'Sell-Compute'!$I$46-'Sell-Compute'!$I$40*(1-(AA168/4)),0)</f>
        <v/>
      </c>
      <c r="AB173" s="68">
        <f>IF(AB$51&lt;=Rates!$D$71,'Sell-Compute'!$I$46-'Sell-Compute'!$I$40*(1-(AB168/4)),0)</f>
        <v/>
      </c>
    </row>
    <row r="174">
      <c r="A174" s="68" t="inlineStr">
        <is>
          <t>(a) Extra doublets at start | flat</t>
        </is>
      </c>
      <c r="C174" s="68">
        <f>-'Sell-Compute'!$C$36-IF(ISNUMBER($E$162),$E$162*(2*($C$11+$C$12)*(1+$C$14)),0)</f>
        <v/>
      </c>
      <c r="D174" s="68">
        <f>IF(D$51&lt;=Rates!$D$71,('Sell-Compute'!$C$40*(1+'Sell-Compute'!$C$50)^MOD(D$51-1,'Sell-Compute'!$C$21)-'Sell-Compute'!$C$42-'Sell-Compute'!$C$43)*(D169/4)-'Sell-Compute'!$C$41-'Sell-Compute'!$C$44-'Sell-Compute'!$C$45-IF(AND(MOD(D$51,'Sell-Compute'!$C$21)=0,D$51&lt;Rates!$D$71),'Sell-Compute'!$C$34*(D169/4),0),0)</f>
        <v/>
      </c>
      <c r="E174" s="68">
        <f>IF(E$51&lt;=Rates!$D$71,('Sell-Compute'!$C$40*(1+'Sell-Compute'!$C$50)^MOD(E$51-1,'Sell-Compute'!$C$21)-'Sell-Compute'!$C$42-'Sell-Compute'!$C$43)*(E169/4)-'Sell-Compute'!$C$41-'Sell-Compute'!$C$44-'Sell-Compute'!$C$45-IF(AND(MOD(E$51,'Sell-Compute'!$C$21)=0,E$51&lt;Rates!$D$71),'Sell-Compute'!$C$34*(E169/4),0),0)</f>
        <v/>
      </c>
      <c r="F174" s="68">
        <f>IF(F$51&lt;=Rates!$D$71,('Sell-Compute'!$C$40*(1+'Sell-Compute'!$C$50)^MOD(F$51-1,'Sell-Compute'!$C$21)-'Sell-Compute'!$C$42-'Sell-Compute'!$C$43)*(F169/4)-'Sell-Compute'!$C$41-'Sell-Compute'!$C$44-'Sell-Compute'!$C$45-IF(AND(MOD(F$51,'Sell-Compute'!$C$21)=0,F$51&lt;Rates!$D$71),'Sell-Compute'!$C$34*(F169/4),0),0)</f>
        <v/>
      </c>
      <c r="G174" s="68">
        <f>IF(G$51&lt;=Rates!$D$71,('Sell-Compute'!$C$40*(1+'Sell-Compute'!$C$50)^MOD(G$51-1,'Sell-Compute'!$C$21)-'Sell-Compute'!$C$42-'Sell-Compute'!$C$43)*(G169/4)-'Sell-Compute'!$C$41-'Sell-Compute'!$C$44-'Sell-Compute'!$C$45-IF(AND(MOD(G$51,'Sell-Compute'!$C$21)=0,G$51&lt;Rates!$D$71),'Sell-Compute'!$C$34*(G169/4),0),0)</f>
        <v/>
      </c>
      <c r="H174" s="68">
        <f>IF(H$51&lt;=Rates!$D$71,('Sell-Compute'!$C$40*(1+'Sell-Compute'!$C$50)^MOD(H$51-1,'Sell-Compute'!$C$21)-'Sell-Compute'!$C$42-'Sell-Compute'!$C$43)*(H169/4)-'Sell-Compute'!$C$41-'Sell-Compute'!$C$44-'Sell-Compute'!$C$45-IF(AND(MOD(H$51,'Sell-Compute'!$C$21)=0,H$51&lt;Rates!$D$71),'Sell-Compute'!$C$34*(H169/4),0),0)</f>
        <v/>
      </c>
      <c r="I174" s="68">
        <f>IF(I$51&lt;=Rates!$D$71,('Sell-Compute'!$C$40*(1+'Sell-Compute'!$C$50)^MOD(I$51-1,'Sell-Compute'!$C$21)-'Sell-Compute'!$C$42-'Sell-Compute'!$C$43)*(I169/4)-'Sell-Compute'!$C$41-'Sell-Compute'!$C$44-'Sell-Compute'!$C$45-IF(AND(MOD(I$51,'Sell-Compute'!$C$21)=0,I$51&lt;Rates!$D$71),'Sell-Compute'!$C$34*(I169/4),0),0)</f>
        <v/>
      </c>
      <c r="J174" s="68">
        <f>IF(J$51&lt;=Rates!$D$71,('Sell-Compute'!$C$40*(1+'Sell-Compute'!$C$50)^MOD(J$51-1,'Sell-Compute'!$C$21)-'Sell-Compute'!$C$42-'Sell-Compute'!$C$43)*(J169/4)-'Sell-Compute'!$C$41-'Sell-Compute'!$C$44-'Sell-Compute'!$C$45-IF(AND(MOD(J$51,'Sell-Compute'!$C$21)=0,J$51&lt;Rates!$D$71),'Sell-Compute'!$C$34*(J169/4),0),0)</f>
        <v/>
      </c>
      <c r="K174" s="68">
        <f>IF(K$51&lt;=Rates!$D$71,('Sell-Compute'!$C$40*(1+'Sell-Compute'!$C$50)^MOD(K$51-1,'Sell-Compute'!$C$21)-'Sell-Compute'!$C$42-'Sell-Compute'!$C$43)*(K169/4)-'Sell-Compute'!$C$41-'Sell-Compute'!$C$44-'Sell-Compute'!$C$45-IF(AND(MOD(K$51,'Sell-Compute'!$C$21)=0,K$51&lt;Rates!$D$71),'Sell-Compute'!$C$34*(K169/4),0),0)</f>
        <v/>
      </c>
      <c r="L174" s="68">
        <f>IF(L$51&lt;=Rates!$D$71,('Sell-Compute'!$C$40*(1+'Sell-Compute'!$C$50)^MOD(L$51-1,'Sell-Compute'!$C$21)-'Sell-Compute'!$C$42-'Sell-Compute'!$C$43)*(L169/4)-'Sell-Compute'!$C$41-'Sell-Compute'!$C$44-'Sell-Compute'!$C$45-IF(AND(MOD(L$51,'Sell-Compute'!$C$21)=0,L$51&lt;Rates!$D$71),'Sell-Compute'!$C$34*(L169/4),0),0)</f>
        <v/>
      </c>
      <c r="M174" s="68">
        <f>IF(M$51&lt;=Rates!$D$71,('Sell-Compute'!$C$40*(1+'Sell-Compute'!$C$50)^MOD(M$51-1,'Sell-Compute'!$C$21)-'Sell-Compute'!$C$42-'Sell-Compute'!$C$43)*(M169/4)-'Sell-Compute'!$C$41-'Sell-Compute'!$C$44-'Sell-Compute'!$C$45-IF(AND(MOD(M$51,'Sell-Compute'!$C$21)=0,M$51&lt;Rates!$D$71),'Sell-Compute'!$C$34*(M169/4),0),0)</f>
        <v/>
      </c>
      <c r="N174" s="68">
        <f>IF(N$51&lt;=Rates!$D$71,('Sell-Compute'!$C$40*(1+'Sell-Compute'!$C$50)^MOD(N$51-1,'Sell-Compute'!$C$21)-'Sell-Compute'!$C$42-'Sell-Compute'!$C$43)*(N169/4)-'Sell-Compute'!$C$41-'Sell-Compute'!$C$44-'Sell-Compute'!$C$45-IF(AND(MOD(N$51,'Sell-Compute'!$C$21)=0,N$51&lt;Rates!$D$71),'Sell-Compute'!$C$34*(N169/4),0),0)</f>
        <v/>
      </c>
      <c r="O174" s="68">
        <f>IF(O$51&lt;=Rates!$D$71,('Sell-Compute'!$C$40*(1+'Sell-Compute'!$C$50)^MOD(O$51-1,'Sell-Compute'!$C$21)-'Sell-Compute'!$C$42-'Sell-Compute'!$C$43)*(O169/4)-'Sell-Compute'!$C$41-'Sell-Compute'!$C$44-'Sell-Compute'!$C$45-IF(AND(MOD(O$51,'Sell-Compute'!$C$21)=0,O$51&lt;Rates!$D$71),'Sell-Compute'!$C$34*(O169/4),0),0)</f>
        <v/>
      </c>
      <c r="P174" s="68">
        <f>IF(P$51&lt;=Rates!$D$71,('Sell-Compute'!$C$40*(1+'Sell-Compute'!$C$50)^MOD(P$51-1,'Sell-Compute'!$C$21)-'Sell-Compute'!$C$42-'Sell-Compute'!$C$43)*(P169/4)-'Sell-Compute'!$C$41-'Sell-Compute'!$C$44-'Sell-Compute'!$C$45-IF(AND(MOD(P$51,'Sell-Compute'!$C$21)=0,P$51&lt;Rates!$D$71),'Sell-Compute'!$C$34*(P169/4),0),0)</f>
        <v/>
      </c>
      <c r="Q174" s="68">
        <f>IF(Q$51&lt;=Rates!$D$71,('Sell-Compute'!$C$40*(1+'Sell-Compute'!$C$50)^MOD(Q$51-1,'Sell-Compute'!$C$21)-'Sell-Compute'!$C$42-'Sell-Compute'!$C$43)*(Q169/4)-'Sell-Compute'!$C$41-'Sell-Compute'!$C$44-'Sell-Compute'!$C$45-IF(AND(MOD(Q$51,'Sell-Compute'!$C$21)=0,Q$51&lt;Rates!$D$71),'Sell-Compute'!$C$34*(Q169/4),0),0)</f>
        <v/>
      </c>
      <c r="R174" s="68">
        <f>IF(R$51&lt;=Rates!$D$71,('Sell-Compute'!$C$40*(1+'Sell-Compute'!$C$50)^MOD(R$51-1,'Sell-Compute'!$C$21)-'Sell-Compute'!$C$42-'Sell-Compute'!$C$43)*(R169/4)-'Sell-Compute'!$C$41-'Sell-Compute'!$C$44-'Sell-Compute'!$C$45-IF(AND(MOD(R$51,'Sell-Compute'!$C$21)=0,R$51&lt;Rates!$D$71),'Sell-Compute'!$C$34*(R169/4),0),0)</f>
        <v/>
      </c>
      <c r="S174" s="68">
        <f>IF(S$51&lt;=Rates!$D$71,('Sell-Compute'!$C$40*(1+'Sell-Compute'!$C$50)^MOD(S$51-1,'Sell-Compute'!$C$21)-'Sell-Compute'!$C$42-'Sell-Compute'!$C$43)*(S169/4)-'Sell-Compute'!$C$41-'Sell-Compute'!$C$44-'Sell-Compute'!$C$45-IF(AND(MOD(S$51,'Sell-Compute'!$C$21)=0,S$51&lt;Rates!$D$71),'Sell-Compute'!$C$34*(S169/4),0),0)</f>
        <v/>
      </c>
      <c r="T174" s="68">
        <f>IF(T$51&lt;=Rates!$D$71,('Sell-Compute'!$C$40*(1+'Sell-Compute'!$C$50)^MOD(T$51-1,'Sell-Compute'!$C$21)-'Sell-Compute'!$C$42-'Sell-Compute'!$C$43)*(T169/4)-'Sell-Compute'!$C$41-'Sell-Compute'!$C$44-'Sell-Compute'!$C$45-IF(AND(MOD(T$51,'Sell-Compute'!$C$21)=0,T$51&lt;Rates!$D$71),'Sell-Compute'!$C$34*(T169/4),0),0)</f>
        <v/>
      </c>
      <c r="U174" s="68">
        <f>IF(U$51&lt;=Rates!$D$71,('Sell-Compute'!$C$40*(1+'Sell-Compute'!$C$50)^MOD(U$51-1,'Sell-Compute'!$C$21)-'Sell-Compute'!$C$42-'Sell-Compute'!$C$43)*(U169/4)-'Sell-Compute'!$C$41-'Sell-Compute'!$C$44-'Sell-Compute'!$C$45-IF(AND(MOD(U$51,'Sell-Compute'!$C$21)=0,U$51&lt;Rates!$D$71),'Sell-Compute'!$C$34*(U169/4),0),0)</f>
        <v/>
      </c>
      <c r="V174" s="68">
        <f>IF(V$51&lt;=Rates!$D$71,('Sell-Compute'!$C$40*(1+'Sell-Compute'!$C$50)^MOD(V$51-1,'Sell-Compute'!$C$21)-'Sell-Compute'!$C$42-'Sell-Compute'!$C$43)*(V169/4)-'Sell-Compute'!$C$41-'Sell-Compute'!$C$44-'Sell-Compute'!$C$45-IF(AND(MOD(V$51,'Sell-Compute'!$C$21)=0,V$51&lt;Rates!$D$71),'Sell-Compute'!$C$34*(V169/4),0),0)</f>
        <v/>
      </c>
      <c r="W174" s="68">
        <f>IF(W$51&lt;=Rates!$D$71,('Sell-Compute'!$C$40*(1+'Sell-Compute'!$C$50)^MOD(W$51-1,'Sell-Compute'!$C$21)-'Sell-Compute'!$C$42-'Sell-Compute'!$C$43)*(W169/4)-'Sell-Compute'!$C$41-'Sell-Compute'!$C$44-'Sell-Compute'!$C$45-IF(AND(MOD(W$51,'Sell-Compute'!$C$21)=0,W$51&lt;Rates!$D$71),'Sell-Compute'!$C$34*(W169/4),0),0)</f>
        <v/>
      </c>
      <c r="X174" s="68">
        <f>IF(X$51&lt;=Rates!$D$71,('Sell-Compute'!$C$40*(1+'Sell-Compute'!$C$50)^MOD(X$51-1,'Sell-Compute'!$C$21)-'Sell-Compute'!$C$42-'Sell-Compute'!$C$43)*(X169/4)-'Sell-Compute'!$C$41-'Sell-Compute'!$C$44-'Sell-Compute'!$C$45-IF(AND(MOD(X$51,'Sell-Compute'!$C$21)=0,X$51&lt;Rates!$D$71),'Sell-Compute'!$C$34*(X169/4),0),0)</f>
        <v/>
      </c>
      <c r="Y174" s="68">
        <f>IF(Y$51&lt;=Rates!$D$71,('Sell-Compute'!$C$40*(1+'Sell-Compute'!$C$50)^MOD(Y$51-1,'Sell-Compute'!$C$21)-'Sell-Compute'!$C$42-'Sell-Compute'!$C$43)*(Y169/4)-'Sell-Compute'!$C$41-'Sell-Compute'!$C$44-'Sell-Compute'!$C$45-IF(AND(MOD(Y$51,'Sell-Compute'!$C$21)=0,Y$51&lt;Rates!$D$71),'Sell-Compute'!$C$34*(Y169/4),0),0)</f>
        <v/>
      </c>
      <c r="Z174" s="68">
        <f>IF(Z$51&lt;=Rates!$D$71,('Sell-Compute'!$C$40*(1+'Sell-Compute'!$C$50)^MOD(Z$51-1,'Sell-Compute'!$C$21)-'Sell-Compute'!$C$42-'Sell-Compute'!$C$43)*(Z169/4)-'Sell-Compute'!$C$41-'Sell-Compute'!$C$44-'Sell-Compute'!$C$45-IF(AND(MOD(Z$51,'Sell-Compute'!$C$21)=0,Z$51&lt;Rates!$D$71),'Sell-Compute'!$C$34*(Z169/4),0),0)</f>
        <v/>
      </c>
      <c r="AA174" s="68">
        <f>IF(AA$51&lt;=Rates!$D$71,('Sell-Compute'!$C$40*(1+'Sell-Compute'!$C$50)^MOD(AA$51-1,'Sell-Compute'!$C$21)-'Sell-Compute'!$C$42-'Sell-Compute'!$C$43)*(AA169/4)-'Sell-Compute'!$C$41-'Sell-Compute'!$C$44-'Sell-Compute'!$C$45-IF(AND(MOD(AA$51,'Sell-Compute'!$C$21)=0,AA$51&lt;Rates!$D$71),'Sell-Compute'!$C$34*(AA169/4),0),0)</f>
        <v/>
      </c>
      <c r="AB174" s="68">
        <f>IF(AB$51&lt;=Rates!$D$71,('Sell-Compute'!$C$40*(1+'Sell-Compute'!$C$50)^MOD(AB$51-1,'Sell-Compute'!$C$21)-'Sell-Compute'!$C$42-'Sell-Compute'!$C$43)*(AB169/4)-'Sell-Compute'!$C$41-'Sell-Compute'!$C$44-'Sell-Compute'!$C$45-IF(AND(MOD(AB$51,'Sell-Compute'!$C$21)=0,AB$51&lt;Rates!$D$71),'Sell-Compute'!$C$34*(AB169/4),0),0)</f>
        <v/>
      </c>
    </row>
    <row r="175">
      <c r="A175" s="68" t="inlineStr">
        <is>
          <t>(a) Extra doublets at start | dec</t>
        </is>
      </c>
      <c r="C175" s="68">
        <f>-'Sell-Compute'!$B$36-IF(ISNUMBER($E$162),$E$162*(2*($C$11+$C$12)*(1+$C$14)),0)</f>
        <v/>
      </c>
      <c r="D175" s="68">
        <f>IF(D$51&lt;=Rates!$D$71,('Sell-Compute'!$B$40*(1+'Sell-Compute'!$B$50)^MOD(D$51-1,'Sell-Compute'!$C$21)-'Sell-Compute'!$B$42-'Sell-Compute'!$B$43)*(D169/4)-'Sell-Compute'!$B$41-'Sell-Compute'!$B$44-'Sell-Compute'!$B$45-IF(AND(MOD(D$51,'Sell-Compute'!$C$21)=0,D$51&lt;Rates!$D$71),'Sell-Compute'!$B$34*(D169/4),0),0)</f>
        <v/>
      </c>
      <c r="E175" s="68">
        <f>IF(E$51&lt;=Rates!$D$71,('Sell-Compute'!$B$40*(1+'Sell-Compute'!$B$50)^MOD(E$51-1,'Sell-Compute'!$C$21)-'Sell-Compute'!$B$42-'Sell-Compute'!$B$43)*(E169/4)-'Sell-Compute'!$B$41-'Sell-Compute'!$B$44-'Sell-Compute'!$B$45-IF(AND(MOD(E$51,'Sell-Compute'!$C$21)=0,E$51&lt;Rates!$D$71),'Sell-Compute'!$B$34*(E169/4),0),0)</f>
        <v/>
      </c>
      <c r="F175" s="68">
        <f>IF(F$51&lt;=Rates!$D$71,('Sell-Compute'!$B$40*(1+'Sell-Compute'!$B$50)^MOD(F$51-1,'Sell-Compute'!$C$21)-'Sell-Compute'!$B$42-'Sell-Compute'!$B$43)*(F169/4)-'Sell-Compute'!$B$41-'Sell-Compute'!$B$44-'Sell-Compute'!$B$45-IF(AND(MOD(F$51,'Sell-Compute'!$C$21)=0,F$51&lt;Rates!$D$71),'Sell-Compute'!$B$34*(F169/4),0),0)</f>
        <v/>
      </c>
      <c r="G175" s="68">
        <f>IF(G$51&lt;=Rates!$D$71,('Sell-Compute'!$B$40*(1+'Sell-Compute'!$B$50)^MOD(G$51-1,'Sell-Compute'!$C$21)-'Sell-Compute'!$B$42-'Sell-Compute'!$B$43)*(G169/4)-'Sell-Compute'!$B$41-'Sell-Compute'!$B$44-'Sell-Compute'!$B$45-IF(AND(MOD(G$51,'Sell-Compute'!$C$21)=0,G$51&lt;Rates!$D$71),'Sell-Compute'!$B$34*(G169/4),0),0)</f>
        <v/>
      </c>
      <c r="H175" s="68">
        <f>IF(H$51&lt;=Rates!$D$71,('Sell-Compute'!$B$40*(1+'Sell-Compute'!$B$50)^MOD(H$51-1,'Sell-Compute'!$C$21)-'Sell-Compute'!$B$42-'Sell-Compute'!$B$43)*(H169/4)-'Sell-Compute'!$B$41-'Sell-Compute'!$B$44-'Sell-Compute'!$B$45-IF(AND(MOD(H$51,'Sell-Compute'!$C$21)=0,H$51&lt;Rates!$D$71),'Sell-Compute'!$B$34*(H169/4),0),0)</f>
        <v/>
      </c>
      <c r="I175" s="68">
        <f>IF(I$51&lt;=Rates!$D$71,('Sell-Compute'!$B$40*(1+'Sell-Compute'!$B$50)^MOD(I$51-1,'Sell-Compute'!$C$21)-'Sell-Compute'!$B$42-'Sell-Compute'!$B$43)*(I169/4)-'Sell-Compute'!$B$41-'Sell-Compute'!$B$44-'Sell-Compute'!$B$45-IF(AND(MOD(I$51,'Sell-Compute'!$C$21)=0,I$51&lt;Rates!$D$71),'Sell-Compute'!$B$34*(I169/4),0),0)</f>
        <v/>
      </c>
      <c r="J175" s="68">
        <f>IF(J$51&lt;=Rates!$D$71,('Sell-Compute'!$B$40*(1+'Sell-Compute'!$B$50)^MOD(J$51-1,'Sell-Compute'!$C$21)-'Sell-Compute'!$B$42-'Sell-Compute'!$B$43)*(J169/4)-'Sell-Compute'!$B$41-'Sell-Compute'!$B$44-'Sell-Compute'!$B$45-IF(AND(MOD(J$51,'Sell-Compute'!$C$21)=0,J$51&lt;Rates!$D$71),'Sell-Compute'!$B$34*(J169/4),0),0)</f>
        <v/>
      </c>
      <c r="K175" s="68">
        <f>IF(K$51&lt;=Rates!$D$71,('Sell-Compute'!$B$40*(1+'Sell-Compute'!$B$50)^MOD(K$51-1,'Sell-Compute'!$C$21)-'Sell-Compute'!$B$42-'Sell-Compute'!$B$43)*(K169/4)-'Sell-Compute'!$B$41-'Sell-Compute'!$B$44-'Sell-Compute'!$B$45-IF(AND(MOD(K$51,'Sell-Compute'!$C$21)=0,K$51&lt;Rates!$D$71),'Sell-Compute'!$B$34*(K169/4),0),0)</f>
        <v/>
      </c>
      <c r="L175" s="68">
        <f>IF(L$51&lt;=Rates!$D$71,('Sell-Compute'!$B$40*(1+'Sell-Compute'!$B$50)^MOD(L$51-1,'Sell-Compute'!$C$21)-'Sell-Compute'!$B$42-'Sell-Compute'!$B$43)*(L169/4)-'Sell-Compute'!$B$41-'Sell-Compute'!$B$44-'Sell-Compute'!$B$45-IF(AND(MOD(L$51,'Sell-Compute'!$C$21)=0,L$51&lt;Rates!$D$71),'Sell-Compute'!$B$34*(L169/4),0),0)</f>
        <v/>
      </c>
      <c r="M175" s="68">
        <f>IF(M$51&lt;=Rates!$D$71,('Sell-Compute'!$B$40*(1+'Sell-Compute'!$B$50)^MOD(M$51-1,'Sell-Compute'!$C$21)-'Sell-Compute'!$B$42-'Sell-Compute'!$B$43)*(M169/4)-'Sell-Compute'!$B$41-'Sell-Compute'!$B$44-'Sell-Compute'!$B$45-IF(AND(MOD(M$51,'Sell-Compute'!$C$21)=0,M$51&lt;Rates!$D$71),'Sell-Compute'!$B$34*(M169/4),0),0)</f>
        <v/>
      </c>
      <c r="N175" s="68">
        <f>IF(N$51&lt;=Rates!$D$71,('Sell-Compute'!$B$40*(1+'Sell-Compute'!$B$50)^MOD(N$51-1,'Sell-Compute'!$C$21)-'Sell-Compute'!$B$42-'Sell-Compute'!$B$43)*(N169/4)-'Sell-Compute'!$B$41-'Sell-Compute'!$B$44-'Sell-Compute'!$B$45-IF(AND(MOD(N$51,'Sell-Compute'!$C$21)=0,N$51&lt;Rates!$D$71),'Sell-Compute'!$B$34*(N169/4),0),0)</f>
        <v/>
      </c>
      <c r="O175" s="68">
        <f>IF(O$51&lt;=Rates!$D$71,('Sell-Compute'!$B$40*(1+'Sell-Compute'!$B$50)^MOD(O$51-1,'Sell-Compute'!$C$21)-'Sell-Compute'!$B$42-'Sell-Compute'!$B$43)*(O169/4)-'Sell-Compute'!$B$41-'Sell-Compute'!$B$44-'Sell-Compute'!$B$45-IF(AND(MOD(O$51,'Sell-Compute'!$C$21)=0,O$51&lt;Rates!$D$71),'Sell-Compute'!$B$34*(O169/4),0),0)</f>
        <v/>
      </c>
      <c r="P175" s="68">
        <f>IF(P$51&lt;=Rates!$D$71,('Sell-Compute'!$B$40*(1+'Sell-Compute'!$B$50)^MOD(P$51-1,'Sell-Compute'!$C$21)-'Sell-Compute'!$B$42-'Sell-Compute'!$B$43)*(P169/4)-'Sell-Compute'!$B$41-'Sell-Compute'!$B$44-'Sell-Compute'!$B$45-IF(AND(MOD(P$51,'Sell-Compute'!$C$21)=0,P$51&lt;Rates!$D$71),'Sell-Compute'!$B$34*(P169/4),0),0)</f>
        <v/>
      </c>
      <c r="Q175" s="68">
        <f>IF(Q$51&lt;=Rates!$D$71,('Sell-Compute'!$B$40*(1+'Sell-Compute'!$B$50)^MOD(Q$51-1,'Sell-Compute'!$C$21)-'Sell-Compute'!$B$42-'Sell-Compute'!$B$43)*(Q169/4)-'Sell-Compute'!$B$41-'Sell-Compute'!$B$44-'Sell-Compute'!$B$45-IF(AND(MOD(Q$51,'Sell-Compute'!$C$21)=0,Q$51&lt;Rates!$D$71),'Sell-Compute'!$B$34*(Q169/4),0),0)</f>
        <v/>
      </c>
      <c r="R175" s="68">
        <f>IF(R$51&lt;=Rates!$D$71,('Sell-Compute'!$B$40*(1+'Sell-Compute'!$B$50)^MOD(R$51-1,'Sell-Compute'!$C$21)-'Sell-Compute'!$B$42-'Sell-Compute'!$B$43)*(R169/4)-'Sell-Compute'!$B$41-'Sell-Compute'!$B$44-'Sell-Compute'!$B$45-IF(AND(MOD(R$51,'Sell-Compute'!$C$21)=0,R$51&lt;Rates!$D$71),'Sell-Compute'!$B$34*(R169/4),0),0)</f>
        <v/>
      </c>
      <c r="S175" s="68">
        <f>IF(S$51&lt;=Rates!$D$71,('Sell-Compute'!$B$40*(1+'Sell-Compute'!$B$50)^MOD(S$51-1,'Sell-Compute'!$C$21)-'Sell-Compute'!$B$42-'Sell-Compute'!$B$43)*(S169/4)-'Sell-Compute'!$B$41-'Sell-Compute'!$B$44-'Sell-Compute'!$B$45-IF(AND(MOD(S$51,'Sell-Compute'!$C$21)=0,S$51&lt;Rates!$D$71),'Sell-Compute'!$B$34*(S169/4),0),0)</f>
        <v/>
      </c>
      <c r="T175" s="68">
        <f>IF(T$51&lt;=Rates!$D$71,('Sell-Compute'!$B$40*(1+'Sell-Compute'!$B$50)^MOD(T$51-1,'Sell-Compute'!$C$21)-'Sell-Compute'!$B$42-'Sell-Compute'!$B$43)*(T169/4)-'Sell-Compute'!$B$41-'Sell-Compute'!$B$44-'Sell-Compute'!$B$45-IF(AND(MOD(T$51,'Sell-Compute'!$C$21)=0,T$51&lt;Rates!$D$71),'Sell-Compute'!$B$34*(T169/4),0),0)</f>
        <v/>
      </c>
      <c r="U175" s="68">
        <f>IF(U$51&lt;=Rates!$D$71,('Sell-Compute'!$B$40*(1+'Sell-Compute'!$B$50)^MOD(U$51-1,'Sell-Compute'!$C$21)-'Sell-Compute'!$B$42-'Sell-Compute'!$B$43)*(U169/4)-'Sell-Compute'!$B$41-'Sell-Compute'!$B$44-'Sell-Compute'!$B$45-IF(AND(MOD(U$51,'Sell-Compute'!$C$21)=0,U$51&lt;Rates!$D$71),'Sell-Compute'!$B$34*(U169/4),0),0)</f>
        <v/>
      </c>
      <c r="V175" s="68">
        <f>IF(V$51&lt;=Rates!$D$71,('Sell-Compute'!$B$40*(1+'Sell-Compute'!$B$50)^MOD(V$51-1,'Sell-Compute'!$C$21)-'Sell-Compute'!$B$42-'Sell-Compute'!$B$43)*(V169/4)-'Sell-Compute'!$B$41-'Sell-Compute'!$B$44-'Sell-Compute'!$B$45-IF(AND(MOD(V$51,'Sell-Compute'!$C$21)=0,V$51&lt;Rates!$D$71),'Sell-Compute'!$B$34*(V169/4),0),0)</f>
        <v/>
      </c>
      <c r="W175" s="68">
        <f>IF(W$51&lt;=Rates!$D$71,('Sell-Compute'!$B$40*(1+'Sell-Compute'!$B$50)^MOD(W$51-1,'Sell-Compute'!$C$21)-'Sell-Compute'!$B$42-'Sell-Compute'!$B$43)*(W169/4)-'Sell-Compute'!$B$41-'Sell-Compute'!$B$44-'Sell-Compute'!$B$45-IF(AND(MOD(W$51,'Sell-Compute'!$C$21)=0,W$51&lt;Rates!$D$71),'Sell-Compute'!$B$34*(W169/4),0),0)</f>
        <v/>
      </c>
      <c r="X175" s="68">
        <f>IF(X$51&lt;=Rates!$D$71,('Sell-Compute'!$B$40*(1+'Sell-Compute'!$B$50)^MOD(X$51-1,'Sell-Compute'!$C$21)-'Sell-Compute'!$B$42-'Sell-Compute'!$B$43)*(X169/4)-'Sell-Compute'!$B$41-'Sell-Compute'!$B$44-'Sell-Compute'!$B$45-IF(AND(MOD(X$51,'Sell-Compute'!$C$21)=0,X$51&lt;Rates!$D$71),'Sell-Compute'!$B$34*(X169/4),0),0)</f>
        <v/>
      </c>
      <c r="Y175" s="68">
        <f>IF(Y$51&lt;=Rates!$D$71,('Sell-Compute'!$B$40*(1+'Sell-Compute'!$B$50)^MOD(Y$51-1,'Sell-Compute'!$C$21)-'Sell-Compute'!$B$42-'Sell-Compute'!$B$43)*(Y169/4)-'Sell-Compute'!$B$41-'Sell-Compute'!$B$44-'Sell-Compute'!$B$45-IF(AND(MOD(Y$51,'Sell-Compute'!$C$21)=0,Y$51&lt;Rates!$D$71),'Sell-Compute'!$B$34*(Y169/4),0),0)</f>
        <v/>
      </c>
      <c r="Z175" s="68">
        <f>IF(Z$51&lt;=Rates!$D$71,('Sell-Compute'!$B$40*(1+'Sell-Compute'!$B$50)^MOD(Z$51-1,'Sell-Compute'!$C$21)-'Sell-Compute'!$B$42-'Sell-Compute'!$B$43)*(Z169/4)-'Sell-Compute'!$B$41-'Sell-Compute'!$B$44-'Sell-Compute'!$B$45-IF(AND(MOD(Z$51,'Sell-Compute'!$C$21)=0,Z$51&lt;Rates!$D$71),'Sell-Compute'!$B$34*(Z169/4),0),0)</f>
        <v/>
      </c>
      <c r="AA175" s="68">
        <f>IF(AA$51&lt;=Rates!$D$71,('Sell-Compute'!$B$40*(1+'Sell-Compute'!$B$50)^MOD(AA$51-1,'Sell-Compute'!$C$21)-'Sell-Compute'!$B$42-'Sell-Compute'!$B$43)*(AA169/4)-'Sell-Compute'!$B$41-'Sell-Compute'!$B$44-'Sell-Compute'!$B$45-IF(AND(MOD(AA$51,'Sell-Compute'!$C$21)=0,AA$51&lt;Rates!$D$71),'Sell-Compute'!$B$34*(AA169/4),0),0)</f>
        <v/>
      </c>
      <c r="AB175" s="68">
        <f>IF(AB$51&lt;=Rates!$D$71,('Sell-Compute'!$B$40*(1+'Sell-Compute'!$B$50)^MOD(AB$51-1,'Sell-Compute'!$C$21)-'Sell-Compute'!$B$42-'Sell-Compute'!$B$43)*(AB169/4)-'Sell-Compute'!$B$41-'Sell-Compute'!$B$44-'Sell-Compute'!$B$45-IF(AND(MOD(AB$51,'Sell-Compute'!$C$21)=0,AB$51&lt;Rates!$D$71),'Sell-Compute'!$B$34*(AB169/4),0),0)</f>
        <v/>
      </c>
    </row>
    <row r="176">
      <c r="A176" s="68" t="inlineStr">
        <is>
          <t>(a) Extra doublets at start | colo</t>
        </is>
      </c>
      <c r="C176" s="68">
        <f>-'Sell-Compute'!$I$36-IF(ISNUMBER($E$162),$E$162*(2*($C$11+$C$12)*(1+$C$14)),0)</f>
        <v/>
      </c>
      <c r="D176" s="68">
        <f>IF(D$51&lt;=Rates!$D$71,'Sell-Compute'!$I$46-'Sell-Compute'!$I$40*(1-(D169/4)),0)</f>
        <v/>
      </c>
      <c r="E176" s="68">
        <f>IF(E$51&lt;=Rates!$D$71,'Sell-Compute'!$I$46-'Sell-Compute'!$I$40*(1-(E169/4)),0)</f>
        <v/>
      </c>
      <c r="F176" s="68">
        <f>IF(F$51&lt;=Rates!$D$71,'Sell-Compute'!$I$46-'Sell-Compute'!$I$40*(1-(F169/4)),0)</f>
        <v/>
      </c>
      <c r="G176" s="68">
        <f>IF(G$51&lt;=Rates!$D$71,'Sell-Compute'!$I$46-'Sell-Compute'!$I$40*(1-(G169/4)),0)</f>
        <v/>
      </c>
      <c r="H176" s="68">
        <f>IF(H$51&lt;=Rates!$D$71,'Sell-Compute'!$I$46-'Sell-Compute'!$I$40*(1-(H169/4)),0)</f>
        <v/>
      </c>
      <c r="I176" s="68">
        <f>IF(I$51&lt;=Rates!$D$71,'Sell-Compute'!$I$46-'Sell-Compute'!$I$40*(1-(I169/4)),0)</f>
        <v/>
      </c>
      <c r="J176" s="68">
        <f>IF(J$51&lt;=Rates!$D$71,'Sell-Compute'!$I$46-'Sell-Compute'!$I$40*(1-(J169/4)),0)</f>
        <v/>
      </c>
      <c r="K176" s="68">
        <f>IF(K$51&lt;=Rates!$D$71,'Sell-Compute'!$I$46-'Sell-Compute'!$I$40*(1-(K169/4)),0)</f>
        <v/>
      </c>
      <c r="L176" s="68">
        <f>IF(L$51&lt;=Rates!$D$71,'Sell-Compute'!$I$46-'Sell-Compute'!$I$40*(1-(L169/4)),0)</f>
        <v/>
      </c>
      <c r="M176" s="68">
        <f>IF(M$51&lt;=Rates!$D$71,'Sell-Compute'!$I$46-'Sell-Compute'!$I$40*(1-(M169/4)),0)</f>
        <v/>
      </c>
      <c r="N176" s="68">
        <f>IF(N$51&lt;=Rates!$D$71,'Sell-Compute'!$I$46-'Sell-Compute'!$I$40*(1-(N169/4)),0)</f>
        <v/>
      </c>
      <c r="O176" s="68">
        <f>IF(O$51&lt;=Rates!$D$71,'Sell-Compute'!$I$46-'Sell-Compute'!$I$40*(1-(O169/4)),0)</f>
        <v/>
      </c>
      <c r="P176" s="68">
        <f>IF(P$51&lt;=Rates!$D$71,'Sell-Compute'!$I$46-'Sell-Compute'!$I$40*(1-(P169/4)),0)</f>
        <v/>
      </c>
      <c r="Q176" s="68">
        <f>IF(Q$51&lt;=Rates!$D$71,'Sell-Compute'!$I$46-'Sell-Compute'!$I$40*(1-(Q169/4)),0)</f>
        <v/>
      </c>
      <c r="R176" s="68">
        <f>IF(R$51&lt;=Rates!$D$71,'Sell-Compute'!$I$46-'Sell-Compute'!$I$40*(1-(R169/4)),0)</f>
        <v/>
      </c>
      <c r="S176" s="68">
        <f>IF(S$51&lt;=Rates!$D$71,'Sell-Compute'!$I$46-'Sell-Compute'!$I$40*(1-(S169/4)),0)</f>
        <v/>
      </c>
      <c r="T176" s="68">
        <f>IF(T$51&lt;=Rates!$D$71,'Sell-Compute'!$I$46-'Sell-Compute'!$I$40*(1-(T169/4)),0)</f>
        <v/>
      </c>
      <c r="U176" s="68">
        <f>IF(U$51&lt;=Rates!$D$71,'Sell-Compute'!$I$46-'Sell-Compute'!$I$40*(1-(U169/4)),0)</f>
        <v/>
      </c>
      <c r="V176" s="68">
        <f>IF(V$51&lt;=Rates!$D$71,'Sell-Compute'!$I$46-'Sell-Compute'!$I$40*(1-(V169/4)),0)</f>
        <v/>
      </c>
      <c r="W176" s="68">
        <f>IF(W$51&lt;=Rates!$D$71,'Sell-Compute'!$I$46-'Sell-Compute'!$I$40*(1-(W169/4)),0)</f>
        <v/>
      </c>
      <c r="X176" s="68">
        <f>IF(X$51&lt;=Rates!$D$71,'Sell-Compute'!$I$46-'Sell-Compute'!$I$40*(1-(X169/4)),0)</f>
        <v/>
      </c>
      <c r="Y176" s="68">
        <f>IF(Y$51&lt;=Rates!$D$71,'Sell-Compute'!$I$46-'Sell-Compute'!$I$40*(1-(Y169/4)),0)</f>
        <v/>
      </c>
      <c r="Z176" s="68">
        <f>IF(Z$51&lt;=Rates!$D$71,'Sell-Compute'!$I$46-'Sell-Compute'!$I$40*(1-(Z169/4)),0)</f>
        <v/>
      </c>
      <c r="AA176" s="68">
        <f>IF(AA$51&lt;=Rates!$D$71,'Sell-Compute'!$I$46-'Sell-Compute'!$I$40*(1-(AA169/4)),0)</f>
        <v/>
      </c>
      <c r="AB176" s="68">
        <f>IF(AB$51&lt;=Rates!$D$71,'Sell-Compute'!$I$46-'Sell-Compute'!$I$40*(1-(AB169/4)),0)</f>
        <v/>
      </c>
    </row>
    <row r="177">
      <c r="A177" s="68" t="inlineStr">
        <is>
          <t>(b) Make-up doublets on a monitored trigger | flat</t>
        </is>
      </c>
      <c r="C177" s="68">
        <f>-'Sell-Compute'!$C$36-C167</f>
        <v/>
      </c>
      <c r="D177" s="68">
        <f>IF(D$51&lt;=Rates!$D$71,('Sell-Compute'!$C$40*(1+'Sell-Compute'!$C$50)^MOD(D$51-1,'Sell-Compute'!$C$21)-'Sell-Compute'!$C$42-'Sell-Compute'!$C$43)*(D170/4)-'Sell-Compute'!$C$41-'Sell-Compute'!$C$44-'Sell-Compute'!$C$45-IF(AND(MOD(D$51,'Sell-Compute'!$C$21)=0,D$51&lt;Rates!$D$71),'Sell-Compute'!$C$34*(D170/4),0),0)-D167</f>
        <v/>
      </c>
      <c r="E177" s="68">
        <f>IF(E$51&lt;=Rates!$D$71,('Sell-Compute'!$C$40*(1+'Sell-Compute'!$C$50)^MOD(E$51-1,'Sell-Compute'!$C$21)-'Sell-Compute'!$C$42-'Sell-Compute'!$C$43)*(E170/4)-'Sell-Compute'!$C$41-'Sell-Compute'!$C$44-'Sell-Compute'!$C$45-IF(AND(MOD(E$51,'Sell-Compute'!$C$21)=0,E$51&lt;Rates!$D$71),'Sell-Compute'!$C$34*(E170/4),0),0)-E167</f>
        <v/>
      </c>
      <c r="F177" s="68">
        <f>IF(F$51&lt;=Rates!$D$71,('Sell-Compute'!$C$40*(1+'Sell-Compute'!$C$50)^MOD(F$51-1,'Sell-Compute'!$C$21)-'Sell-Compute'!$C$42-'Sell-Compute'!$C$43)*(F170/4)-'Sell-Compute'!$C$41-'Sell-Compute'!$C$44-'Sell-Compute'!$C$45-IF(AND(MOD(F$51,'Sell-Compute'!$C$21)=0,F$51&lt;Rates!$D$71),'Sell-Compute'!$C$34*(F170/4),0),0)-F167</f>
        <v/>
      </c>
      <c r="G177" s="68">
        <f>IF(G$51&lt;=Rates!$D$71,('Sell-Compute'!$C$40*(1+'Sell-Compute'!$C$50)^MOD(G$51-1,'Sell-Compute'!$C$21)-'Sell-Compute'!$C$42-'Sell-Compute'!$C$43)*(G170/4)-'Sell-Compute'!$C$41-'Sell-Compute'!$C$44-'Sell-Compute'!$C$45-IF(AND(MOD(G$51,'Sell-Compute'!$C$21)=0,G$51&lt;Rates!$D$71),'Sell-Compute'!$C$34*(G170/4),0),0)-G167</f>
        <v/>
      </c>
      <c r="H177" s="68">
        <f>IF(H$51&lt;=Rates!$D$71,('Sell-Compute'!$C$40*(1+'Sell-Compute'!$C$50)^MOD(H$51-1,'Sell-Compute'!$C$21)-'Sell-Compute'!$C$42-'Sell-Compute'!$C$43)*(H170/4)-'Sell-Compute'!$C$41-'Sell-Compute'!$C$44-'Sell-Compute'!$C$45-IF(AND(MOD(H$51,'Sell-Compute'!$C$21)=0,H$51&lt;Rates!$D$71),'Sell-Compute'!$C$34*(H170/4),0),0)-H167</f>
        <v/>
      </c>
      <c r="I177" s="68">
        <f>IF(I$51&lt;=Rates!$D$71,('Sell-Compute'!$C$40*(1+'Sell-Compute'!$C$50)^MOD(I$51-1,'Sell-Compute'!$C$21)-'Sell-Compute'!$C$42-'Sell-Compute'!$C$43)*(I170/4)-'Sell-Compute'!$C$41-'Sell-Compute'!$C$44-'Sell-Compute'!$C$45-IF(AND(MOD(I$51,'Sell-Compute'!$C$21)=0,I$51&lt;Rates!$D$71),'Sell-Compute'!$C$34*(I170/4),0),0)-I167</f>
        <v/>
      </c>
      <c r="J177" s="68">
        <f>IF(J$51&lt;=Rates!$D$71,('Sell-Compute'!$C$40*(1+'Sell-Compute'!$C$50)^MOD(J$51-1,'Sell-Compute'!$C$21)-'Sell-Compute'!$C$42-'Sell-Compute'!$C$43)*(J170/4)-'Sell-Compute'!$C$41-'Sell-Compute'!$C$44-'Sell-Compute'!$C$45-IF(AND(MOD(J$51,'Sell-Compute'!$C$21)=0,J$51&lt;Rates!$D$71),'Sell-Compute'!$C$34*(J170/4),0),0)-J167</f>
        <v/>
      </c>
      <c r="K177" s="68">
        <f>IF(K$51&lt;=Rates!$D$71,('Sell-Compute'!$C$40*(1+'Sell-Compute'!$C$50)^MOD(K$51-1,'Sell-Compute'!$C$21)-'Sell-Compute'!$C$42-'Sell-Compute'!$C$43)*(K170/4)-'Sell-Compute'!$C$41-'Sell-Compute'!$C$44-'Sell-Compute'!$C$45-IF(AND(MOD(K$51,'Sell-Compute'!$C$21)=0,K$51&lt;Rates!$D$71),'Sell-Compute'!$C$34*(K170/4),0),0)-K167</f>
        <v/>
      </c>
      <c r="L177" s="68">
        <f>IF(L$51&lt;=Rates!$D$71,('Sell-Compute'!$C$40*(1+'Sell-Compute'!$C$50)^MOD(L$51-1,'Sell-Compute'!$C$21)-'Sell-Compute'!$C$42-'Sell-Compute'!$C$43)*(L170/4)-'Sell-Compute'!$C$41-'Sell-Compute'!$C$44-'Sell-Compute'!$C$45-IF(AND(MOD(L$51,'Sell-Compute'!$C$21)=0,L$51&lt;Rates!$D$71),'Sell-Compute'!$C$34*(L170/4),0),0)-L167</f>
        <v/>
      </c>
      <c r="M177" s="68">
        <f>IF(M$51&lt;=Rates!$D$71,('Sell-Compute'!$C$40*(1+'Sell-Compute'!$C$50)^MOD(M$51-1,'Sell-Compute'!$C$21)-'Sell-Compute'!$C$42-'Sell-Compute'!$C$43)*(M170/4)-'Sell-Compute'!$C$41-'Sell-Compute'!$C$44-'Sell-Compute'!$C$45-IF(AND(MOD(M$51,'Sell-Compute'!$C$21)=0,M$51&lt;Rates!$D$71),'Sell-Compute'!$C$34*(M170/4),0),0)-M167</f>
        <v/>
      </c>
      <c r="N177" s="68">
        <f>IF(N$51&lt;=Rates!$D$71,('Sell-Compute'!$C$40*(1+'Sell-Compute'!$C$50)^MOD(N$51-1,'Sell-Compute'!$C$21)-'Sell-Compute'!$C$42-'Sell-Compute'!$C$43)*(N170/4)-'Sell-Compute'!$C$41-'Sell-Compute'!$C$44-'Sell-Compute'!$C$45-IF(AND(MOD(N$51,'Sell-Compute'!$C$21)=0,N$51&lt;Rates!$D$71),'Sell-Compute'!$C$34*(N170/4),0),0)-N167</f>
        <v/>
      </c>
      <c r="O177" s="68">
        <f>IF(O$51&lt;=Rates!$D$71,('Sell-Compute'!$C$40*(1+'Sell-Compute'!$C$50)^MOD(O$51-1,'Sell-Compute'!$C$21)-'Sell-Compute'!$C$42-'Sell-Compute'!$C$43)*(O170/4)-'Sell-Compute'!$C$41-'Sell-Compute'!$C$44-'Sell-Compute'!$C$45-IF(AND(MOD(O$51,'Sell-Compute'!$C$21)=0,O$51&lt;Rates!$D$71),'Sell-Compute'!$C$34*(O170/4),0),0)-O167</f>
        <v/>
      </c>
      <c r="P177" s="68">
        <f>IF(P$51&lt;=Rates!$D$71,('Sell-Compute'!$C$40*(1+'Sell-Compute'!$C$50)^MOD(P$51-1,'Sell-Compute'!$C$21)-'Sell-Compute'!$C$42-'Sell-Compute'!$C$43)*(P170/4)-'Sell-Compute'!$C$41-'Sell-Compute'!$C$44-'Sell-Compute'!$C$45-IF(AND(MOD(P$51,'Sell-Compute'!$C$21)=0,P$51&lt;Rates!$D$71),'Sell-Compute'!$C$34*(P170/4),0),0)-P167</f>
        <v/>
      </c>
      <c r="Q177" s="68">
        <f>IF(Q$51&lt;=Rates!$D$71,('Sell-Compute'!$C$40*(1+'Sell-Compute'!$C$50)^MOD(Q$51-1,'Sell-Compute'!$C$21)-'Sell-Compute'!$C$42-'Sell-Compute'!$C$43)*(Q170/4)-'Sell-Compute'!$C$41-'Sell-Compute'!$C$44-'Sell-Compute'!$C$45-IF(AND(MOD(Q$51,'Sell-Compute'!$C$21)=0,Q$51&lt;Rates!$D$71),'Sell-Compute'!$C$34*(Q170/4),0),0)-Q167</f>
        <v/>
      </c>
      <c r="R177" s="68">
        <f>IF(R$51&lt;=Rates!$D$71,('Sell-Compute'!$C$40*(1+'Sell-Compute'!$C$50)^MOD(R$51-1,'Sell-Compute'!$C$21)-'Sell-Compute'!$C$42-'Sell-Compute'!$C$43)*(R170/4)-'Sell-Compute'!$C$41-'Sell-Compute'!$C$44-'Sell-Compute'!$C$45-IF(AND(MOD(R$51,'Sell-Compute'!$C$21)=0,R$51&lt;Rates!$D$71),'Sell-Compute'!$C$34*(R170/4),0),0)-R167</f>
        <v/>
      </c>
      <c r="S177" s="68">
        <f>IF(S$51&lt;=Rates!$D$71,('Sell-Compute'!$C$40*(1+'Sell-Compute'!$C$50)^MOD(S$51-1,'Sell-Compute'!$C$21)-'Sell-Compute'!$C$42-'Sell-Compute'!$C$43)*(S170/4)-'Sell-Compute'!$C$41-'Sell-Compute'!$C$44-'Sell-Compute'!$C$45-IF(AND(MOD(S$51,'Sell-Compute'!$C$21)=0,S$51&lt;Rates!$D$71),'Sell-Compute'!$C$34*(S170/4),0),0)-S167</f>
        <v/>
      </c>
      <c r="T177" s="68">
        <f>IF(T$51&lt;=Rates!$D$71,('Sell-Compute'!$C$40*(1+'Sell-Compute'!$C$50)^MOD(T$51-1,'Sell-Compute'!$C$21)-'Sell-Compute'!$C$42-'Sell-Compute'!$C$43)*(T170/4)-'Sell-Compute'!$C$41-'Sell-Compute'!$C$44-'Sell-Compute'!$C$45-IF(AND(MOD(T$51,'Sell-Compute'!$C$21)=0,T$51&lt;Rates!$D$71),'Sell-Compute'!$C$34*(T170/4),0),0)-T167</f>
        <v/>
      </c>
      <c r="U177" s="68">
        <f>IF(U$51&lt;=Rates!$D$71,('Sell-Compute'!$C$40*(1+'Sell-Compute'!$C$50)^MOD(U$51-1,'Sell-Compute'!$C$21)-'Sell-Compute'!$C$42-'Sell-Compute'!$C$43)*(U170/4)-'Sell-Compute'!$C$41-'Sell-Compute'!$C$44-'Sell-Compute'!$C$45-IF(AND(MOD(U$51,'Sell-Compute'!$C$21)=0,U$51&lt;Rates!$D$71),'Sell-Compute'!$C$34*(U170/4),0),0)-U167</f>
        <v/>
      </c>
      <c r="V177" s="68">
        <f>IF(V$51&lt;=Rates!$D$71,('Sell-Compute'!$C$40*(1+'Sell-Compute'!$C$50)^MOD(V$51-1,'Sell-Compute'!$C$21)-'Sell-Compute'!$C$42-'Sell-Compute'!$C$43)*(V170/4)-'Sell-Compute'!$C$41-'Sell-Compute'!$C$44-'Sell-Compute'!$C$45-IF(AND(MOD(V$51,'Sell-Compute'!$C$21)=0,V$51&lt;Rates!$D$71),'Sell-Compute'!$C$34*(V170/4),0),0)-V167</f>
        <v/>
      </c>
      <c r="W177" s="68">
        <f>IF(W$51&lt;=Rates!$D$71,('Sell-Compute'!$C$40*(1+'Sell-Compute'!$C$50)^MOD(W$51-1,'Sell-Compute'!$C$21)-'Sell-Compute'!$C$42-'Sell-Compute'!$C$43)*(W170/4)-'Sell-Compute'!$C$41-'Sell-Compute'!$C$44-'Sell-Compute'!$C$45-IF(AND(MOD(W$51,'Sell-Compute'!$C$21)=0,W$51&lt;Rates!$D$71),'Sell-Compute'!$C$34*(W170/4),0),0)-W167</f>
        <v/>
      </c>
      <c r="X177" s="68">
        <f>IF(X$51&lt;=Rates!$D$71,('Sell-Compute'!$C$40*(1+'Sell-Compute'!$C$50)^MOD(X$51-1,'Sell-Compute'!$C$21)-'Sell-Compute'!$C$42-'Sell-Compute'!$C$43)*(X170/4)-'Sell-Compute'!$C$41-'Sell-Compute'!$C$44-'Sell-Compute'!$C$45-IF(AND(MOD(X$51,'Sell-Compute'!$C$21)=0,X$51&lt;Rates!$D$71),'Sell-Compute'!$C$34*(X170/4),0),0)-X167</f>
        <v/>
      </c>
      <c r="Y177" s="68">
        <f>IF(Y$51&lt;=Rates!$D$71,('Sell-Compute'!$C$40*(1+'Sell-Compute'!$C$50)^MOD(Y$51-1,'Sell-Compute'!$C$21)-'Sell-Compute'!$C$42-'Sell-Compute'!$C$43)*(Y170/4)-'Sell-Compute'!$C$41-'Sell-Compute'!$C$44-'Sell-Compute'!$C$45-IF(AND(MOD(Y$51,'Sell-Compute'!$C$21)=0,Y$51&lt;Rates!$D$71),'Sell-Compute'!$C$34*(Y170/4),0),0)-Y167</f>
        <v/>
      </c>
      <c r="Z177" s="68">
        <f>IF(Z$51&lt;=Rates!$D$71,('Sell-Compute'!$C$40*(1+'Sell-Compute'!$C$50)^MOD(Z$51-1,'Sell-Compute'!$C$21)-'Sell-Compute'!$C$42-'Sell-Compute'!$C$43)*(Z170/4)-'Sell-Compute'!$C$41-'Sell-Compute'!$C$44-'Sell-Compute'!$C$45-IF(AND(MOD(Z$51,'Sell-Compute'!$C$21)=0,Z$51&lt;Rates!$D$71),'Sell-Compute'!$C$34*(Z170/4),0),0)-Z167</f>
        <v/>
      </c>
      <c r="AA177" s="68">
        <f>IF(AA$51&lt;=Rates!$D$71,('Sell-Compute'!$C$40*(1+'Sell-Compute'!$C$50)^MOD(AA$51-1,'Sell-Compute'!$C$21)-'Sell-Compute'!$C$42-'Sell-Compute'!$C$43)*(AA170/4)-'Sell-Compute'!$C$41-'Sell-Compute'!$C$44-'Sell-Compute'!$C$45-IF(AND(MOD(AA$51,'Sell-Compute'!$C$21)=0,AA$51&lt;Rates!$D$71),'Sell-Compute'!$C$34*(AA170/4),0),0)-AA167</f>
        <v/>
      </c>
      <c r="AB177" s="68">
        <f>IF(AB$51&lt;=Rates!$D$71,('Sell-Compute'!$C$40*(1+'Sell-Compute'!$C$50)^MOD(AB$51-1,'Sell-Compute'!$C$21)-'Sell-Compute'!$C$42-'Sell-Compute'!$C$43)*(AB170/4)-'Sell-Compute'!$C$41-'Sell-Compute'!$C$44-'Sell-Compute'!$C$45-IF(AND(MOD(AB$51,'Sell-Compute'!$C$21)=0,AB$51&lt;Rates!$D$71),'Sell-Compute'!$C$34*(AB170/4),0),0)-AB167</f>
        <v/>
      </c>
    </row>
    <row r="178">
      <c r="A178" s="68" t="inlineStr">
        <is>
          <t>(b) Make-up doublets on a monitored trigger | dec</t>
        </is>
      </c>
      <c r="C178" s="68">
        <f>-'Sell-Compute'!$B$36-C167</f>
        <v/>
      </c>
      <c r="D178" s="68">
        <f>IF(D$51&lt;=Rates!$D$71,('Sell-Compute'!$B$40*(1+'Sell-Compute'!$B$50)^MOD(D$51-1,'Sell-Compute'!$C$21)-'Sell-Compute'!$B$42-'Sell-Compute'!$B$43)*(D170/4)-'Sell-Compute'!$B$41-'Sell-Compute'!$B$44-'Sell-Compute'!$B$45-IF(AND(MOD(D$51,'Sell-Compute'!$C$21)=0,D$51&lt;Rates!$D$71),'Sell-Compute'!$B$34*(D170/4),0),0)-D167</f>
        <v/>
      </c>
      <c r="E178" s="68">
        <f>IF(E$51&lt;=Rates!$D$71,('Sell-Compute'!$B$40*(1+'Sell-Compute'!$B$50)^MOD(E$51-1,'Sell-Compute'!$C$21)-'Sell-Compute'!$B$42-'Sell-Compute'!$B$43)*(E170/4)-'Sell-Compute'!$B$41-'Sell-Compute'!$B$44-'Sell-Compute'!$B$45-IF(AND(MOD(E$51,'Sell-Compute'!$C$21)=0,E$51&lt;Rates!$D$71),'Sell-Compute'!$B$34*(E170/4),0),0)-E167</f>
        <v/>
      </c>
      <c r="F178" s="68">
        <f>IF(F$51&lt;=Rates!$D$71,('Sell-Compute'!$B$40*(1+'Sell-Compute'!$B$50)^MOD(F$51-1,'Sell-Compute'!$C$21)-'Sell-Compute'!$B$42-'Sell-Compute'!$B$43)*(F170/4)-'Sell-Compute'!$B$41-'Sell-Compute'!$B$44-'Sell-Compute'!$B$45-IF(AND(MOD(F$51,'Sell-Compute'!$C$21)=0,F$51&lt;Rates!$D$71),'Sell-Compute'!$B$34*(F170/4),0),0)-F167</f>
        <v/>
      </c>
      <c r="G178" s="68">
        <f>IF(G$51&lt;=Rates!$D$71,('Sell-Compute'!$B$40*(1+'Sell-Compute'!$B$50)^MOD(G$51-1,'Sell-Compute'!$C$21)-'Sell-Compute'!$B$42-'Sell-Compute'!$B$43)*(G170/4)-'Sell-Compute'!$B$41-'Sell-Compute'!$B$44-'Sell-Compute'!$B$45-IF(AND(MOD(G$51,'Sell-Compute'!$C$21)=0,G$51&lt;Rates!$D$71),'Sell-Compute'!$B$34*(G170/4),0),0)-G167</f>
        <v/>
      </c>
      <c r="H178" s="68">
        <f>IF(H$51&lt;=Rates!$D$71,('Sell-Compute'!$B$40*(1+'Sell-Compute'!$B$50)^MOD(H$51-1,'Sell-Compute'!$C$21)-'Sell-Compute'!$B$42-'Sell-Compute'!$B$43)*(H170/4)-'Sell-Compute'!$B$41-'Sell-Compute'!$B$44-'Sell-Compute'!$B$45-IF(AND(MOD(H$51,'Sell-Compute'!$C$21)=0,H$51&lt;Rates!$D$71),'Sell-Compute'!$B$34*(H170/4),0),0)-H167</f>
        <v/>
      </c>
      <c r="I178" s="68">
        <f>IF(I$51&lt;=Rates!$D$71,('Sell-Compute'!$B$40*(1+'Sell-Compute'!$B$50)^MOD(I$51-1,'Sell-Compute'!$C$21)-'Sell-Compute'!$B$42-'Sell-Compute'!$B$43)*(I170/4)-'Sell-Compute'!$B$41-'Sell-Compute'!$B$44-'Sell-Compute'!$B$45-IF(AND(MOD(I$51,'Sell-Compute'!$C$21)=0,I$51&lt;Rates!$D$71),'Sell-Compute'!$B$34*(I170/4),0),0)-I167</f>
        <v/>
      </c>
      <c r="J178" s="68">
        <f>IF(J$51&lt;=Rates!$D$71,('Sell-Compute'!$B$40*(1+'Sell-Compute'!$B$50)^MOD(J$51-1,'Sell-Compute'!$C$21)-'Sell-Compute'!$B$42-'Sell-Compute'!$B$43)*(J170/4)-'Sell-Compute'!$B$41-'Sell-Compute'!$B$44-'Sell-Compute'!$B$45-IF(AND(MOD(J$51,'Sell-Compute'!$C$21)=0,J$51&lt;Rates!$D$71),'Sell-Compute'!$B$34*(J170/4),0),0)-J167</f>
        <v/>
      </c>
      <c r="K178" s="68">
        <f>IF(K$51&lt;=Rates!$D$71,('Sell-Compute'!$B$40*(1+'Sell-Compute'!$B$50)^MOD(K$51-1,'Sell-Compute'!$C$21)-'Sell-Compute'!$B$42-'Sell-Compute'!$B$43)*(K170/4)-'Sell-Compute'!$B$41-'Sell-Compute'!$B$44-'Sell-Compute'!$B$45-IF(AND(MOD(K$51,'Sell-Compute'!$C$21)=0,K$51&lt;Rates!$D$71),'Sell-Compute'!$B$34*(K170/4),0),0)-K167</f>
        <v/>
      </c>
      <c r="L178" s="68">
        <f>IF(L$51&lt;=Rates!$D$71,('Sell-Compute'!$B$40*(1+'Sell-Compute'!$B$50)^MOD(L$51-1,'Sell-Compute'!$C$21)-'Sell-Compute'!$B$42-'Sell-Compute'!$B$43)*(L170/4)-'Sell-Compute'!$B$41-'Sell-Compute'!$B$44-'Sell-Compute'!$B$45-IF(AND(MOD(L$51,'Sell-Compute'!$C$21)=0,L$51&lt;Rates!$D$71),'Sell-Compute'!$B$34*(L170/4),0),0)-L167</f>
        <v/>
      </c>
      <c r="M178" s="68">
        <f>IF(M$51&lt;=Rates!$D$71,('Sell-Compute'!$B$40*(1+'Sell-Compute'!$B$50)^MOD(M$51-1,'Sell-Compute'!$C$21)-'Sell-Compute'!$B$42-'Sell-Compute'!$B$43)*(M170/4)-'Sell-Compute'!$B$41-'Sell-Compute'!$B$44-'Sell-Compute'!$B$45-IF(AND(MOD(M$51,'Sell-Compute'!$C$21)=0,M$51&lt;Rates!$D$71),'Sell-Compute'!$B$34*(M170/4),0),0)-M167</f>
        <v/>
      </c>
      <c r="N178" s="68">
        <f>IF(N$51&lt;=Rates!$D$71,('Sell-Compute'!$B$40*(1+'Sell-Compute'!$B$50)^MOD(N$51-1,'Sell-Compute'!$C$21)-'Sell-Compute'!$B$42-'Sell-Compute'!$B$43)*(N170/4)-'Sell-Compute'!$B$41-'Sell-Compute'!$B$44-'Sell-Compute'!$B$45-IF(AND(MOD(N$51,'Sell-Compute'!$C$21)=0,N$51&lt;Rates!$D$71),'Sell-Compute'!$B$34*(N170/4),0),0)-N167</f>
        <v/>
      </c>
      <c r="O178" s="68">
        <f>IF(O$51&lt;=Rates!$D$71,('Sell-Compute'!$B$40*(1+'Sell-Compute'!$B$50)^MOD(O$51-1,'Sell-Compute'!$C$21)-'Sell-Compute'!$B$42-'Sell-Compute'!$B$43)*(O170/4)-'Sell-Compute'!$B$41-'Sell-Compute'!$B$44-'Sell-Compute'!$B$45-IF(AND(MOD(O$51,'Sell-Compute'!$C$21)=0,O$51&lt;Rates!$D$71),'Sell-Compute'!$B$34*(O170/4),0),0)-O167</f>
        <v/>
      </c>
      <c r="P178" s="68">
        <f>IF(P$51&lt;=Rates!$D$71,('Sell-Compute'!$B$40*(1+'Sell-Compute'!$B$50)^MOD(P$51-1,'Sell-Compute'!$C$21)-'Sell-Compute'!$B$42-'Sell-Compute'!$B$43)*(P170/4)-'Sell-Compute'!$B$41-'Sell-Compute'!$B$44-'Sell-Compute'!$B$45-IF(AND(MOD(P$51,'Sell-Compute'!$C$21)=0,P$51&lt;Rates!$D$71),'Sell-Compute'!$B$34*(P170/4),0),0)-P167</f>
        <v/>
      </c>
      <c r="Q178" s="68">
        <f>IF(Q$51&lt;=Rates!$D$71,('Sell-Compute'!$B$40*(1+'Sell-Compute'!$B$50)^MOD(Q$51-1,'Sell-Compute'!$C$21)-'Sell-Compute'!$B$42-'Sell-Compute'!$B$43)*(Q170/4)-'Sell-Compute'!$B$41-'Sell-Compute'!$B$44-'Sell-Compute'!$B$45-IF(AND(MOD(Q$51,'Sell-Compute'!$C$21)=0,Q$51&lt;Rates!$D$71),'Sell-Compute'!$B$34*(Q170/4),0),0)-Q167</f>
        <v/>
      </c>
      <c r="R178" s="68">
        <f>IF(R$51&lt;=Rates!$D$71,('Sell-Compute'!$B$40*(1+'Sell-Compute'!$B$50)^MOD(R$51-1,'Sell-Compute'!$C$21)-'Sell-Compute'!$B$42-'Sell-Compute'!$B$43)*(R170/4)-'Sell-Compute'!$B$41-'Sell-Compute'!$B$44-'Sell-Compute'!$B$45-IF(AND(MOD(R$51,'Sell-Compute'!$C$21)=0,R$51&lt;Rates!$D$71),'Sell-Compute'!$B$34*(R170/4),0),0)-R167</f>
        <v/>
      </c>
      <c r="S178" s="68">
        <f>IF(S$51&lt;=Rates!$D$71,('Sell-Compute'!$B$40*(1+'Sell-Compute'!$B$50)^MOD(S$51-1,'Sell-Compute'!$C$21)-'Sell-Compute'!$B$42-'Sell-Compute'!$B$43)*(S170/4)-'Sell-Compute'!$B$41-'Sell-Compute'!$B$44-'Sell-Compute'!$B$45-IF(AND(MOD(S$51,'Sell-Compute'!$C$21)=0,S$51&lt;Rates!$D$71),'Sell-Compute'!$B$34*(S170/4),0),0)-S167</f>
        <v/>
      </c>
      <c r="T178" s="68">
        <f>IF(T$51&lt;=Rates!$D$71,('Sell-Compute'!$B$40*(1+'Sell-Compute'!$B$50)^MOD(T$51-1,'Sell-Compute'!$C$21)-'Sell-Compute'!$B$42-'Sell-Compute'!$B$43)*(T170/4)-'Sell-Compute'!$B$41-'Sell-Compute'!$B$44-'Sell-Compute'!$B$45-IF(AND(MOD(T$51,'Sell-Compute'!$C$21)=0,T$51&lt;Rates!$D$71),'Sell-Compute'!$B$34*(T170/4),0),0)-T167</f>
        <v/>
      </c>
      <c r="U178" s="68">
        <f>IF(U$51&lt;=Rates!$D$71,('Sell-Compute'!$B$40*(1+'Sell-Compute'!$B$50)^MOD(U$51-1,'Sell-Compute'!$C$21)-'Sell-Compute'!$B$42-'Sell-Compute'!$B$43)*(U170/4)-'Sell-Compute'!$B$41-'Sell-Compute'!$B$44-'Sell-Compute'!$B$45-IF(AND(MOD(U$51,'Sell-Compute'!$C$21)=0,U$51&lt;Rates!$D$71),'Sell-Compute'!$B$34*(U170/4),0),0)-U167</f>
        <v/>
      </c>
      <c r="V178" s="68">
        <f>IF(V$51&lt;=Rates!$D$71,('Sell-Compute'!$B$40*(1+'Sell-Compute'!$B$50)^MOD(V$51-1,'Sell-Compute'!$C$21)-'Sell-Compute'!$B$42-'Sell-Compute'!$B$43)*(V170/4)-'Sell-Compute'!$B$41-'Sell-Compute'!$B$44-'Sell-Compute'!$B$45-IF(AND(MOD(V$51,'Sell-Compute'!$C$21)=0,V$51&lt;Rates!$D$71),'Sell-Compute'!$B$34*(V170/4),0),0)-V167</f>
        <v/>
      </c>
      <c r="W178" s="68">
        <f>IF(W$51&lt;=Rates!$D$71,('Sell-Compute'!$B$40*(1+'Sell-Compute'!$B$50)^MOD(W$51-1,'Sell-Compute'!$C$21)-'Sell-Compute'!$B$42-'Sell-Compute'!$B$43)*(W170/4)-'Sell-Compute'!$B$41-'Sell-Compute'!$B$44-'Sell-Compute'!$B$45-IF(AND(MOD(W$51,'Sell-Compute'!$C$21)=0,W$51&lt;Rates!$D$71),'Sell-Compute'!$B$34*(W170/4),0),0)-W167</f>
        <v/>
      </c>
      <c r="X178" s="68">
        <f>IF(X$51&lt;=Rates!$D$71,('Sell-Compute'!$B$40*(1+'Sell-Compute'!$B$50)^MOD(X$51-1,'Sell-Compute'!$C$21)-'Sell-Compute'!$B$42-'Sell-Compute'!$B$43)*(X170/4)-'Sell-Compute'!$B$41-'Sell-Compute'!$B$44-'Sell-Compute'!$B$45-IF(AND(MOD(X$51,'Sell-Compute'!$C$21)=0,X$51&lt;Rates!$D$71),'Sell-Compute'!$B$34*(X170/4),0),0)-X167</f>
        <v/>
      </c>
      <c r="Y178" s="68">
        <f>IF(Y$51&lt;=Rates!$D$71,('Sell-Compute'!$B$40*(1+'Sell-Compute'!$B$50)^MOD(Y$51-1,'Sell-Compute'!$C$21)-'Sell-Compute'!$B$42-'Sell-Compute'!$B$43)*(Y170/4)-'Sell-Compute'!$B$41-'Sell-Compute'!$B$44-'Sell-Compute'!$B$45-IF(AND(MOD(Y$51,'Sell-Compute'!$C$21)=0,Y$51&lt;Rates!$D$71),'Sell-Compute'!$B$34*(Y170/4),0),0)-Y167</f>
        <v/>
      </c>
      <c r="Z178" s="68">
        <f>IF(Z$51&lt;=Rates!$D$71,('Sell-Compute'!$B$40*(1+'Sell-Compute'!$B$50)^MOD(Z$51-1,'Sell-Compute'!$C$21)-'Sell-Compute'!$B$42-'Sell-Compute'!$B$43)*(Z170/4)-'Sell-Compute'!$B$41-'Sell-Compute'!$B$44-'Sell-Compute'!$B$45-IF(AND(MOD(Z$51,'Sell-Compute'!$C$21)=0,Z$51&lt;Rates!$D$71),'Sell-Compute'!$B$34*(Z170/4),0),0)-Z167</f>
        <v/>
      </c>
      <c r="AA178" s="68">
        <f>IF(AA$51&lt;=Rates!$D$71,('Sell-Compute'!$B$40*(1+'Sell-Compute'!$B$50)^MOD(AA$51-1,'Sell-Compute'!$C$21)-'Sell-Compute'!$B$42-'Sell-Compute'!$B$43)*(AA170/4)-'Sell-Compute'!$B$41-'Sell-Compute'!$B$44-'Sell-Compute'!$B$45-IF(AND(MOD(AA$51,'Sell-Compute'!$C$21)=0,AA$51&lt;Rates!$D$71),'Sell-Compute'!$B$34*(AA170/4),0),0)-AA167</f>
        <v/>
      </c>
      <c r="AB178" s="68">
        <f>IF(AB$51&lt;=Rates!$D$71,('Sell-Compute'!$B$40*(1+'Sell-Compute'!$B$50)^MOD(AB$51-1,'Sell-Compute'!$C$21)-'Sell-Compute'!$B$42-'Sell-Compute'!$B$43)*(AB170/4)-'Sell-Compute'!$B$41-'Sell-Compute'!$B$44-'Sell-Compute'!$B$45-IF(AND(MOD(AB$51,'Sell-Compute'!$C$21)=0,AB$51&lt;Rates!$D$71),'Sell-Compute'!$B$34*(AB170/4),0),0)-AB167</f>
        <v/>
      </c>
    </row>
    <row r="179">
      <c r="A179" s="68" t="inlineStr">
        <is>
          <t>(b) Make-up doublets on a monitored trigger | colo</t>
        </is>
      </c>
      <c r="C179" s="68">
        <f>-'Sell-Compute'!$I$36-C167</f>
        <v/>
      </c>
      <c r="D179" s="68">
        <f>IF(D$51&lt;=Rates!$D$71,'Sell-Compute'!$I$46-'Sell-Compute'!$I$40*(1-(D170/4)),0)-D167</f>
        <v/>
      </c>
      <c r="E179" s="68">
        <f>IF(E$51&lt;=Rates!$D$71,'Sell-Compute'!$I$46-'Sell-Compute'!$I$40*(1-(E170/4)),0)-E167</f>
        <v/>
      </c>
      <c r="F179" s="68">
        <f>IF(F$51&lt;=Rates!$D$71,'Sell-Compute'!$I$46-'Sell-Compute'!$I$40*(1-(F170/4)),0)-F167</f>
        <v/>
      </c>
      <c r="G179" s="68">
        <f>IF(G$51&lt;=Rates!$D$71,'Sell-Compute'!$I$46-'Sell-Compute'!$I$40*(1-(G170/4)),0)-G167</f>
        <v/>
      </c>
      <c r="H179" s="68">
        <f>IF(H$51&lt;=Rates!$D$71,'Sell-Compute'!$I$46-'Sell-Compute'!$I$40*(1-(H170/4)),0)-H167</f>
        <v/>
      </c>
      <c r="I179" s="68">
        <f>IF(I$51&lt;=Rates!$D$71,'Sell-Compute'!$I$46-'Sell-Compute'!$I$40*(1-(I170/4)),0)-I167</f>
        <v/>
      </c>
      <c r="J179" s="68">
        <f>IF(J$51&lt;=Rates!$D$71,'Sell-Compute'!$I$46-'Sell-Compute'!$I$40*(1-(J170/4)),0)-J167</f>
        <v/>
      </c>
      <c r="K179" s="68">
        <f>IF(K$51&lt;=Rates!$D$71,'Sell-Compute'!$I$46-'Sell-Compute'!$I$40*(1-(K170/4)),0)-K167</f>
        <v/>
      </c>
      <c r="L179" s="68">
        <f>IF(L$51&lt;=Rates!$D$71,'Sell-Compute'!$I$46-'Sell-Compute'!$I$40*(1-(L170/4)),0)-L167</f>
        <v/>
      </c>
      <c r="M179" s="68">
        <f>IF(M$51&lt;=Rates!$D$71,'Sell-Compute'!$I$46-'Sell-Compute'!$I$40*(1-(M170/4)),0)-M167</f>
        <v/>
      </c>
      <c r="N179" s="68">
        <f>IF(N$51&lt;=Rates!$D$71,'Sell-Compute'!$I$46-'Sell-Compute'!$I$40*(1-(N170/4)),0)-N167</f>
        <v/>
      </c>
      <c r="O179" s="68">
        <f>IF(O$51&lt;=Rates!$D$71,'Sell-Compute'!$I$46-'Sell-Compute'!$I$40*(1-(O170/4)),0)-O167</f>
        <v/>
      </c>
      <c r="P179" s="68">
        <f>IF(P$51&lt;=Rates!$D$71,'Sell-Compute'!$I$46-'Sell-Compute'!$I$40*(1-(P170/4)),0)-P167</f>
        <v/>
      </c>
      <c r="Q179" s="68">
        <f>IF(Q$51&lt;=Rates!$D$71,'Sell-Compute'!$I$46-'Sell-Compute'!$I$40*(1-(Q170/4)),0)-Q167</f>
        <v/>
      </c>
      <c r="R179" s="68">
        <f>IF(R$51&lt;=Rates!$D$71,'Sell-Compute'!$I$46-'Sell-Compute'!$I$40*(1-(R170/4)),0)-R167</f>
        <v/>
      </c>
      <c r="S179" s="68">
        <f>IF(S$51&lt;=Rates!$D$71,'Sell-Compute'!$I$46-'Sell-Compute'!$I$40*(1-(S170/4)),0)-S167</f>
        <v/>
      </c>
      <c r="T179" s="68">
        <f>IF(T$51&lt;=Rates!$D$71,'Sell-Compute'!$I$46-'Sell-Compute'!$I$40*(1-(T170/4)),0)-T167</f>
        <v/>
      </c>
      <c r="U179" s="68">
        <f>IF(U$51&lt;=Rates!$D$71,'Sell-Compute'!$I$46-'Sell-Compute'!$I$40*(1-(U170/4)),0)-U167</f>
        <v/>
      </c>
      <c r="V179" s="68">
        <f>IF(V$51&lt;=Rates!$D$71,'Sell-Compute'!$I$46-'Sell-Compute'!$I$40*(1-(V170/4)),0)-V167</f>
        <v/>
      </c>
      <c r="W179" s="68">
        <f>IF(W$51&lt;=Rates!$D$71,'Sell-Compute'!$I$46-'Sell-Compute'!$I$40*(1-(W170/4)),0)-W167</f>
        <v/>
      </c>
      <c r="X179" s="68">
        <f>IF(X$51&lt;=Rates!$D$71,'Sell-Compute'!$I$46-'Sell-Compute'!$I$40*(1-(X170/4)),0)-X167</f>
        <v/>
      </c>
      <c r="Y179" s="68">
        <f>IF(Y$51&lt;=Rates!$D$71,'Sell-Compute'!$I$46-'Sell-Compute'!$I$40*(1-(Y170/4)),0)-Y167</f>
        <v/>
      </c>
      <c r="Z179" s="68">
        <f>IF(Z$51&lt;=Rates!$D$71,'Sell-Compute'!$I$46-'Sell-Compute'!$I$40*(1-(Z170/4)),0)-Z167</f>
        <v/>
      </c>
      <c r="AA179" s="68">
        <f>IF(AA$51&lt;=Rates!$D$71,'Sell-Compute'!$I$46-'Sell-Compute'!$I$40*(1-(AA170/4)),0)-AA167</f>
        <v/>
      </c>
      <c r="AB179" s="68">
        <f>IF(AB$51&lt;=Rates!$D$71,'Sell-Compute'!$I$46-'Sell-Compute'!$I$40*(1-(AB170/4)),0)-AB167</f>
        <v/>
      </c>
    </row>
    <row r="180">
      <c r="A180" s="68" t="inlineStr">
        <is>
          <t>(c) Build fewer modules | flat</t>
        </is>
      </c>
      <c r="C180" s="68">
        <f>-'Sell-Compute'!$C$36+(1-($G$162/4))*('Sell-Compute'!$C$34+('AU-Route'!$B$31*(1+Control!$B$13)))</f>
        <v/>
      </c>
      <c r="D180" s="68">
        <f>IF(D$51&lt;=Rates!$D$71,('Sell-Compute'!$C$40*(1+'Sell-Compute'!$C$50)^MOD(D$51-1,'Sell-Compute'!$C$21)-'Sell-Compute'!$C$42-'Sell-Compute'!$C$43)*($G$162/4)-'Sell-Compute'!$C$41-'Sell-Compute'!$C$44-'Sell-Compute'!$C$45-IF(AND(MOD(D$51,'Sell-Compute'!$C$21)=0,D$51&lt;Rates!$D$71),'Sell-Compute'!$C$34*($G$162/4),0),0)</f>
        <v/>
      </c>
      <c r="E180" s="68">
        <f>IF(E$51&lt;=Rates!$D$71,('Sell-Compute'!$C$40*(1+'Sell-Compute'!$C$50)^MOD(E$51-1,'Sell-Compute'!$C$21)-'Sell-Compute'!$C$42-'Sell-Compute'!$C$43)*($G$162/4)-'Sell-Compute'!$C$41-'Sell-Compute'!$C$44-'Sell-Compute'!$C$45-IF(AND(MOD(E$51,'Sell-Compute'!$C$21)=0,E$51&lt;Rates!$D$71),'Sell-Compute'!$C$34*($G$162/4),0),0)</f>
        <v/>
      </c>
      <c r="F180" s="68">
        <f>IF(F$51&lt;=Rates!$D$71,('Sell-Compute'!$C$40*(1+'Sell-Compute'!$C$50)^MOD(F$51-1,'Sell-Compute'!$C$21)-'Sell-Compute'!$C$42-'Sell-Compute'!$C$43)*($G$162/4)-'Sell-Compute'!$C$41-'Sell-Compute'!$C$44-'Sell-Compute'!$C$45-IF(AND(MOD(F$51,'Sell-Compute'!$C$21)=0,F$51&lt;Rates!$D$71),'Sell-Compute'!$C$34*($G$162/4),0),0)</f>
        <v/>
      </c>
      <c r="G180" s="68">
        <f>IF(G$51&lt;=Rates!$D$71,('Sell-Compute'!$C$40*(1+'Sell-Compute'!$C$50)^MOD(G$51-1,'Sell-Compute'!$C$21)-'Sell-Compute'!$C$42-'Sell-Compute'!$C$43)*($G$162/4)-'Sell-Compute'!$C$41-'Sell-Compute'!$C$44-'Sell-Compute'!$C$45-IF(AND(MOD(G$51,'Sell-Compute'!$C$21)=0,G$51&lt;Rates!$D$71),'Sell-Compute'!$C$34*($G$162/4),0),0)</f>
        <v/>
      </c>
      <c r="H180" s="68">
        <f>IF(H$51&lt;=Rates!$D$71,('Sell-Compute'!$C$40*(1+'Sell-Compute'!$C$50)^MOD(H$51-1,'Sell-Compute'!$C$21)-'Sell-Compute'!$C$42-'Sell-Compute'!$C$43)*($G$162/4)-'Sell-Compute'!$C$41-'Sell-Compute'!$C$44-'Sell-Compute'!$C$45-IF(AND(MOD(H$51,'Sell-Compute'!$C$21)=0,H$51&lt;Rates!$D$71),'Sell-Compute'!$C$34*($G$162/4),0),0)</f>
        <v/>
      </c>
      <c r="I180" s="68">
        <f>IF(I$51&lt;=Rates!$D$71,('Sell-Compute'!$C$40*(1+'Sell-Compute'!$C$50)^MOD(I$51-1,'Sell-Compute'!$C$21)-'Sell-Compute'!$C$42-'Sell-Compute'!$C$43)*($G$162/4)-'Sell-Compute'!$C$41-'Sell-Compute'!$C$44-'Sell-Compute'!$C$45-IF(AND(MOD(I$51,'Sell-Compute'!$C$21)=0,I$51&lt;Rates!$D$71),'Sell-Compute'!$C$34*($G$162/4),0),0)</f>
        <v/>
      </c>
      <c r="J180" s="68">
        <f>IF(J$51&lt;=Rates!$D$71,('Sell-Compute'!$C$40*(1+'Sell-Compute'!$C$50)^MOD(J$51-1,'Sell-Compute'!$C$21)-'Sell-Compute'!$C$42-'Sell-Compute'!$C$43)*($G$162/4)-'Sell-Compute'!$C$41-'Sell-Compute'!$C$44-'Sell-Compute'!$C$45-IF(AND(MOD(J$51,'Sell-Compute'!$C$21)=0,J$51&lt;Rates!$D$71),'Sell-Compute'!$C$34*($G$162/4),0),0)</f>
        <v/>
      </c>
      <c r="K180" s="68">
        <f>IF(K$51&lt;=Rates!$D$71,('Sell-Compute'!$C$40*(1+'Sell-Compute'!$C$50)^MOD(K$51-1,'Sell-Compute'!$C$21)-'Sell-Compute'!$C$42-'Sell-Compute'!$C$43)*($G$162/4)-'Sell-Compute'!$C$41-'Sell-Compute'!$C$44-'Sell-Compute'!$C$45-IF(AND(MOD(K$51,'Sell-Compute'!$C$21)=0,K$51&lt;Rates!$D$71),'Sell-Compute'!$C$34*($G$162/4),0),0)</f>
        <v/>
      </c>
      <c r="L180" s="68">
        <f>IF(L$51&lt;=Rates!$D$71,('Sell-Compute'!$C$40*(1+'Sell-Compute'!$C$50)^MOD(L$51-1,'Sell-Compute'!$C$21)-'Sell-Compute'!$C$42-'Sell-Compute'!$C$43)*($G$162/4)-'Sell-Compute'!$C$41-'Sell-Compute'!$C$44-'Sell-Compute'!$C$45-IF(AND(MOD(L$51,'Sell-Compute'!$C$21)=0,L$51&lt;Rates!$D$71),'Sell-Compute'!$C$34*($G$162/4),0),0)</f>
        <v/>
      </c>
      <c r="M180" s="68">
        <f>IF(M$51&lt;=Rates!$D$71,('Sell-Compute'!$C$40*(1+'Sell-Compute'!$C$50)^MOD(M$51-1,'Sell-Compute'!$C$21)-'Sell-Compute'!$C$42-'Sell-Compute'!$C$43)*($G$162/4)-'Sell-Compute'!$C$41-'Sell-Compute'!$C$44-'Sell-Compute'!$C$45-IF(AND(MOD(M$51,'Sell-Compute'!$C$21)=0,M$51&lt;Rates!$D$71),'Sell-Compute'!$C$34*($G$162/4),0),0)</f>
        <v/>
      </c>
      <c r="N180" s="68">
        <f>IF(N$51&lt;=Rates!$D$71,('Sell-Compute'!$C$40*(1+'Sell-Compute'!$C$50)^MOD(N$51-1,'Sell-Compute'!$C$21)-'Sell-Compute'!$C$42-'Sell-Compute'!$C$43)*($G$162/4)-'Sell-Compute'!$C$41-'Sell-Compute'!$C$44-'Sell-Compute'!$C$45-IF(AND(MOD(N$51,'Sell-Compute'!$C$21)=0,N$51&lt;Rates!$D$71),'Sell-Compute'!$C$34*($G$162/4),0),0)</f>
        <v/>
      </c>
      <c r="O180" s="68">
        <f>IF(O$51&lt;=Rates!$D$71,('Sell-Compute'!$C$40*(1+'Sell-Compute'!$C$50)^MOD(O$51-1,'Sell-Compute'!$C$21)-'Sell-Compute'!$C$42-'Sell-Compute'!$C$43)*($G$162/4)-'Sell-Compute'!$C$41-'Sell-Compute'!$C$44-'Sell-Compute'!$C$45-IF(AND(MOD(O$51,'Sell-Compute'!$C$21)=0,O$51&lt;Rates!$D$71),'Sell-Compute'!$C$34*($G$162/4),0),0)</f>
        <v/>
      </c>
      <c r="P180" s="68">
        <f>IF(P$51&lt;=Rates!$D$71,('Sell-Compute'!$C$40*(1+'Sell-Compute'!$C$50)^MOD(P$51-1,'Sell-Compute'!$C$21)-'Sell-Compute'!$C$42-'Sell-Compute'!$C$43)*($G$162/4)-'Sell-Compute'!$C$41-'Sell-Compute'!$C$44-'Sell-Compute'!$C$45-IF(AND(MOD(P$51,'Sell-Compute'!$C$21)=0,P$51&lt;Rates!$D$71),'Sell-Compute'!$C$34*($G$162/4),0),0)</f>
        <v/>
      </c>
      <c r="Q180" s="68">
        <f>IF(Q$51&lt;=Rates!$D$71,('Sell-Compute'!$C$40*(1+'Sell-Compute'!$C$50)^MOD(Q$51-1,'Sell-Compute'!$C$21)-'Sell-Compute'!$C$42-'Sell-Compute'!$C$43)*($G$162/4)-'Sell-Compute'!$C$41-'Sell-Compute'!$C$44-'Sell-Compute'!$C$45-IF(AND(MOD(Q$51,'Sell-Compute'!$C$21)=0,Q$51&lt;Rates!$D$71),'Sell-Compute'!$C$34*($G$162/4),0),0)</f>
        <v/>
      </c>
      <c r="R180" s="68">
        <f>IF(R$51&lt;=Rates!$D$71,('Sell-Compute'!$C$40*(1+'Sell-Compute'!$C$50)^MOD(R$51-1,'Sell-Compute'!$C$21)-'Sell-Compute'!$C$42-'Sell-Compute'!$C$43)*($G$162/4)-'Sell-Compute'!$C$41-'Sell-Compute'!$C$44-'Sell-Compute'!$C$45-IF(AND(MOD(R$51,'Sell-Compute'!$C$21)=0,R$51&lt;Rates!$D$71),'Sell-Compute'!$C$34*($G$162/4),0),0)</f>
        <v/>
      </c>
      <c r="S180" s="68">
        <f>IF(S$51&lt;=Rates!$D$71,('Sell-Compute'!$C$40*(1+'Sell-Compute'!$C$50)^MOD(S$51-1,'Sell-Compute'!$C$21)-'Sell-Compute'!$C$42-'Sell-Compute'!$C$43)*($G$162/4)-'Sell-Compute'!$C$41-'Sell-Compute'!$C$44-'Sell-Compute'!$C$45-IF(AND(MOD(S$51,'Sell-Compute'!$C$21)=0,S$51&lt;Rates!$D$71),'Sell-Compute'!$C$34*($G$162/4),0),0)</f>
        <v/>
      </c>
      <c r="T180" s="68">
        <f>IF(T$51&lt;=Rates!$D$71,('Sell-Compute'!$C$40*(1+'Sell-Compute'!$C$50)^MOD(T$51-1,'Sell-Compute'!$C$21)-'Sell-Compute'!$C$42-'Sell-Compute'!$C$43)*($G$162/4)-'Sell-Compute'!$C$41-'Sell-Compute'!$C$44-'Sell-Compute'!$C$45-IF(AND(MOD(T$51,'Sell-Compute'!$C$21)=0,T$51&lt;Rates!$D$71),'Sell-Compute'!$C$34*($G$162/4),0),0)</f>
        <v/>
      </c>
      <c r="U180" s="68">
        <f>IF(U$51&lt;=Rates!$D$71,('Sell-Compute'!$C$40*(1+'Sell-Compute'!$C$50)^MOD(U$51-1,'Sell-Compute'!$C$21)-'Sell-Compute'!$C$42-'Sell-Compute'!$C$43)*($G$162/4)-'Sell-Compute'!$C$41-'Sell-Compute'!$C$44-'Sell-Compute'!$C$45-IF(AND(MOD(U$51,'Sell-Compute'!$C$21)=0,U$51&lt;Rates!$D$71),'Sell-Compute'!$C$34*($G$162/4),0),0)</f>
        <v/>
      </c>
      <c r="V180" s="68">
        <f>IF(V$51&lt;=Rates!$D$71,('Sell-Compute'!$C$40*(1+'Sell-Compute'!$C$50)^MOD(V$51-1,'Sell-Compute'!$C$21)-'Sell-Compute'!$C$42-'Sell-Compute'!$C$43)*($G$162/4)-'Sell-Compute'!$C$41-'Sell-Compute'!$C$44-'Sell-Compute'!$C$45-IF(AND(MOD(V$51,'Sell-Compute'!$C$21)=0,V$51&lt;Rates!$D$71),'Sell-Compute'!$C$34*($G$162/4),0),0)</f>
        <v/>
      </c>
      <c r="W180" s="68">
        <f>IF(W$51&lt;=Rates!$D$71,('Sell-Compute'!$C$40*(1+'Sell-Compute'!$C$50)^MOD(W$51-1,'Sell-Compute'!$C$21)-'Sell-Compute'!$C$42-'Sell-Compute'!$C$43)*($G$162/4)-'Sell-Compute'!$C$41-'Sell-Compute'!$C$44-'Sell-Compute'!$C$45-IF(AND(MOD(W$51,'Sell-Compute'!$C$21)=0,W$51&lt;Rates!$D$71),'Sell-Compute'!$C$34*($G$162/4),0),0)</f>
        <v/>
      </c>
      <c r="X180" s="68">
        <f>IF(X$51&lt;=Rates!$D$71,('Sell-Compute'!$C$40*(1+'Sell-Compute'!$C$50)^MOD(X$51-1,'Sell-Compute'!$C$21)-'Sell-Compute'!$C$42-'Sell-Compute'!$C$43)*($G$162/4)-'Sell-Compute'!$C$41-'Sell-Compute'!$C$44-'Sell-Compute'!$C$45-IF(AND(MOD(X$51,'Sell-Compute'!$C$21)=0,X$51&lt;Rates!$D$71),'Sell-Compute'!$C$34*($G$162/4),0),0)</f>
        <v/>
      </c>
      <c r="Y180" s="68">
        <f>IF(Y$51&lt;=Rates!$D$71,('Sell-Compute'!$C$40*(1+'Sell-Compute'!$C$50)^MOD(Y$51-1,'Sell-Compute'!$C$21)-'Sell-Compute'!$C$42-'Sell-Compute'!$C$43)*($G$162/4)-'Sell-Compute'!$C$41-'Sell-Compute'!$C$44-'Sell-Compute'!$C$45-IF(AND(MOD(Y$51,'Sell-Compute'!$C$21)=0,Y$51&lt;Rates!$D$71),'Sell-Compute'!$C$34*($G$162/4),0),0)</f>
        <v/>
      </c>
      <c r="Z180" s="68">
        <f>IF(Z$51&lt;=Rates!$D$71,('Sell-Compute'!$C$40*(1+'Sell-Compute'!$C$50)^MOD(Z$51-1,'Sell-Compute'!$C$21)-'Sell-Compute'!$C$42-'Sell-Compute'!$C$43)*($G$162/4)-'Sell-Compute'!$C$41-'Sell-Compute'!$C$44-'Sell-Compute'!$C$45-IF(AND(MOD(Z$51,'Sell-Compute'!$C$21)=0,Z$51&lt;Rates!$D$71),'Sell-Compute'!$C$34*($G$162/4),0),0)</f>
        <v/>
      </c>
      <c r="AA180" s="68">
        <f>IF(AA$51&lt;=Rates!$D$71,('Sell-Compute'!$C$40*(1+'Sell-Compute'!$C$50)^MOD(AA$51-1,'Sell-Compute'!$C$21)-'Sell-Compute'!$C$42-'Sell-Compute'!$C$43)*($G$162/4)-'Sell-Compute'!$C$41-'Sell-Compute'!$C$44-'Sell-Compute'!$C$45-IF(AND(MOD(AA$51,'Sell-Compute'!$C$21)=0,AA$51&lt;Rates!$D$71),'Sell-Compute'!$C$34*($G$162/4),0),0)</f>
        <v/>
      </c>
      <c r="AB180" s="68">
        <f>IF(AB$51&lt;=Rates!$D$71,('Sell-Compute'!$C$40*(1+'Sell-Compute'!$C$50)^MOD(AB$51-1,'Sell-Compute'!$C$21)-'Sell-Compute'!$C$42-'Sell-Compute'!$C$43)*($G$162/4)-'Sell-Compute'!$C$41-'Sell-Compute'!$C$44-'Sell-Compute'!$C$45-IF(AND(MOD(AB$51,'Sell-Compute'!$C$21)=0,AB$51&lt;Rates!$D$71),'Sell-Compute'!$C$34*($G$162/4),0),0)</f>
        <v/>
      </c>
    </row>
    <row r="181">
      <c r="A181" s="68" t="inlineStr">
        <is>
          <t>(c) Build fewer modules | dec</t>
        </is>
      </c>
      <c r="C181" s="68">
        <f>-'Sell-Compute'!$B$36+(1-($G$162/4))*('Sell-Compute'!$B$34+('AU-Route'!$B$31*(1+Control!$B$13)))</f>
        <v/>
      </c>
      <c r="D181" s="68">
        <f>IF(D$51&lt;=Rates!$D$71,('Sell-Compute'!$B$40*(1+'Sell-Compute'!$B$50)^MOD(D$51-1,'Sell-Compute'!$C$21)-'Sell-Compute'!$B$42-'Sell-Compute'!$B$43)*($G$162/4)-'Sell-Compute'!$B$41-'Sell-Compute'!$B$44-'Sell-Compute'!$B$45-IF(AND(MOD(D$51,'Sell-Compute'!$C$21)=0,D$51&lt;Rates!$D$71),'Sell-Compute'!$B$34*($G$162/4),0),0)</f>
        <v/>
      </c>
      <c r="E181" s="68">
        <f>IF(E$51&lt;=Rates!$D$71,('Sell-Compute'!$B$40*(1+'Sell-Compute'!$B$50)^MOD(E$51-1,'Sell-Compute'!$C$21)-'Sell-Compute'!$B$42-'Sell-Compute'!$B$43)*($G$162/4)-'Sell-Compute'!$B$41-'Sell-Compute'!$B$44-'Sell-Compute'!$B$45-IF(AND(MOD(E$51,'Sell-Compute'!$C$21)=0,E$51&lt;Rates!$D$71),'Sell-Compute'!$B$34*($G$162/4),0),0)</f>
        <v/>
      </c>
      <c r="F181" s="68">
        <f>IF(F$51&lt;=Rates!$D$71,('Sell-Compute'!$B$40*(1+'Sell-Compute'!$B$50)^MOD(F$51-1,'Sell-Compute'!$C$21)-'Sell-Compute'!$B$42-'Sell-Compute'!$B$43)*($G$162/4)-'Sell-Compute'!$B$41-'Sell-Compute'!$B$44-'Sell-Compute'!$B$45-IF(AND(MOD(F$51,'Sell-Compute'!$C$21)=0,F$51&lt;Rates!$D$71),'Sell-Compute'!$B$34*($G$162/4),0),0)</f>
        <v/>
      </c>
      <c r="G181" s="68">
        <f>IF(G$51&lt;=Rates!$D$71,('Sell-Compute'!$B$40*(1+'Sell-Compute'!$B$50)^MOD(G$51-1,'Sell-Compute'!$C$21)-'Sell-Compute'!$B$42-'Sell-Compute'!$B$43)*($G$162/4)-'Sell-Compute'!$B$41-'Sell-Compute'!$B$44-'Sell-Compute'!$B$45-IF(AND(MOD(G$51,'Sell-Compute'!$C$21)=0,G$51&lt;Rates!$D$71),'Sell-Compute'!$B$34*($G$162/4),0),0)</f>
        <v/>
      </c>
      <c r="H181" s="68">
        <f>IF(H$51&lt;=Rates!$D$71,('Sell-Compute'!$B$40*(1+'Sell-Compute'!$B$50)^MOD(H$51-1,'Sell-Compute'!$C$21)-'Sell-Compute'!$B$42-'Sell-Compute'!$B$43)*($G$162/4)-'Sell-Compute'!$B$41-'Sell-Compute'!$B$44-'Sell-Compute'!$B$45-IF(AND(MOD(H$51,'Sell-Compute'!$C$21)=0,H$51&lt;Rates!$D$71),'Sell-Compute'!$B$34*($G$162/4),0),0)</f>
        <v/>
      </c>
      <c r="I181" s="68">
        <f>IF(I$51&lt;=Rates!$D$71,('Sell-Compute'!$B$40*(1+'Sell-Compute'!$B$50)^MOD(I$51-1,'Sell-Compute'!$C$21)-'Sell-Compute'!$B$42-'Sell-Compute'!$B$43)*($G$162/4)-'Sell-Compute'!$B$41-'Sell-Compute'!$B$44-'Sell-Compute'!$B$45-IF(AND(MOD(I$51,'Sell-Compute'!$C$21)=0,I$51&lt;Rates!$D$71),'Sell-Compute'!$B$34*($G$162/4),0),0)</f>
        <v/>
      </c>
      <c r="J181" s="68">
        <f>IF(J$51&lt;=Rates!$D$71,('Sell-Compute'!$B$40*(1+'Sell-Compute'!$B$50)^MOD(J$51-1,'Sell-Compute'!$C$21)-'Sell-Compute'!$B$42-'Sell-Compute'!$B$43)*($G$162/4)-'Sell-Compute'!$B$41-'Sell-Compute'!$B$44-'Sell-Compute'!$B$45-IF(AND(MOD(J$51,'Sell-Compute'!$C$21)=0,J$51&lt;Rates!$D$71),'Sell-Compute'!$B$34*($G$162/4),0),0)</f>
        <v/>
      </c>
      <c r="K181" s="68">
        <f>IF(K$51&lt;=Rates!$D$71,('Sell-Compute'!$B$40*(1+'Sell-Compute'!$B$50)^MOD(K$51-1,'Sell-Compute'!$C$21)-'Sell-Compute'!$B$42-'Sell-Compute'!$B$43)*($G$162/4)-'Sell-Compute'!$B$41-'Sell-Compute'!$B$44-'Sell-Compute'!$B$45-IF(AND(MOD(K$51,'Sell-Compute'!$C$21)=0,K$51&lt;Rates!$D$71),'Sell-Compute'!$B$34*($G$162/4),0),0)</f>
        <v/>
      </c>
      <c r="L181" s="68">
        <f>IF(L$51&lt;=Rates!$D$71,('Sell-Compute'!$B$40*(1+'Sell-Compute'!$B$50)^MOD(L$51-1,'Sell-Compute'!$C$21)-'Sell-Compute'!$B$42-'Sell-Compute'!$B$43)*($G$162/4)-'Sell-Compute'!$B$41-'Sell-Compute'!$B$44-'Sell-Compute'!$B$45-IF(AND(MOD(L$51,'Sell-Compute'!$C$21)=0,L$51&lt;Rates!$D$71),'Sell-Compute'!$B$34*($G$162/4),0),0)</f>
        <v/>
      </c>
      <c r="M181" s="68">
        <f>IF(M$51&lt;=Rates!$D$71,('Sell-Compute'!$B$40*(1+'Sell-Compute'!$B$50)^MOD(M$51-1,'Sell-Compute'!$C$21)-'Sell-Compute'!$B$42-'Sell-Compute'!$B$43)*($G$162/4)-'Sell-Compute'!$B$41-'Sell-Compute'!$B$44-'Sell-Compute'!$B$45-IF(AND(MOD(M$51,'Sell-Compute'!$C$21)=0,M$51&lt;Rates!$D$71),'Sell-Compute'!$B$34*($G$162/4),0),0)</f>
        <v/>
      </c>
      <c r="N181" s="68">
        <f>IF(N$51&lt;=Rates!$D$71,('Sell-Compute'!$B$40*(1+'Sell-Compute'!$B$50)^MOD(N$51-1,'Sell-Compute'!$C$21)-'Sell-Compute'!$B$42-'Sell-Compute'!$B$43)*($G$162/4)-'Sell-Compute'!$B$41-'Sell-Compute'!$B$44-'Sell-Compute'!$B$45-IF(AND(MOD(N$51,'Sell-Compute'!$C$21)=0,N$51&lt;Rates!$D$71),'Sell-Compute'!$B$34*($G$162/4),0),0)</f>
        <v/>
      </c>
      <c r="O181" s="68">
        <f>IF(O$51&lt;=Rates!$D$71,('Sell-Compute'!$B$40*(1+'Sell-Compute'!$B$50)^MOD(O$51-1,'Sell-Compute'!$C$21)-'Sell-Compute'!$B$42-'Sell-Compute'!$B$43)*($G$162/4)-'Sell-Compute'!$B$41-'Sell-Compute'!$B$44-'Sell-Compute'!$B$45-IF(AND(MOD(O$51,'Sell-Compute'!$C$21)=0,O$51&lt;Rates!$D$71),'Sell-Compute'!$B$34*($G$162/4),0),0)</f>
        <v/>
      </c>
      <c r="P181" s="68">
        <f>IF(P$51&lt;=Rates!$D$71,('Sell-Compute'!$B$40*(1+'Sell-Compute'!$B$50)^MOD(P$51-1,'Sell-Compute'!$C$21)-'Sell-Compute'!$B$42-'Sell-Compute'!$B$43)*($G$162/4)-'Sell-Compute'!$B$41-'Sell-Compute'!$B$44-'Sell-Compute'!$B$45-IF(AND(MOD(P$51,'Sell-Compute'!$C$21)=0,P$51&lt;Rates!$D$71),'Sell-Compute'!$B$34*($G$162/4),0),0)</f>
        <v/>
      </c>
      <c r="Q181" s="68">
        <f>IF(Q$51&lt;=Rates!$D$71,('Sell-Compute'!$B$40*(1+'Sell-Compute'!$B$50)^MOD(Q$51-1,'Sell-Compute'!$C$21)-'Sell-Compute'!$B$42-'Sell-Compute'!$B$43)*($G$162/4)-'Sell-Compute'!$B$41-'Sell-Compute'!$B$44-'Sell-Compute'!$B$45-IF(AND(MOD(Q$51,'Sell-Compute'!$C$21)=0,Q$51&lt;Rates!$D$71),'Sell-Compute'!$B$34*($G$162/4),0),0)</f>
        <v/>
      </c>
      <c r="R181" s="68">
        <f>IF(R$51&lt;=Rates!$D$71,('Sell-Compute'!$B$40*(1+'Sell-Compute'!$B$50)^MOD(R$51-1,'Sell-Compute'!$C$21)-'Sell-Compute'!$B$42-'Sell-Compute'!$B$43)*($G$162/4)-'Sell-Compute'!$B$41-'Sell-Compute'!$B$44-'Sell-Compute'!$B$45-IF(AND(MOD(R$51,'Sell-Compute'!$C$21)=0,R$51&lt;Rates!$D$71),'Sell-Compute'!$B$34*($G$162/4),0),0)</f>
        <v/>
      </c>
      <c r="S181" s="68">
        <f>IF(S$51&lt;=Rates!$D$71,('Sell-Compute'!$B$40*(1+'Sell-Compute'!$B$50)^MOD(S$51-1,'Sell-Compute'!$C$21)-'Sell-Compute'!$B$42-'Sell-Compute'!$B$43)*($G$162/4)-'Sell-Compute'!$B$41-'Sell-Compute'!$B$44-'Sell-Compute'!$B$45-IF(AND(MOD(S$51,'Sell-Compute'!$C$21)=0,S$51&lt;Rates!$D$71),'Sell-Compute'!$B$34*($G$162/4),0),0)</f>
        <v/>
      </c>
      <c r="T181" s="68">
        <f>IF(T$51&lt;=Rates!$D$71,('Sell-Compute'!$B$40*(1+'Sell-Compute'!$B$50)^MOD(T$51-1,'Sell-Compute'!$C$21)-'Sell-Compute'!$B$42-'Sell-Compute'!$B$43)*($G$162/4)-'Sell-Compute'!$B$41-'Sell-Compute'!$B$44-'Sell-Compute'!$B$45-IF(AND(MOD(T$51,'Sell-Compute'!$C$21)=0,T$51&lt;Rates!$D$71),'Sell-Compute'!$B$34*($G$162/4),0),0)</f>
        <v/>
      </c>
      <c r="U181" s="68">
        <f>IF(U$51&lt;=Rates!$D$71,('Sell-Compute'!$B$40*(1+'Sell-Compute'!$B$50)^MOD(U$51-1,'Sell-Compute'!$C$21)-'Sell-Compute'!$B$42-'Sell-Compute'!$B$43)*($G$162/4)-'Sell-Compute'!$B$41-'Sell-Compute'!$B$44-'Sell-Compute'!$B$45-IF(AND(MOD(U$51,'Sell-Compute'!$C$21)=0,U$51&lt;Rates!$D$71),'Sell-Compute'!$B$34*($G$162/4),0),0)</f>
        <v/>
      </c>
      <c r="V181" s="68">
        <f>IF(V$51&lt;=Rates!$D$71,('Sell-Compute'!$B$40*(1+'Sell-Compute'!$B$50)^MOD(V$51-1,'Sell-Compute'!$C$21)-'Sell-Compute'!$B$42-'Sell-Compute'!$B$43)*($G$162/4)-'Sell-Compute'!$B$41-'Sell-Compute'!$B$44-'Sell-Compute'!$B$45-IF(AND(MOD(V$51,'Sell-Compute'!$C$21)=0,V$51&lt;Rates!$D$71),'Sell-Compute'!$B$34*($G$162/4),0),0)</f>
        <v/>
      </c>
      <c r="W181" s="68">
        <f>IF(W$51&lt;=Rates!$D$71,('Sell-Compute'!$B$40*(1+'Sell-Compute'!$B$50)^MOD(W$51-1,'Sell-Compute'!$C$21)-'Sell-Compute'!$B$42-'Sell-Compute'!$B$43)*($G$162/4)-'Sell-Compute'!$B$41-'Sell-Compute'!$B$44-'Sell-Compute'!$B$45-IF(AND(MOD(W$51,'Sell-Compute'!$C$21)=0,W$51&lt;Rates!$D$71),'Sell-Compute'!$B$34*($G$162/4),0),0)</f>
        <v/>
      </c>
      <c r="X181" s="68">
        <f>IF(X$51&lt;=Rates!$D$71,('Sell-Compute'!$B$40*(1+'Sell-Compute'!$B$50)^MOD(X$51-1,'Sell-Compute'!$C$21)-'Sell-Compute'!$B$42-'Sell-Compute'!$B$43)*($G$162/4)-'Sell-Compute'!$B$41-'Sell-Compute'!$B$44-'Sell-Compute'!$B$45-IF(AND(MOD(X$51,'Sell-Compute'!$C$21)=0,X$51&lt;Rates!$D$71),'Sell-Compute'!$B$34*($G$162/4),0),0)</f>
        <v/>
      </c>
      <c r="Y181" s="68">
        <f>IF(Y$51&lt;=Rates!$D$71,('Sell-Compute'!$B$40*(1+'Sell-Compute'!$B$50)^MOD(Y$51-1,'Sell-Compute'!$C$21)-'Sell-Compute'!$B$42-'Sell-Compute'!$B$43)*($G$162/4)-'Sell-Compute'!$B$41-'Sell-Compute'!$B$44-'Sell-Compute'!$B$45-IF(AND(MOD(Y$51,'Sell-Compute'!$C$21)=0,Y$51&lt;Rates!$D$71),'Sell-Compute'!$B$34*($G$162/4),0),0)</f>
        <v/>
      </c>
      <c r="Z181" s="68">
        <f>IF(Z$51&lt;=Rates!$D$71,('Sell-Compute'!$B$40*(1+'Sell-Compute'!$B$50)^MOD(Z$51-1,'Sell-Compute'!$C$21)-'Sell-Compute'!$B$42-'Sell-Compute'!$B$43)*($G$162/4)-'Sell-Compute'!$B$41-'Sell-Compute'!$B$44-'Sell-Compute'!$B$45-IF(AND(MOD(Z$51,'Sell-Compute'!$C$21)=0,Z$51&lt;Rates!$D$71),'Sell-Compute'!$B$34*($G$162/4),0),0)</f>
        <v/>
      </c>
      <c r="AA181" s="68">
        <f>IF(AA$51&lt;=Rates!$D$71,('Sell-Compute'!$B$40*(1+'Sell-Compute'!$B$50)^MOD(AA$51-1,'Sell-Compute'!$C$21)-'Sell-Compute'!$B$42-'Sell-Compute'!$B$43)*($G$162/4)-'Sell-Compute'!$B$41-'Sell-Compute'!$B$44-'Sell-Compute'!$B$45-IF(AND(MOD(AA$51,'Sell-Compute'!$C$21)=0,AA$51&lt;Rates!$D$71),'Sell-Compute'!$B$34*($G$162/4),0),0)</f>
        <v/>
      </c>
      <c r="AB181" s="68">
        <f>IF(AB$51&lt;=Rates!$D$71,('Sell-Compute'!$B$40*(1+'Sell-Compute'!$B$50)^MOD(AB$51-1,'Sell-Compute'!$C$21)-'Sell-Compute'!$B$42-'Sell-Compute'!$B$43)*($G$162/4)-'Sell-Compute'!$B$41-'Sell-Compute'!$B$44-'Sell-Compute'!$B$45-IF(AND(MOD(AB$51,'Sell-Compute'!$C$21)=0,AB$51&lt;Rates!$D$71),'Sell-Compute'!$B$34*($G$162/4),0),0)</f>
        <v/>
      </c>
    </row>
    <row r="182">
      <c r="A182" s="68" t="inlineStr">
        <is>
          <t>(c) Build fewer modules | colo</t>
        </is>
      </c>
      <c r="C182" s="68">
        <f>-'Sell-Compute'!$I$36+(1-($G$162/4))*('AU-Route'!$B$31*(1+Control!$B$13))</f>
        <v/>
      </c>
      <c r="D182" s="68">
        <f>IF(D$51&lt;=Rates!$D$71,'Sell-Compute'!$I$46-'Sell-Compute'!$I$40*(1-($G$162/4)),0)</f>
        <v/>
      </c>
      <c r="E182" s="68">
        <f>IF(E$51&lt;=Rates!$D$71,'Sell-Compute'!$I$46-'Sell-Compute'!$I$40*(1-($G$162/4)),0)</f>
        <v/>
      </c>
      <c r="F182" s="68">
        <f>IF(F$51&lt;=Rates!$D$71,'Sell-Compute'!$I$46-'Sell-Compute'!$I$40*(1-($G$162/4)),0)</f>
        <v/>
      </c>
      <c r="G182" s="68">
        <f>IF(G$51&lt;=Rates!$D$71,'Sell-Compute'!$I$46-'Sell-Compute'!$I$40*(1-($G$162/4)),0)</f>
        <v/>
      </c>
      <c r="H182" s="68">
        <f>IF(H$51&lt;=Rates!$D$71,'Sell-Compute'!$I$46-'Sell-Compute'!$I$40*(1-($G$162/4)),0)</f>
        <v/>
      </c>
      <c r="I182" s="68">
        <f>IF(I$51&lt;=Rates!$D$71,'Sell-Compute'!$I$46-'Sell-Compute'!$I$40*(1-($G$162/4)),0)</f>
        <v/>
      </c>
      <c r="J182" s="68">
        <f>IF(J$51&lt;=Rates!$D$71,'Sell-Compute'!$I$46-'Sell-Compute'!$I$40*(1-($G$162/4)),0)</f>
        <v/>
      </c>
      <c r="K182" s="68">
        <f>IF(K$51&lt;=Rates!$D$71,'Sell-Compute'!$I$46-'Sell-Compute'!$I$40*(1-($G$162/4)),0)</f>
        <v/>
      </c>
      <c r="L182" s="68">
        <f>IF(L$51&lt;=Rates!$D$71,'Sell-Compute'!$I$46-'Sell-Compute'!$I$40*(1-($G$162/4)),0)</f>
        <v/>
      </c>
      <c r="M182" s="68">
        <f>IF(M$51&lt;=Rates!$D$71,'Sell-Compute'!$I$46-'Sell-Compute'!$I$40*(1-($G$162/4)),0)</f>
        <v/>
      </c>
      <c r="N182" s="68">
        <f>IF(N$51&lt;=Rates!$D$71,'Sell-Compute'!$I$46-'Sell-Compute'!$I$40*(1-($G$162/4)),0)</f>
        <v/>
      </c>
      <c r="O182" s="68">
        <f>IF(O$51&lt;=Rates!$D$71,'Sell-Compute'!$I$46-'Sell-Compute'!$I$40*(1-($G$162/4)),0)</f>
        <v/>
      </c>
      <c r="P182" s="68">
        <f>IF(P$51&lt;=Rates!$D$71,'Sell-Compute'!$I$46-'Sell-Compute'!$I$40*(1-($G$162/4)),0)</f>
        <v/>
      </c>
      <c r="Q182" s="68">
        <f>IF(Q$51&lt;=Rates!$D$71,'Sell-Compute'!$I$46-'Sell-Compute'!$I$40*(1-($G$162/4)),0)</f>
        <v/>
      </c>
      <c r="R182" s="68">
        <f>IF(R$51&lt;=Rates!$D$71,'Sell-Compute'!$I$46-'Sell-Compute'!$I$40*(1-($G$162/4)),0)</f>
        <v/>
      </c>
      <c r="S182" s="68">
        <f>IF(S$51&lt;=Rates!$D$71,'Sell-Compute'!$I$46-'Sell-Compute'!$I$40*(1-($G$162/4)),0)</f>
        <v/>
      </c>
      <c r="T182" s="68">
        <f>IF(T$51&lt;=Rates!$D$71,'Sell-Compute'!$I$46-'Sell-Compute'!$I$40*(1-($G$162/4)),0)</f>
        <v/>
      </c>
      <c r="U182" s="68">
        <f>IF(U$51&lt;=Rates!$D$71,'Sell-Compute'!$I$46-'Sell-Compute'!$I$40*(1-($G$162/4)),0)</f>
        <v/>
      </c>
      <c r="V182" s="68">
        <f>IF(V$51&lt;=Rates!$D$71,'Sell-Compute'!$I$46-'Sell-Compute'!$I$40*(1-($G$162/4)),0)</f>
        <v/>
      </c>
      <c r="W182" s="68">
        <f>IF(W$51&lt;=Rates!$D$71,'Sell-Compute'!$I$46-'Sell-Compute'!$I$40*(1-($G$162/4)),0)</f>
        <v/>
      </c>
      <c r="X182" s="68">
        <f>IF(X$51&lt;=Rates!$D$71,'Sell-Compute'!$I$46-'Sell-Compute'!$I$40*(1-($G$162/4)),0)</f>
        <v/>
      </c>
      <c r="Y182" s="68">
        <f>IF(Y$51&lt;=Rates!$D$71,'Sell-Compute'!$I$46-'Sell-Compute'!$I$40*(1-($G$162/4)),0)</f>
        <v/>
      </c>
      <c r="Z182" s="68">
        <f>IF(Z$51&lt;=Rates!$D$71,'Sell-Compute'!$I$46-'Sell-Compute'!$I$40*(1-($G$162/4)),0)</f>
        <v/>
      </c>
      <c r="AA182" s="68">
        <f>IF(AA$51&lt;=Rates!$D$71,'Sell-Compute'!$I$46-'Sell-Compute'!$I$40*(1-($G$162/4)),0)</f>
        <v/>
      </c>
      <c r="AB182" s="68">
        <f>IF(AB$51&lt;=Rates!$D$71,'Sell-Compute'!$I$46-'Sell-Compute'!$I$40*(1-($G$162/4)),0)</f>
        <v/>
      </c>
    </row>
    <row r="183"/>
    <row r="184">
      <c r="A184" s="68" t="inlineStr">
        <is>
          <t>rate: Stress 10 degC/yr (ASSUMPTION)</t>
        </is>
      </c>
      <c r="B184" s="123">
        <f>10</f>
        <v/>
      </c>
      <c r="D184" s="68" t="inlineStr">
        <is>
          <t>k (a)</t>
        </is>
      </c>
      <c r="E184" s="68">
        <f>IF(AA$185&lt;=0,"not feasible",MAX(0,CEILING(Decline!$C$20/AA$185-1E-9,1)-Decline!$C$19))</f>
        <v/>
      </c>
      <c r="F184" s="68" t="inlineStr">
        <is>
          <t>N (c)</t>
        </is>
      </c>
      <c r="G184" s="68">
        <f>MAX(0,MIN(4,INT(MIN(Decline!$C$20,Decline!$C$19*MAX(0,AA$185))*Decline!$C$21/Decline!$C$22+1E-9)))</f>
        <v/>
      </c>
    </row>
    <row r="185">
      <c r="A185" s="68" t="inlineStr">
        <is>
          <t>capability per producer by age (MW net)</t>
        </is>
      </c>
      <c r="C185" s="68">
        <f>(Rates!$D$66*((Decline!$C$15-$B$184*C$51)-Decline!$C$16-(Decline!$C$16+273.15)*LN(((Decline!$C$15-$B$184*C$51)+273.15)/(Decline!$C$16+273.15)))/Decline!$C$23*Decline!$C$24-Decline!$C$25)</f>
        <v/>
      </c>
      <c r="D185" s="68">
        <f>(Rates!$D$66*((Decline!$C$15-$B$184*D$51)-Decline!$C$16-(Decline!$C$16+273.15)*LN(((Decline!$C$15-$B$184*D$51)+273.15)/(Decline!$C$16+273.15)))/Decline!$C$23*Decline!$C$24-Decline!$C$25)</f>
        <v/>
      </c>
      <c r="E185" s="68">
        <f>(Rates!$D$66*((Decline!$C$15-$B$184*E$51)-Decline!$C$16-(Decline!$C$16+273.15)*LN(((Decline!$C$15-$B$184*E$51)+273.15)/(Decline!$C$16+273.15)))/Decline!$C$23*Decline!$C$24-Decline!$C$25)</f>
        <v/>
      </c>
      <c r="F185" s="68">
        <f>(Rates!$D$66*((Decline!$C$15-$B$184*F$51)-Decline!$C$16-(Decline!$C$16+273.15)*LN(((Decline!$C$15-$B$184*F$51)+273.15)/(Decline!$C$16+273.15)))/Decline!$C$23*Decline!$C$24-Decline!$C$25)</f>
        <v/>
      </c>
      <c r="G185" s="68">
        <f>(Rates!$D$66*((Decline!$C$15-$B$184*G$51)-Decline!$C$16-(Decline!$C$16+273.15)*LN(((Decline!$C$15-$B$184*G$51)+273.15)/(Decline!$C$16+273.15)))/Decline!$C$23*Decline!$C$24-Decline!$C$25)</f>
        <v/>
      </c>
      <c r="H185" s="68">
        <f>(Rates!$D$66*((Decline!$C$15-$B$184*H$51)-Decline!$C$16-(Decline!$C$16+273.15)*LN(((Decline!$C$15-$B$184*H$51)+273.15)/(Decline!$C$16+273.15)))/Decline!$C$23*Decline!$C$24-Decline!$C$25)</f>
        <v/>
      </c>
      <c r="I185" s="68">
        <f>(Rates!$D$66*((Decline!$C$15-$B$184*I$51)-Decline!$C$16-(Decline!$C$16+273.15)*LN(((Decline!$C$15-$B$184*I$51)+273.15)/(Decline!$C$16+273.15)))/Decline!$C$23*Decline!$C$24-Decline!$C$25)</f>
        <v/>
      </c>
      <c r="J185" s="68">
        <f>(Rates!$D$66*((Decline!$C$15-$B$184*J$51)-Decline!$C$16-(Decline!$C$16+273.15)*LN(((Decline!$C$15-$B$184*J$51)+273.15)/(Decline!$C$16+273.15)))/Decline!$C$23*Decline!$C$24-Decline!$C$25)</f>
        <v/>
      </c>
      <c r="K185" s="68">
        <f>(Rates!$D$66*((Decline!$C$15-$B$184*K$51)-Decline!$C$16-(Decline!$C$16+273.15)*LN(((Decline!$C$15-$B$184*K$51)+273.15)/(Decline!$C$16+273.15)))/Decline!$C$23*Decline!$C$24-Decline!$C$25)</f>
        <v/>
      </c>
      <c r="L185" s="68">
        <f>(Rates!$D$66*((Decline!$C$15-$B$184*L$51)-Decline!$C$16-(Decline!$C$16+273.15)*LN(((Decline!$C$15-$B$184*L$51)+273.15)/(Decline!$C$16+273.15)))/Decline!$C$23*Decline!$C$24-Decline!$C$25)</f>
        <v/>
      </c>
      <c r="M185" s="68">
        <f>(Rates!$D$66*((Decline!$C$15-$B$184*M$51)-Decline!$C$16-(Decline!$C$16+273.15)*LN(((Decline!$C$15-$B$184*M$51)+273.15)/(Decline!$C$16+273.15)))/Decline!$C$23*Decline!$C$24-Decline!$C$25)</f>
        <v/>
      </c>
      <c r="N185" s="68">
        <f>(Rates!$D$66*((Decline!$C$15-$B$184*N$51)-Decline!$C$16-(Decline!$C$16+273.15)*LN(((Decline!$C$15-$B$184*N$51)+273.15)/(Decline!$C$16+273.15)))/Decline!$C$23*Decline!$C$24-Decline!$C$25)</f>
        <v/>
      </c>
      <c r="O185" s="68">
        <f>(Rates!$D$66*((Decline!$C$15-$B$184*O$51)-Decline!$C$16-(Decline!$C$16+273.15)*LN(((Decline!$C$15-$B$184*O$51)+273.15)/(Decline!$C$16+273.15)))/Decline!$C$23*Decline!$C$24-Decline!$C$25)</f>
        <v/>
      </c>
      <c r="P185" s="68">
        <f>(Rates!$D$66*((Decline!$C$15-$B$184*P$51)-Decline!$C$16-(Decline!$C$16+273.15)*LN(((Decline!$C$15-$B$184*P$51)+273.15)/(Decline!$C$16+273.15)))/Decline!$C$23*Decline!$C$24-Decline!$C$25)</f>
        <v/>
      </c>
      <c r="Q185" s="68">
        <f>(Rates!$D$66*((Decline!$C$15-$B$184*Q$51)-Decline!$C$16-(Decline!$C$16+273.15)*LN(((Decline!$C$15-$B$184*Q$51)+273.15)/(Decline!$C$16+273.15)))/Decline!$C$23*Decline!$C$24-Decline!$C$25)</f>
        <v/>
      </c>
      <c r="R185" s="68">
        <f>(Rates!$D$66*((Decline!$C$15-$B$184*R$51)-Decline!$C$16-(Decline!$C$16+273.15)*LN(((Decline!$C$15-$B$184*R$51)+273.15)/(Decline!$C$16+273.15)))/Decline!$C$23*Decline!$C$24-Decline!$C$25)</f>
        <v/>
      </c>
      <c r="S185" s="68">
        <f>(Rates!$D$66*((Decline!$C$15-$B$184*S$51)-Decline!$C$16-(Decline!$C$16+273.15)*LN(((Decline!$C$15-$B$184*S$51)+273.15)/(Decline!$C$16+273.15)))/Decline!$C$23*Decline!$C$24-Decline!$C$25)</f>
        <v/>
      </c>
      <c r="T185" s="68">
        <f>(Rates!$D$66*((Decline!$C$15-$B$184*T$51)-Decline!$C$16-(Decline!$C$16+273.15)*LN(((Decline!$C$15-$B$184*T$51)+273.15)/(Decline!$C$16+273.15)))/Decline!$C$23*Decline!$C$24-Decline!$C$25)</f>
        <v/>
      </c>
      <c r="U185" s="68">
        <f>(Rates!$D$66*((Decline!$C$15-$B$184*U$51)-Decline!$C$16-(Decline!$C$16+273.15)*LN(((Decline!$C$15-$B$184*U$51)+273.15)/(Decline!$C$16+273.15)))/Decline!$C$23*Decline!$C$24-Decline!$C$25)</f>
        <v/>
      </c>
      <c r="V185" s="68">
        <f>(Rates!$D$66*((Decline!$C$15-$B$184*V$51)-Decline!$C$16-(Decline!$C$16+273.15)*LN(((Decline!$C$15-$B$184*V$51)+273.15)/(Decline!$C$16+273.15)))/Decline!$C$23*Decline!$C$24-Decline!$C$25)</f>
        <v/>
      </c>
      <c r="W185" s="68">
        <f>(Rates!$D$66*((Decline!$C$15-$B$184*W$51)-Decline!$C$16-(Decline!$C$16+273.15)*LN(((Decline!$C$15-$B$184*W$51)+273.15)/(Decline!$C$16+273.15)))/Decline!$C$23*Decline!$C$24-Decline!$C$25)</f>
        <v/>
      </c>
      <c r="X185" s="68">
        <f>(Rates!$D$66*((Decline!$C$15-$B$184*X$51)-Decline!$C$16-(Decline!$C$16+273.15)*LN(((Decline!$C$15-$B$184*X$51)+273.15)/(Decline!$C$16+273.15)))/Decline!$C$23*Decline!$C$24-Decline!$C$25)</f>
        <v/>
      </c>
      <c r="Y185" s="68">
        <f>(Rates!$D$66*((Decline!$C$15-$B$184*Y$51)-Decline!$C$16-(Decline!$C$16+273.15)*LN(((Decline!$C$15-$B$184*Y$51)+273.15)/(Decline!$C$16+273.15)))/Decline!$C$23*Decline!$C$24-Decline!$C$25)</f>
        <v/>
      </c>
      <c r="Z185" s="68">
        <f>(Rates!$D$66*((Decline!$C$15-$B$184*Z$51)-Decline!$C$16-(Decline!$C$16+273.15)*LN(((Decline!$C$15-$B$184*Z$51)+273.15)/(Decline!$C$16+273.15)))/Decline!$C$23*Decline!$C$24-Decline!$C$25)</f>
        <v/>
      </c>
      <c r="AA185" s="68">
        <f>(Rates!$D$66*((Decline!$C$15-$B$184*AA$51)-Decline!$C$16-(Decline!$C$16+273.15)*LN(((Decline!$C$15-$B$184*AA$51)+273.15)/(Decline!$C$16+273.15)))/Decline!$C$23*Decline!$C$24-Decline!$C$25)</f>
        <v/>
      </c>
      <c r="AB185" s="68">
        <f>(Rates!$D$66*((Decline!$C$15-$B$184*AB$51)-Decline!$C$16-(Decline!$C$16+273.15)*LN(((Decline!$C$15-$B$184*AB$51)+273.15)/(Decline!$C$16+273.15)))/Decline!$C$23*Decline!$C$24-Decline!$C$25)</f>
        <v/>
      </c>
    </row>
    <row r="186">
      <c r="A186" s="68" t="inlineStr">
        <is>
          <t>(b) capability before new wells</t>
        </is>
      </c>
      <c r="D186" s="68">
        <f>Decline!$C$19*C$185</f>
        <v/>
      </c>
      <c r="E186" s="68">
        <f>Decline!$C$19*D$185</f>
        <v/>
      </c>
      <c r="F186" s="68">
        <f>Decline!$C$19*E$185+E187*D$185</f>
        <v/>
      </c>
      <c r="G186" s="68">
        <f>Decline!$C$19*F$185+E187*E$185+F187*D$185</f>
        <v/>
      </c>
      <c r="H186" s="68">
        <f>Decline!$C$19*G$185+E187*F$185+F187*E$185+G187*D$185</f>
        <v/>
      </c>
      <c r="I186" s="68">
        <f>Decline!$C$19*H$185+E187*G$185+F187*F$185+G187*E$185+H187*D$185</f>
        <v/>
      </c>
      <c r="J186" s="68">
        <f>Decline!$C$19*I$185+E187*H$185+F187*G$185+G187*F$185+H187*E$185+I187*D$185</f>
        <v/>
      </c>
      <c r="K186" s="68">
        <f>Decline!$C$19*J$185+E187*I$185+F187*H$185+G187*G$185+H187*F$185+I187*E$185+J187*D$185</f>
        <v/>
      </c>
      <c r="L186" s="68">
        <f>Decline!$C$19*K$185+E187*J$185+F187*I$185+G187*H$185+H187*G$185+I187*F$185+J187*E$185+K187*D$185</f>
        <v/>
      </c>
      <c r="M186" s="68">
        <f>Decline!$C$19*L$185+E187*K$185+F187*J$185+G187*I$185+H187*H$185+I187*G$185+J187*F$185+K187*E$185+L187*D$185</f>
        <v/>
      </c>
      <c r="N186" s="68">
        <f>Decline!$C$19*M$185+E187*L$185+F187*K$185+G187*J$185+H187*I$185+I187*H$185+J187*G$185+K187*F$185+L187*E$185+M187*D$185</f>
        <v/>
      </c>
      <c r="O186" s="68">
        <f>Decline!$C$19*N$185+E187*M$185+F187*L$185+G187*K$185+H187*J$185+I187*I$185+J187*H$185+K187*G$185+L187*F$185+M187*E$185+N187*D$185</f>
        <v/>
      </c>
      <c r="P186" s="68">
        <f>Decline!$C$19*O$185+E187*N$185+F187*M$185+G187*L$185+H187*K$185+I187*J$185+J187*I$185+K187*H$185+L187*G$185+M187*F$185+N187*E$185+O187*D$185</f>
        <v/>
      </c>
      <c r="Q186" s="68">
        <f>Decline!$C$19*P$185+E187*O$185+F187*N$185+G187*M$185+H187*L$185+I187*K$185+J187*J$185+K187*I$185+L187*H$185+M187*G$185+N187*F$185+O187*E$185+P187*D$185</f>
        <v/>
      </c>
      <c r="R186" s="68">
        <f>Decline!$C$19*Q$185+E187*P$185+F187*O$185+G187*N$185+H187*M$185+I187*L$185+J187*K$185+K187*J$185+L187*I$185+M187*H$185+N187*G$185+O187*F$185+P187*E$185+Q187*D$185</f>
        <v/>
      </c>
      <c r="S186" s="68">
        <f>Decline!$C$19*R$185+E187*Q$185+F187*P$185+G187*O$185+H187*N$185+I187*M$185+J187*L$185+K187*K$185+L187*J$185+M187*I$185+N187*H$185+O187*G$185+P187*F$185+Q187*E$185+R187*D$185</f>
        <v/>
      </c>
      <c r="T186" s="68">
        <f>Decline!$C$19*S$185+E187*R$185+F187*Q$185+G187*P$185+H187*O$185+I187*N$185+J187*M$185+K187*L$185+L187*K$185+M187*J$185+N187*I$185+O187*H$185+P187*G$185+Q187*F$185+R187*E$185+S187*D$185</f>
        <v/>
      </c>
      <c r="U186" s="68">
        <f>Decline!$C$19*T$185+E187*S$185+F187*R$185+G187*Q$185+H187*P$185+I187*O$185+J187*N$185+K187*M$185+L187*L$185+M187*K$185+N187*J$185+O187*I$185+P187*H$185+Q187*G$185+R187*F$185+S187*E$185+T187*D$185</f>
        <v/>
      </c>
      <c r="V186" s="68">
        <f>Decline!$C$19*U$185+E187*T$185+F187*S$185+G187*R$185+H187*Q$185+I187*P$185+J187*O$185+K187*N$185+L187*M$185+M187*L$185+N187*K$185+O187*J$185+P187*I$185+Q187*H$185+R187*G$185+S187*F$185+T187*E$185+U187*D$185</f>
        <v/>
      </c>
      <c r="W186" s="68">
        <f>Decline!$C$19*V$185+E187*U$185+F187*T$185+G187*S$185+H187*R$185+I187*Q$185+J187*P$185+K187*O$185+L187*N$185+M187*M$185+N187*L$185+O187*K$185+P187*J$185+Q187*I$185+R187*H$185+S187*G$185+T187*F$185+U187*E$185+V187*D$185</f>
        <v/>
      </c>
      <c r="X186" s="68">
        <f>Decline!$C$19*W$185+E187*V$185+F187*U$185+G187*T$185+H187*S$185+I187*R$185+J187*Q$185+K187*P$185+L187*O$185+M187*N$185+N187*M$185+O187*L$185+P187*K$185+Q187*J$185+R187*I$185+S187*H$185+T187*G$185+U187*F$185+V187*E$185+W187*D$185</f>
        <v/>
      </c>
      <c r="Y186" s="68">
        <f>Decline!$C$19*X$185+E187*W$185+F187*V$185+G187*U$185+H187*T$185+I187*S$185+J187*R$185+K187*Q$185+L187*P$185+M187*O$185+N187*N$185+O187*M$185+P187*L$185+Q187*K$185+R187*J$185+S187*I$185+T187*H$185+U187*G$185+V187*F$185+W187*E$185+X187*D$185</f>
        <v/>
      </c>
      <c r="Z186" s="68">
        <f>Decline!$C$19*Y$185+E187*X$185+F187*W$185+G187*V$185+H187*U$185+I187*T$185+J187*S$185+K187*R$185+L187*Q$185+M187*P$185+N187*O$185+O187*N$185+P187*M$185+Q187*L$185+R187*K$185+S187*J$185+T187*I$185+U187*H$185+V187*G$185+W187*F$185+X187*E$185+Y187*D$185</f>
        <v/>
      </c>
      <c r="AA186" s="68">
        <f>Decline!$C$19*Z$185+E187*Y$185+F187*X$185+G187*W$185+H187*V$185+I187*U$185+J187*T$185+K187*S$185+L187*R$185+M187*Q$185+N187*P$185+O187*O$185+P187*N$185+Q187*M$185+R187*L$185+S187*K$185+T187*J$185+U187*I$185+V187*H$185+W187*G$185+X187*F$185+Y187*E$185+Z187*D$185</f>
        <v/>
      </c>
      <c r="AB186" s="68">
        <f>Decline!$C$19*AA$185+E187*Z$185+F187*Y$185+G187*X$185+H187*W$185+I187*V$185+J187*U$185+K187*T$185+L187*S$185+M187*R$185+N187*Q$185+O187*P$185+P187*O$185+Q187*N$185+R187*M$185+S187*L$185+T187*K$185+U187*J$185+V187*I$185+W187*H$185+X187*G$185+Y187*F$185+Z187*E$185+AA187*D$185</f>
        <v/>
      </c>
    </row>
    <row r="187">
      <c r="A187" s="68" t="inlineStr">
        <is>
          <t>(b) doublets online this year</t>
        </is>
      </c>
      <c r="C187" s="68" t="n">
        <v>0</v>
      </c>
      <c r="D187" s="68" t="n">
        <v>0</v>
      </c>
      <c r="E187" s="68">
        <f>IF(E186&lt;Decline!$C$20-1E-9,IF(C$185&lt;=0,0,CEILING((Decline!$C$20-E186)/C$185,1)),0)</f>
        <v/>
      </c>
      <c r="F187" s="68">
        <f>IF(F186&lt;Decline!$C$20-1E-9,IF(C$185&lt;=0,0,CEILING((Decline!$C$20-F186)/C$185,1)),0)</f>
        <v/>
      </c>
      <c r="G187" s="68">
        <f>IF(G186&lt;Decline!$C$20-1E-9,IF(C$185&lt;=0,0,CEILING((Decline!$C$20-G186)/C$185,1)),0)</f>
        <v/>
      </c>
      <c r="H187" s="68">
        <f>IF(H186&lt;Decline!$C$20-1E-9,IF(C$185&lt;=0,0,CEILING((Decline!$C$20-H186)/C$185,1)),0)</f>
        <v/>
      </c>
      <c r="I187" s="68">
        <f>IF(I186&lt;Decline!$C$20-1E-9,IF(C$185&lt;=0,0,CEILING((Decline!$C$20-I186)/C$185,1)),0)</f>
        <v/>
      </c>
      <c r="J187" s="68">
        <f>IF(J186&lt;Decline!$C$20-1E-9,IF(C$185&lt;=0,0,CEILING((Decline!$C$20-J186)/C$185,1)),0)</f>
        <v/>
      </c>
      <c r="K187" s="68">
        <f>IF(K186&lt;Decline!$C$20-1E-9,IF(C$185&lt;=0,0,CEILING((Decline!$C$20-K186)/C$185,1)),0)</f>
        <v/>
      </c>
      <c r="L187" s="68">
        <f>IF(L186&lt;Decline!$C$20-1E-9,IF(C$185&lt;=0,0,CEILING((Decline!$C$20-L186)/C$185,1)),0)</f>
        <v/>
      </c>
      <c r="M187" s="68">
        <f>IF(M186&lt;Decline!$C$20-1E-9,IF(C$185&lt;=0,0,CEILING((Decline!$C$20-M186)/C$185,1)),0)</f>
        <v/>
      </c>
      <c r="N187" s="68">
        <f>IF(N186&lt;Decline!$C$20-1E-9,IF(C$185&lt;=0,0,CEILING((Decline!$C$20-N186)/C$185,1)),0)</f>
        <v/>
      </c>
      <c r="O187" s="68">
        <f>IF(O186&lt;Decline!$C$20-1E-9,IF(C$185&lt;=0,0,CEILING((Decline!$C$20-O186)/C$185,1)),0)</f>
        <v/>
      </c>
      <c r="P187" s="68">
        <f>IF(P186&lt;Decline!$C$20-1E-9,IF(C$185&lt;=0,0,CEILING((Decline!$C$20-P186)/C$185,1)),0)</f>
        <v/>
      </c>
      <c r="Q187" s="68">
        <f>IF(Q186&lt;Decline!$C$20-1E-9,IF(C$185&lt;=0,0,CEILING((Decline!$C$20-Q186)/C$185,1)),0)</f>
        <v/>
      </c>
      <c r="R187" s="68">
        <f>IF(R186&lt;Decline!$C$20-1E-9,IF(C$185&lt;=0,0,CEILING((Decline!$C$20-R186)/C$185,1)),0)</f>
        <v/>
      </c>
      <c r="S187" s="68">
        <f>IF(S186&lt;Decline!$C$20-1E-9,IF(C$185&lt;=0,0,CEILING((Decline!$C$20-S186)/C$185,1)),0)</f>
        <v/>
      </c>
      <c r="T187" s="68">
        <f>IF(T186&lt;Decline!$C$20-1E-9,IF(C$185&lt;=0,0,CEILING((Decline!$C$20-T186)/C$185,1)),0)</f>
        <v/>
      </c>
      <c r="U187" s="68">
        <f>IF(U186&lt;Decline!$C$20-1E-9,IF(C$185&lt;=0,0,CEILING((Decline!$C$20-U186)/C$185,1)),0)</f>
        <v/>
      </c>
      <c r="V187" s="68">
        <f>IF(V186&lt;Decline!$C$20-1E-9,IF(C$185&lt;=0,0,CEILING((Decline!$C$20-V186)/C$185,1)),0)</f>
        <v/>
      </c>
      <c r="W187" s="68">
        <f>IF(W186&lt;Decline!$C$20-1E-9,IF(C$185&lt;=0,0,CEILING((Decline!$C$20-W186)/C$185,1)),0)</f>
        <v/>
      </c>
      <c r="X187" s="68">
        <f>IF(X186&lt;Decline!$C$20-1E-9,IF(C$185&lt;=0,0,CEILING((Decline!$C$20-X186)/C$185,1)),0)</f>
        <v/>
      </c>
      <c r="Y187" s="68">
        <f>IF(Y186&lt;Decline!$C$20-1E-9,IF(C$185&lt;=0,0,CEILING((Decline!$C$20-Y186)/C$185,1)),0)</f>
        <v/>
      </c>
      <c r="Z187" s="68">
        <f>IF(Z186&lt;Decline!$C$20-1E-9,IF(C$185&lt;=0,0,CEILING((Decline!$C$20-Z186)/C$185,1)),0)</f>
        <v/>
      </c>
      <c r="AA187" s="68">
        <f>IF(AA186&lt;Decline!$C$20-1E-9,IF(C$185&lt;=0,0,CEILING((Decline!$C$20-AA186)/C$185,1)),0)</f>
        <v/>
      </c>
      <c r="AB187" s="68">
        <f>IF(AB186&lt;Decline!$C$20-1E-9,IF(C$185&lt;=0,0,CEILING((Decline!$C$20-AB186)/C$185,1)),0)</f>
        <v/>
      </c>
    </row>
    <row r="188">
      <c r="A188" s="68" t="inlineStr">
        <is>
          <t>(b) capability after</t>
        </is>
      </c>
      <c r="D188" s="68">
        <f>D186+D187*C$185</f>
        <v/>
      </c>
      <c r="E188" s="68">
        <f>E186+E187*C$185</f>
        <v/>
      </c>
      <c r="F188" s="68">
        <f>F186+F187*C$185</f>
        <v/>
      </c>
      <c r="G188" s="68">
        <f>G186+G187*C$185</f>
        <v/>
      </c>
      <c r="H188" s="68">
        <f>H186+H187*C$185</f>
        <v/>
      </c>
      <c r="I188" s="68">
        <f>I186+I187*C$185</f>
        <v/>
      </c>
      <c r="J188" s="68">
        <f>J186+J187*C$185</f>
        <v/>
      </c>
      <c r="K188" s="68">
        <f>K186+K187*C$185</f>
        <v/>
      </c>
      <c r="L188" s="68">
        <f>L186+L187*C$185</f>
        <v/>
      </c>
      <c r="M188" s="68">
        <f>M186+M187*C$185</f>
        <v/>
      </c>
      <c r="N188" s="68">
        <f>N186+N187*C$185</f>
        <v/>
      </c>
      <c r="O188" s="68">
        <f>O186+O187*C$185</f>
        <v/>
      </c>
      <c r="P188" s="68">
        <f>P186+P187*C$185</f>
        <v/>
      </c>
      <c r="Q188" s="68">
        <f>Q186+Q187*C$185</f>
        <v/>
      </c>
      <c r="R188" s="68">
        <f>R186+R187*C$185</f>
        <v/>
      </c>
      <c r="S188" s="68">
        <f>S186+S187*C$185</f>
        <v/>
      </c>
      <c r="T188" s="68">
        <f>T186+T187*C$185</f>
        <v/>
      </c>
      <c r="U188" s="68">
        <f>U186+U187*C$185</f>
        <v/>
      </c>
      <c r="V188" s="68">
        <f>V186+V187*C$185</f>
        <v/>
      </c>
      <c r="W188" s="68">
        <f>W186+W187*C$185</f>
        <v/>
      </c>
      <c r="X188" s="68">
        <f>X186+X187*C$185</f>
        <v/>
      </c>
      <c r="Y188" s="68">
        <f>Y186+Y187*C$185</f>
        <v/>
      </c>
      <c r="Z188" s="68">
        <f>Z186+Z187*C$185</f>
        <v/>
      </c>
      <c r="AA188" s="68">
        <f>AA186+AA187*C$185</f>
        <v/>
      </c>
      <c r="AB188" s="68">
        <f>AB186+AB187*C$185</f>
        <v/>
      </c>
    </row>
    <row r="189">
      <c r="A189" s="68" t="inlineStr">
        <is>
          <t>(b) make-up capex (spent the year before)</t>
        </is>
      </c>
      <c r="C189" s="68">
        <f>IF(D187&gt;0,D187*(2*($C$11+$C$12)*(1+$C$14))+($C$13*(1+$C$14)),0)</f>
        <v/>
      </c>
      <c r="D189" s="68">
        <f>IF(E187&gt;0,E187*(2*($C$11+$C$12)*(1+$C$14))+($C$13*(1+$C$14)),0)</f>
        <v/>
      </c>
      <c r="E189" s="68">
        <f>IF(F187&gt;0,F187*(2*($C$11+$C$12)*(1+$C$14))+($C$13*(1+$C$14)),0)</f>
        <v/>
      </c>
      <c r="F189" s="68">
        <f>IF(G187&gt;0,G187*(2*($C$11+$C$12)*(1+$C$14))+($C$13*(1+$C$14)),0)</f>
        <v/>
      </c>
      <c r="G189" s="68">
        <f>IF(H187&gt;0,H187*(2*($C$11+$C$12)*(1+$C$14))+($C$13*(1+$C$14)),0)</f>
        <v/>
      </c>
      <c r="H189" s="68">
        <f>IF(I187&gt;0,I187*(2*($C$11+$C$12)*(1+$C$14))+($C$13*(1+$C$14)),0)</f>
        <v/>
      </c>
      <c r="I189" s="68">
        <f>IF(J187&gt;0,J187*(2*($C$11+$C$12)*(1+$C$14))+($C$13*(1+$C$14)),0)</f>
        <v/>
      </c>
      <c r="J189" s="68">
        <f>IF(K187&gt;0,K187*(2*($C$11+$C$12)*(1+$C$14))+($C$13*(1+$C$14)),0)</f>
        <v/>
      </c>
      <c r="K189" s="68">
        <f>IF(L187&gt;0,L187*(2*($C$11+$C$12)*(1+$C$14))+($C$13*(1+$C$14)),0)</f>
        <v/>
      </c>
      <c r="L189" s="68">
        <f>IF(M187&gt;0,M187*(2*($C$11+$C$12)*(1+$C$14))+($C$13*(1+$C$14)),0)</f>
        <v/>
      </c>
      <c r="M189" s="68">
        <f>IF(N187&gt;0,N187*(2*($C$11+$C$12)*(1+$C$14))+($C$13*(1+$C$14)),0)</f>
        <v/>
      </c>
      <c r="N189" s="68">
        <f>IF(O187&gt;0,O187*(2*($C$11+$C$12)*(1+$C$14))+($C$13*(1+$C$14)),0)</f>
        <v/>
      </c>
      <c r="O189" s="68">
        <f>IF(P187&gt;0,P187*(2*($C$11+$C$12)*(1+$C$14))+($C$13*(1+$C$14)),0)</f>
        <v/>
      </c>
      <c r="P189" s="68">
        <f>IF(Q187&gt;0,Q187*(2*($C$11+$C$12)*(1+$C$14))+($C$13*(1+$C$14)),0)</f>
        <v/>
      </c>
      <c r="Q189" s="68">
        <f>IF(R187&gt;0,R187*(2*($C$11+$C$12)*(1+$C$14))+($C$13*(1+$C$14)),0)</f>
        <v/>
      </c>
      <c r="R189" s="68">
        <f>IF(S187&gt;0,S187*(2*($C$11+$C$12)*(1+$C$14))+($C$13*(1+$C$14)),0)</f>
        <v/>
      </c>
      <c r="S189" s="68">
        <f>IF(T187&gt;0,T187*(2*($C$11+$C$12)*(1+$C$14))+($C$13*(1+$C$14)),0)</f>
        <v/>
      </c>
      <c r="T189" s="68">
        <f>IF(U187&gt;0,U187*(2*($C$11+$C$12)*(1+$C$14))+($C$13*(1+$C$14)),0)</f>
        <v/>
      </c>
      <c r="U189" s="68">
        <f>IF(V187&gt;0,V187*(2*($C$11+$C$12)*(1+$C$14))+($C$13*(1+$C$14)),0)</f>
        <v/>
      </c>
      <c r="V189" s="68">
        <f>IF(W187&gt;0,W187*(2*($C$11+$C$12)*(1+$C$14))+($C$13*(1+$C$14)),0)</f>
        <v/>
      </c>
      <c r="W189" s="68">
        <f>IF(X187&gt;0,X187*(2*($C$11+$C$12)*(1+$C$14))+($C$13*(1+$C$14)),0)</f>
        <v/>
      </c>
      <c r="X189" s="68">
        <f>IF(Y187&gt;0,Y187*(2*($C$11+$C$12)*(1+$C$14))+($C$13*(1+$C$14)),0)</f>
        <v/>
      </c>
      <c r="Y189" s="68">
        <f>IF(Z187&gt;0,Z187*(2*($C$11+$C$12)*(1+$C$14))+($C$13*(1+$C$14)),0)</f>
        <v/>
      </c>
      <c r="Z189" s="68">
        <f>IF(AA187&gt;0,AA187*(2*($C$11+$C$12)*(1+$C$14))+($C$13*(1+$C$14)),0)</f>
        <v/>
      </c>
      <c r="AA189" s="68">
        <f>IF(AB187&gt;0,AB187*(2*($C$11+$C$12)*(1+$C$14))+($C$13*(1+$C$14)),0)</f>
        <v/>
      </c>
      <c r="AB189" s="68" t="n">
        <v>0</v>
      </c>
    </row>
    <row r="190">
      <c r="A190" s="68" t="inlineStr">
        <is>
          <t>do nothing: lit modules</t>
        </is>
      </c>
      <c r="D190" s="68">
        <f>MAX(0,MIN(4,INT(MIN(Decline!$C$20,Decline!$C$19*C$185)*Decline!$C$21/Decline!$C$22+1E-9)))</f>
        <v/>
      </c>
      <c r="E190" s="68">
        <f>MAX(0,MIN(4,INT(MIN(Decline!$C$20,Decline!$C$19*D$185)*Decline!$C$21/Decline!$C$22+1E-9)))</f>
        <v/>
      </c>
      <c r="F190" s="68">
        <f>MAX(0,MIN(4,INT(MIN(Decline!$C$20,Decline!$C$19*E$185)*Decline!$C$21/Decline!$C$22+1E-9)))</f>
        <v/>
      </c>
      <c r="G190" s="68">
        <f>MAX(0,MIN(4,INT(MIN(Decline!$C$20,Decline!$C$19*F$185)*Decline!$C$21/Decline!$C$22+1E-9)))</f>
        <v/>
      </c>
      <c r="H190" s="68">
        <f>MAX(0,MIN(4,INT(MIN(Decline!$C$20,Decline!$C$19*G$185)*Decline!$C$21/Decline!$C$22+1E-9)))</f>
        <v/>
      </c>
      <c r="I190" s="68">
        <f>MAX(0,MIN(4,INT(MIN(Decline!$C$20,Decline!$C$19*H$185)*Decline!$C$21/Decline!$C$22+1E-9)))</f>
        <v/>
      </c>
      <c r="J190" s="68">
        <f>MAX(0,MIN(4,INT(MIN(Decline!$C$20,Decline!$C$19*I$185)*Decline!$C$21/Decline!$C$22+1E-9)))</f>
        <v/>
      </c>
      <c r="K190" s="68">
        <f>MAX(0,MIN(4,INT(MIN(Decline!$C$20,Decline!$C$19*J$185)*Decline!$C$21/Decline!$C$22+1E-9)))</f>
        <v/>
      </c>
      <c r="L190" s="68">
        <f>MAX(0,MIN(4,INT(MIN(Decline!$C$20,Decline!$C$19*K$185)*Decline!$C$21/Decline!$C$22+1E-9)))</f>
        <v/>
      </c>
      <c r="M190" s="68">
        <f>MAX(0,MIN(4,INT(MIN(Decline!$C$20,Decline!$C$19*L$185)*Decline!$C$21/Decline!$C$22+1E-9)))</f>
        <v/>
      </c>
      <c r="N190" s="68">
        <f>MAX(0,MIN(4,INT(MIN(Decline!$C$20,Decline!$C$19*M$185)*Decline!$C$21/Decline!$C$22+1E-9)))</f>
        <v/>
      </c>
      <c r="O190" s="68">
        <f>MAX(0,MIN(4,INT(MIN(Decline!$C$20,Decline!$C$19*N$185)*Decline!$C$21/Decline!$C$22+1E-9)))</f>
        <v/>
      </c>
      <c r="P190" s="68">
        <f>MAX(0,MIN(4,INT(MIN(Decline!$C$20,Decline!$C$19*O$185)*Decline!$C$21/Decline!$C$22+1E-9)))</f>
        <v/>
      </c>
      <c r="Q190" s="68">
        <f>MAX(0,MIN(4,INT(MIN(Decline!$C$20,Decline!$C$19*P$185)*Decline!$C$21/Decline!$C$22+1E-9)))</f>
        <v/>
      </c>
      <c r="R190" s="68">
        <f>MAX(0,MIN(4,INT(MIN(Decline!$C$20,Decline!$C$19*Q$185)*Decline!$C$21/Decline!$C$22+1E-9)))</f>
        <v/>
      </c>
      <c r="S190" s="68">
        <f>MAX(0,MIN(4,INT(MIN(Decline!$C$20,Decline!$C$19*R$185)*Decline!$C$21/Decline!$C$22+1E-9)))</f>
        <v/>
      </c>
      <c r="T190" s="68">
        <f>MAX(0,MIN(4,INT(MIN(Decline!$C$20,Decline!$C$19*S$185)*Decline!$C$21/Decline!$C$22+1E-9)))</f>
        <v/>
      </c>
      <c r="U190" s="68">
        <f>MAX(0,MIN(4,INT(MIN(Decline!$C$20,Decline!$C$19*T$185)*Decline!$C$21/Decline!$C$22+1E-9)))</f>
        <v/>
      </c>
      <c r="V190" s="68">
        <f>MAX(0,MIN(4,INT(MIN(Decline!$C$20,Decline!$C$19*U$185)*Decline!$C$21/Decline!$C$22+1E-9)))</f>
        <v/>
      </c>
      <c r="W190" s="68">
        <f>MAX(0,MIN(4,INT(MIN(Decline!$C$20,Decline!$C$19*V$185)*Decline!$C$21/Decline!$C$22+1E-9)))</f>
        <v/>
      </c>
      <c r="X190" s="68">
        <f>MAX(0,MIN(4,INT(MIN(Decline!$C$20,Decline!$C$19*W$185)*Decline!$C$21/Decline!$C$22+1E-9)))</f>
        <v/>
      </c>
      <c r="Y190" s="68">
        <f>MAX(0,MIN(4,INT(MIN(Decline!$C$20,Decline!$C$19*X$185)*Decline!$C$21/Decline!$C$22+1E-9)))</f>
        <v/>
      </c>
      <c r="Z190" s="68">
        <f>MAX(0,MIN(4,INT(MIN(Decline!$C$20,Decline!$C$19*Y$185)*Decline!$C$21/Decline!$C$22+1E-9)))</f>
        <v/>
      </c>
      <c r="AA190" s="68">
        <f>MAX(0,MIN(4,INT(MIN(Decline!$C$20,Decline!$C$19*Z$185)*Decline!$C$21/Decline!$C$22+1E-9)))</f>
        <v/>
      </c>
      <c r="AB190" s="68">
        <f>MAX(0,MIN(4,INT(MIN(Decline!$C$20,Decline!$C$19*AA$185)*Decline!$C$21/Decline!$C$22+1E-9)))</f>
        <v/>
      </c>
    </row>
    <row r="191">
      <c r="A191" s="68" t="inlineStr">
        <is>
          <t>(a) lit modules</t>
        </is>
      </c>
      <c r="D191" s="68">
        <f>MAX(0,MIN(4,INT(MIN(Decline!$C$20,(Decline!$C$19+IF(ISNUMBER($E$184),$E$184,0))*C$185)*Decline!$C$21/Decline!$C$22+1E-9)))</f>
        <v/>
      </c>
      <c r="E191" s="68">
        <f>MAX(0,MIN(4,INT(MIN(Decline!$C$20,(Decline!$C$19+IF(ISNUMBER($E$184),$E$184,0))*D$185)*Decline!$C$21/Decline!$C$22+1E-9)))</f>
        <v/>
      </c>
      <c r="F191" s="68">
        <f>MAX(0,MIN(4,INT(MIN(Decline!$C$20,(Decline!$C$19+IF(ISNUMBER($E$184),$E$184,0))*E$185)*Decline!$C$21/Decline!$C$22+1E-9)))</f>
        <v/>
      </c>
      <c r="G191" s="68">
        <f>MAX(0,MIN(4,INT(MIN(Decline!$C$20,(Decline!$C$19+IF(ISNUMBER($E$184),$E$184,0))*F$185)*Decline!$C$21/Decline!$C$22+1E-9)))</f>
        <v/>
      </c>
      <c r="H191" s="68">
        <f>MAX(0,MIN(4,INT(MIN(Decline!$C$20,(Decline!$C$19+IF(ISNUMBER($E$184),$E$184,0))*G$185)*Decline!$C$21/Decline!$C$22+1E-9)))</f>
        <v/>
      </c>
      <c r="I191" s="68">
        <f>MAX(0,MIN(4,INT(MIN(Decline!$C$20,(Decline!$C$19+IF(ISNUMBER($E$184),$E$184,0))*H$185)*Decline!$C$21/Decline!$C$22+1E-9)))</f>
        <v/>
      </c>
      <c r="J191" s="68">
        <f>MAX(0,MIN(4,INT(MIN(Decline!$C$20,(Decline!$C$19+IF(ISNUMBER($E$184),$E$184,0))*I$185)*Decline!$C$21/Decline!$C$22+1E-9)))</f>
        <v/>
      </c>
      <c r="K191" s="68">
        <f>MAX(0,MIN(4,INT(MIN(Decline!$C$20,(Decline!$C$19+IF(ISNUMBER($E$184),$E$184,0))*J$185)*Decline!$C$21/Decline!$C$22+1E-9)))</f>
        <v/>
      </c>
      <c r="L191" s="68">
        <f>MAX(0,MIN(4,INT(MIN(Decline!$C$20,(Decline!$C$19+IF(ISNUMBER($E$184),$E$184,0))*K$185)*Decline!$C$21/Decline!$C$22+1E-9)))</f>
        <v/>
      </c>
      <c r="M191" s="68">
        <f>MAX(0,MIN(4,INT(MIN(Decline!$C$20,(Decline!$C$19+IF(ISNUMBER($E$184),$E$184,0))*L$185)*Decline!$C$21/Decline!$C$22+1E-9)))</f>
        <v/>
      </c>
      <c r="N191" s="68">
        <f>MAX(0,MIN(4,INT(MIN(Decline!$C$20,(Decline!$C$19+IF(ISNUMBER($E$184),$E$184,0))*M$185)*Decline!$C$21/Decline!$C$22+1E-9)))</f>
        <v/>
      </c>
      <c r="O191" s="68">
        <f>MAX(0,MIN(4,INT(MIN(Decline!$C$20,(Decline!$C$19+IF(ISNUMBER($E$184),$E$184,0))*N$185)*Decline!$C$21/Decline!$C$22+1E-9)))</f>
        <v/>
      </c>
      <c r="P191" s="68">
        <f>MAX(0,MIN(4,INT(MIN(Decline!$C$20,(Decline!$C$19+IF(ISNUMBER($E$184),$E$184,0))*O$185)*Decline!$C$21/Decline!$C$22+1E-9)))</f>
        <v/>
      </c>
      <c r="Q191" s="68">
        <f>MAX(0,MIN(4,INT(MIN(Decline!$C$20,(Decline!$C$19+IF(ISNUMBER($E$184),$E$184,0))*P$185)*Decline!$C$21/Decline!$C$22+1E-9)))</f>
        <v/>
      </c>
      <c r="R191" s="68">
        <f>MAX(0,MIN(4,INT(MIN(Decline!$C$20,(Decline!$C$19+IF(ISNUMBER($E$184),$E$184,0))*Q$185)*Decline!$C$21/Decline!$C$22+1E-9)))</f>
        <v/>
      </c>
      <c r="S191" s="68">
        <f>MAX(0,MIN(4,INT(MIN(Decline!$C$20,(Decline!$C$19+IF(ISNUMBER($E$184),$E$184,0))*R$185)*Decline!$C$21/Decline!$C$22+1E-9)))</f>
        <v/>
      </c>
      <c r="T191" s="68">
        <f>MAX(0,MIN(4,INT(MIN(Decline!$C$20,(Decline!$C$19+IF(ISNUMBER($E$184),$E$184,0))*S$185)*Decline!$C$21/Decline!$C$22+1E-9)))</f>
        <v/>
      </c>
      <c r="U191" s="68">
        <f>MAX(0,MIN(4,INT(MIN(Decline!$C$20,(Decline!$C$19+IF(ISNUMBER($E$184),$E$184,0))*T$185)*Decline!$C$21/Decline!$C$22+1E-9)))</f>
        <v/>
      </c>
      <c r="V191" s="68">
        <f>MAX(0,MIN(4,INT(MIN(Decline!$C$20,(Decline!$C$19+IF(ISNUMBER($E$184),$E$184,0))*U$185)*Decline!$C$21/Decline!$C$22+1E-9)))</f>
        <v/>
      </c>
      <c r="W191" s="68">
        <f>MAX(0,MIN(4,INT(MIN(Decline!$C$20,(Decline!$C$19+IF(ISNUMBER($E$184),$E$184,0))*V$185)*Decline!$C$21/Decline!$C$22+1E-9)))</f>
        <v/>
      </c>
      <c r="X191" s="68">
        <f>MAX(0,MIN(4,INT(MIN(Decline!$C$20,(Decline!$C$19+IF(ISNUMBER($E$184),$E$184,0))*W$185)*Decline!$C$21/Decline!$C$22+1E-9)))</f>
        <v/>
      </c>
      <c r="Y191" s="68">
        <f>MAX(0,MIN(4,INT(MIN(Decline!$C$20,(Decline!$C$19+IF(ISNUMBER($E$184),$E$184,0))*X$185)*Decline!$C$21/Decline!$C$22+1E-9)))</f>
        <v/>
      </c>
      <c r="Z191" s="68">
        <f>MAX(0,MIN(4,INT(MIN(Decline!$C$20,(Decline!$C$19+IF(ISNUMBER($E$184),$E$184,0))*Y$185)*Decline!$C$21/Decline!$C$22+1E-9)))</f>
        <v/>
      </c>
      <c r="AA191" s="68">
        <f>MAX(0,MIN(4,INT(MIN(Decline!$C$20,(Decline!$C$19+IF(ISNUMBER($E$184),$E$184,0))*Z$185)*Decline!$C$21/Decline!$C$22+1E-9)))</f>
        <v/>
      </c>
      <c r="AB191" s="68">
        <f>MAX(0,MIN(4,INT(MIN(Decline!$C$20,(Decline!$C$19+IF(ISNUMBER($E$184),$E$184,0))*AA$185)*Decline!$C$21/Decline!$C$22+1E-9)))</f>
        <v/>
      </c>
    </row>
    <row r="192">
      <c r="A192" s="68" t="inlineStr">
        <is>
          <t>(b) lit modules</t>
        </is>
      </c>
      <c r="D192" s="68">
        <f>MAX(0,MIN(4,INT(MIN(Decline!$C$20,D188)*Decline!$C$21/Decline!$C$22+1E-9)))</f>
        <v/>
      </c>
      <c r="E192" s="68">
        <f>MAX(0,MIN(4,INT(MIN(Decline!$C$20,E188)*Decline!$C$21/Decline!$C$22+1E-9)))</f>
        <v/>
      </c>
      <c r="F192" s="68">
        <f>MAX(0,MIN(4,INT(MIN(Decline!$C$20,F188)*Decline!$C$21/Decline!$C$22+1E-9)))</f>
        <v/>
      </c>
      <c r="G192" s="68">
        <f>MAX(0,MIN(4,INT(MIN(Decline!$C$20,G188)*Decline!$C$21/Decline!$C$22+1E-9)))</f>
        <v/>
      </c>
      <c r="H192" s="68">
        <f>MAX(0,MIN(4,INT(MIN(Decline!$C$20,H188)*Decline!$C$21/Decline!$C$22+1E-9)))</f>
        <v/>
      </c>
      <c r="I192" s="68">
        <f>MAX(0,MIN(4,INT(MIN(Decline!$C$20,I188)*Decline!$C$21/Decline!$C$22+1E-9)))</f>
        <v/>
      </c>
      <c r="J192" s="68">
        <f>MAX(0,MIN(4,INT(MIN(Decline!$C$20,J188)*Decline!$C$21/Decline!$C$22+1E-9)))</f>
        <v/>
      </c>
      <c r="K192" s="68">
        <f>MAX(0,MIN(4,INT(MIN(Decline!$C$20,K188)*Decline!$C$21/Decline!$C$22+1E-9)))</f>
        <v/>
      </c>
      <c r="L192" s="68">
        <f>MAX(0,MIN(4,INT(MIN(Decline!$C$20,L188)*Decline!$C$21/Decline!$C$22+1E-9)))</f>
        <v/>
      </c>
      <c r="M192" s="68">
        <f>MAX(0,MIN(4,INT(MIN(Decline!$C$20,M188)*Decline!$C$21/Decline!$C$22+1E-9)))</f>
        <v/>
      </c>
      <c r="N192" s="68">
        <f>MAX(0,MIN(4,INT(MIN(Decline!$C$20,N188)*Decline!$C$21/Decline!$C$22+1E-9)))</f>
        <v/>
      </c>
      <c r="O192" s="68">
        <f>MAX(0,MIN(4,INT(MIN(Decline!$C$20,O188)*Decline!$C$21/Decline!$C$22+1E-9)))</f>
        <v/>
      </c>
      <c r="P192" s="68">
        <f>MAX(0,MIN(4,INT(MIN(Decline!$C$20,P188)*Decline!$C$21/Decline!$C$22+1E-9)))</f>
        <v/>
      </c>
      <c r="Q192" s="68">
        <f>MAX(0,MIN(4,INT(MIN(Decline!$C$20,Q188)*Decline!$C$21/Decline!$C$22+1E-9)))</f>
        <v/>
      </c>
      <c r="R192" s="68">
        <f>MAX(0,MIN(4,INT(MIN(Decline!$C$20,R188)*Decline!$C$21/Decline!$C$22+1E-9)))</f>
        <v/>
      </c>
      <c r="S192" s="68">
        <f>MAX(0,MIN(4,INT(MIN(Decline!$C$20,S188)*Decline!$C$21/Decline!$C$22+1E-9)))</f>
        <v/>
      </c>
      <c r="T192" s="68">
        <f>MAX(0,MIN(4,INT(MIN(Decline!$C$20,T188)*Decline!$C$21/Decline!$C$22+1E-9)))</f>
        <v/>
      </c>
      <c r="U192" s="68">
        <f>MAX(0,MIN(4,INT(MIN(Decline!$C$20,U188)*Decline!$C$21/Decline!$C$22+1E-9)))</f>
        <v/>
      </c>
      <c r="V192" s="68">
        <f>MAX(0,MIN(4,INT(MIN(Decline!$C$20,V188)*Decline!$C$21/Decline!$C$22+1E-9)))</f>
        <v/>
      </c>
      <c r="W192" s="68">
        <f>MAX(0,MIN(4,INT(MIN(Decline!$C$20,W188)*Decline!$C$21/Decline!$C$22+1E-9)))</f>
        <v/>
      </c>
      <c r="X192" s="68">
        <f>MAX(0,MIN(4,INT(MIN(Decline!$C$20,X188)*Decline!$C$21/Decline!$C$22+1E-9)))</f>
        <v/>
      </c>
      <c r="Y192" s="68">
        <f>MAX(0,MIN(4,INT(MIN(Decline!$C$20,Y188)*Decline!$C$21/Decline!$C$22+1E-9)))</f>
        <v/>
      </c>
      <c r="Z192" s="68">
        <f>MAX(0,MIN(4,INT(MIN(Decline!$C$20,Z188)*Decline!$C$21/Decline!$C$22+1E-9)))</f>
        <v/>
      </c>
      <c r="AA192" s="68">
        <f>MAX(0,MIN(4,INT(MIN(Decline!$C$20,AA188)*Decline!$C$21/Decline!$C$22+1E-9)))</f>
        <v/>
      </c>
      <c r="AB192" s="68">
        <f>MAX(0,MIN(4,INT(MIN(Decline!$C$20,AB188)*Decline!$C$21/Decline!$C$22+1E-9)))</f>
        <v/>
      </c>
    </row>
    <row r="193">
      <c r="A193" s="68" t="inlineStr">
        <is>
          <t>Do nothing (dark modules stop buying GPUs) | flat</t>
        </is>
      </c>
      <c r="C193" s="68">
        <f>-'Sell-Compute'!$C$36</f>
        <v/>
      </c>
      <c r="D193" s="68">
        <f>IF(D$51&lt;=Rates!$D$71,('Sell-Compute'!$C$40*(1+'Sell-Compute'!$C$50)^MOD(D$51-1,'Sell-Compute'!$C$21)-'Sell-Compute'!$C$42-'Sell-Compute'!$C$43)*(D190/4)-'Sell-Compute'!$C$41-'Sell-Compute'!$C$44-'Sell-Compute'!$C$45-IF(AND(MOD(D$51,'Sell-Compute'!$C$21)=0,D$51&lt;Rates!$D$71),'Sell-Compute'!$C$34*(D190/4),0),0)</f>
        <v/>
      </c>
      <c r="E193" s="68">
        <f>IF(E$51&lt;=Rates!$D$71,('Sell-Compute'!$C$40*(1+'Sell-Compute'!$C$50)^MOD(E$51-1,'Sell-Compute'!$C$21)-'Sell-Compute'!$C$42-'Sell-Compute'!$C$43)*(E190/4)-'Sell-Compute'!$C$41-'Sell-Compute'!$C$44-'Sell-Compute'!$C$45-IF(AND(MOD(E$51,'Sell-Compute'!$C$21)=0,E$51&lt;Rates!$D$71),'Sell-Compute'!$C$34*(E190/4),0),0)</f>
        <v/>
      </c>
      <c r="F193" s="68">
        <f>IF(F$51&lt;=Rates!$D$71,('Sell-Compute'!$C$40*(1+'Sell-Compute'!$C$50)^MOD(F$51-1,'Sell-Compute'!$C$21)-'Sell-Compute'!$C$42-'Sell-Compute'!$C$43)*(F190/4)-'Sell-Compute'!$C$41-'Sell-Compute'!$C$44-'Sell-Compute'!$C$45-IF(AND(MOD(F$51,'Sell-Compute'!$C$21)=0,F$51&lt;Rates!$D$71),'Sell-Compute'!$C$34*(F190/4),0),0)</f>
        <v/>
      </c>
      <c r="G193" s="68">
        <f>IF(G$51&lt;=Rates!$D$71,('Sell-Compute'!$C$40*(1+'Sell-Compute'!$C$50)^MOD(G$51-1,'Sell-Compute'!$C$21)-'Sell-Compute'!$C$42-'Sell-Compute'!$C$43)*(G190/4)-'Sell-Compute'!$C$41-'Sell-Compute'!$C$44-'Sell-Compute'!$C$45-IF(AND(MOD(G$51,'Sell-Compute'!$C$21)=0,G$51&lt;Rates!$D$71),'Sell-Compute'!$C$34*(G190/4),0),0)</f>
        <v/>
      </c>
      <c r="H193" s="68">
        <f>IF(H$51&lt;=Rates!$D$71,('Sell-Compute'!$C$40*(1+'Sell-Compute'!$C$50)^MOD(H$51-1,'Sell-Compute'!$C$21)-'Sell-Compute'!$C$42-'Sell-Compute'!$C$43)*(H190/4)-'Sell-Compute'!$C$41-'Sell-Compute'!$C$44-'Sell-Compute'!$C$45-IF(AND(MOD(H$51,'Sell-Compute'!$C$21)=0,H$51&lt;Rates!$D$71),'Sell-Compute'!$C$34*(H190/4),0),0)</f>
        <v/>
      </c>
      <c r="I193" s="68">
        <f>IF(I$51&lt;=Rates!$D$71,('Sell-Compute'!$C$40*(1+'Sell-Compute'!$C$50)^MOD(I$51-1,'Sell-Compute'!$C$21)-'Sell-Compute'!$C$42-'Sell-Compute'!$C$43)*(I190/4)-'Sell-Compute'!$C$41-'Sell-Compute'!$C$44-'Sell-Compute'!$C$45-IF(AND(MOD(I$51,'Sell-Compute'!$C$21)=0,I$51&lt;Rates!$D$71),'Sell-Compute'!$C$34*(I190/4),0),0)</f>
        <v/>
      </c>
      <c r="J193" s="68">
        <f>IF(J$51&lt;=Rates!$D$71,('Sell-Compute'!$C$40*(1+'Sell-Compute'!$C$50)^MOD(J$51-1,'Sell-Compute'!$C$21)-'Sell-Compute'!$C$42-'Sell-Compute'!$C$43)*(J190/4)-'Sell-Compute'!$C$41-'Sell-Compute'!$C$44-'Sell-Compute'!$C$45-IF(AND(MOD(J$51,'Sell-Compute'!$C$21)=0,J$51&lt;Rates!$D$71),'Sell-Compute'!$C$34*(J190/4),0),0)</f>
        <v/>
      </c>
      <c r="K193" s="68">
        <f>IF(K$51&lt;=Rates!$D$71,('Sell-Compute'!$C$40*(1+'Sell-Compute'!$C$50)^MOD(K$51-1,'Sell-Compute'!$C$21)-'Sell-Compute'!$C$42-'Sell-Compute'!$C$43)*(K190/4)-'Sell-Compute'!$C$41-'Sell-Compute'!$C$44-'Sell-Compute'!$C$45-IF(AND(MOD(K$51,'Sell-Compute'!$C$21)=0,K$51&lt;Rates!$D$71),'Sell-Compute'!$C$34*(K190/4),0),0)</f>
        <v/>
      </c>
      <c r="L193" s="68">
        <f>IF(L$51&lt;=Rates!$D$71,('Sell-Compute'!$C$40*(1+'Sell-Compute'!$C$50)^MOD(L$51-1,'Sell-Compute'!$C$21)-'Sell-Compute'!$C$42-'Sell-Compute'!$C$43)*(L190/4)-'Sell-Compute'!$C$41-'Sell-Compute'!$C$44-'Sell-Compute'!$C$45-IF(AND(MOD(L$51,'Sell-Compute'!$C$21)=0,L$51&lt;Rates!$D$71),'Sell-Compute'!$C$34*(L190/4),0),0)</f>
        <v/>
      </c>
      <c r="M193" s="68">
        <f>IF(M$51&lt;=Rates!$D$71,('Sell-Compute'!$C$40*(1+'Sell-Compute'!$C$50)^MOD(M$51-1,'Sell-Compute'!$C$21)-'Sell-Compute'!$C$42-'Sell-Compute'!$C$43)*(M190/4)-'Sell-Compute'!$C$41-'Sell-Compute'!$C$44-'Sell-Compute'!$C$45-IF(AND(MOD(M$51,'Sell-Compute'!$C$21)=0,M$51&lt;Rates!$D$71),'Sell-Compute'!$C$34*(M190/4),0),0)</f>
        <v/>
      </c>
      <c r="N193" s="68">
        <f>IF(N$51&lt;=Rates!$D$71,('Sell-Compute'!$C$40*(1+'Sell-Compute'!$C$50)^MOD(N$51-1,'Sell-Compute'!$C$21)-'Sell-Compute'!$C$42-'Sell-Compute'!$C$43)*(N190/4)-'Sell-Compute'!$C$41-'Sell-Compute'!$C$44-'Sell-Compute'!$C$45-IF(AND(MOD(N$51,'Sell-Compute'!$C$21)=0,N$51&lt;Rates!$D$71),'Sell-Compute'!$C$34*(N190/4),0),0)</f>
        <v/>
      </c>
      <c r="O193" s="68">
        <f>IF(O$51&lt;=Rates!$D$71,('Sell-Compute'!$C$40*(1+'Sell-Compute'!$C$50)^MOD(O$51-1,'Sell-Compute'!$C$21)-'Sell-Compute'!$C$42-'Sell-Compute'!$C$43)*(O190/4)-'Sell-Compute'!$C$41-'Sell-Compute'!$C$44-'Sell-Compute'!$C$45-IF(AND(MOD(O$51,'Sell-Compute'!$C$21)=0,O$51&lt;Rates!$D$71),'Sell-Compute'!$C$34*(O190/4),0),0)</f>
        <v/>
      </c>
      <c r="P193" s="68">
        <f>IF(P$51&lt;=Rates!$D$71,('Sell-Compute'!$C$40*(1+'Sell-Compute'!$C$50)^MOD(P$51-1,'Sell-Compute'!$C$21)-'Sell-Compute'!$C$42-'Sell-Compute'!$C$43)*(P190/4)-'Sell-Compute'!$C$41-'Sell-Compute'!$C$44-'Sell-Compute'!$C$45-IF(AND(MOD(P$51,'Sell-Compute'!$C$21)=0,P$51&lt;Rates!$D$71),'Sell-Compute'!$C$34*(P190/4),0),0)</f>
        <v/>
      </c>
      <c r="Q193" s="68">
        <f>IF(Q$51&lt;=Rates!$D$71,('Sell-Compute'!$C$40*(1+'Sell-Compute'!$C$50)^MOD(Q$51-1,'Sell-Compute'!$C$21)-'Sell-Compute'!$C$42-'Sell-Compute'!$C$43)*(Q190/4)-'Sell-Compute'!$C$41-'Sell-Compute'!$C$44-'Sell-Compute'!$C$45-IF(AND(MOD(Q$51,'Sell-Compute'!$C$21)=0,Q$51&lt;Rates!$D$71),'Sell-Compute'!$C$34*(Q190/4),0),0)</f>
        <v/>
      </c>
      <c r="R193" s="68">
        <f>IF(R$51&lt;=Rates!$D$71,('Sell-Compute'!$C$40*(1+'Sell-Compute'!$C$50)^MOD(R$51-1,'Sell-Compute'!$C$21)-'Sell-Compute'!$C$42-'Sell-Compute'!$C$43)*(R190/4)-'Sell-Compute'!$C$41-'Sell-Compute'!$C$44-'Sell-Compute'!$C$45-IF(AND(MOD(R$51,'Sell-Compute'!$C$21)=0,R$51&lt;Rates!$D$71),'Sell-Compute'!$C$34*(R190/4),0),0)</f>
        <v/>
      </c>
      <c r="S193" s="68">
        <f>IF(S$51&lt;=Rates!$D$71,('Sell-Compute'!$C$40*(1+'Sell-Compute'!$C$50)^MOD(S$51-1,'Sell-Compute'!$C$21)-'Sell-Compute'!$C$42-'Sell-Compute'!$C$43)*(S190/4)-'Sell-Compute'!$C$41-'Sell-Compute'!$C$44-'Sell-Compute'!$C$45-IF(AND(MOD(S$51,'Sell-Compute'!$C$21)=0,S$51&lt;Rates!$D$71),'Sell-Compute'!$C$34*(S190/4),0),0)</f>
        <v/>
      </c>
      <c r="T193" s="68">
        <f>IF(T$51&lt;=Rates!$D$71,('Sell-Compute'!$C$40*(1+'Sell-Compute'!$C$50)^MOD(T$51-1,'Sell-Compute'!$C$21)-'Sell-Compute'!$C$42-'Sell-Compute'!$C$43)*(T190/4)-'Sell-Compute'!$C$41-'Sell-Compute'!$C$44-'Sell-Compute'!$C$45-IF(AND(MOD(T$51,'Sell-Compute'!$C$21)=0,T$51&lt;Rates!$D$71),'Sell-Compute'!$C$34*(T190/4),0),0)</f>
        <v/>
      </c>
      <c r="U193" s="68">
        <f>IF(U$51&lt;=Rates!$D$71,('Sell-Compute'!$C$40*(1+'Sell-Compute'!$C$50)^MOD(U$51-1,'Sell-Compute'!$C$21)-'Sell-Compute'!$C$42-'Sell-Compute'!$C$43)*(U190/4)-'Sell-Compute'!$C$41-'Sell-Compute'!$C$44-'Sell-Compute'!$C$45-IF(AND(MOD(U$51,'Sell-Compute'!$C$21)=0,U$51&lt;Rates!$D$71),'Sell-Compute'!$C$34*(U190/4),0),0)</f>
        <v/>
      </c>
      <c r="V193" s="68">
        <f>IF(V$51&lt;=Rates!$D$71,('Sell-Compute'!$C$40*(1+'Sell-Compute'!$C$50)^MOD(V$51-1,'Sell-Compute'!$C$21)-'Sell-Compute'!$C$42-'Sell-Compute'!$C$43)*(V190/4)-'Sell-Compute'!$C$41-'Sell-Compute'!$C$44-'Sell-Compute'!$C$45-IF(AND(MOD(V$51,'Sell-Compute'!$C$21)=0,V$51&lt;Rates!$D$71),'Sell-Compute'!$C$34*(V190/4),0),0)</f>
        <v/>
      </c>
      <c r="W193" s="68">
        <f>IF(W$51&lt;=Rates!$D$71,('Sell-Compute'!$C$40*(1+'Sell-Compute'!$C$50)^MOD(W$51-1,'Sell-Compute'!$C$21)-'Sell-Compute'!$C$42-'Sell-Compute'!$C$43)*(W190/4)-'Sell-Compute'!$C$41-'Sell-Compute'!$C$44-'Sell-Compute'!$C$45-IF(AND(MOD(W$51,'Sell-Compute'!$C$21)=0,W$51&lt;Rates!$D$71),'Sell-Compute'!$C$34*(W190/4),0),0)</f>
        <v/>
      </c>
      <c r="X193" s="68">
        <f>IF(X$51&lt;=Rates!$D$71,('Sell-Compute'!$C$40*(1+'Sell-Compute'!$C$50)^MOD(X$51-1,'Sell-Compute'!$C$21)-'Sell-Compute'!$C$42-'Sell-Compute'!$C$43)*(X190/4)-'Sell-Compute'!$C$41-'Sell-Compute'!$C$44-'Sell-Compute'!$C$45-IF(AND(MOD(X$51,'Sell-Compute'!$C$21)=0,X$51&lt;Rates!$D$71),'Sell-Compute'!$C$34*(X190/4),0),0)</f>
        <v/>
      </c>
      <c r="Y193" s="68">
        <f>IF(Y$51&lt;=Rates!$D$71,('Sell-Compute'!$C$40*(1+'Sell-Compute'!$C$50)^MOD(Y$51-1,'Sell-Compute'!$C$21)-'Sell-Compute'!$C$42-'Sell-Compute'!$C$43)*(Y190/4)-'Sell-Compute'!$C$41-'Sell-Compute'!$C$44-'Sell-Compute'!$C$45-IF(AND(MOD(Y$51,'Sell-Compute'!$C$21)=0,Y$51&lt;Rates!$D$71),'Sell-Compute'!$C$34*(Y190/4),0),0)</f>
        <v/>
      </c>
      <c r="Z193" s="68">
        <f>IF(Z$51&lt;=Rates!$D$71,('Sell-Compute'!$C$40*(1+'Sell-Compute'!$C$50)^MOD(Z$51-1,'Sell-Compute'!$C$21)-'Sell-Compute'!$C$42-'Sell-Compute'!$C$43)*(Z190/4)-'Sell-Compute'!$C$41-'Sell-Compute'!$C$44-'Sell-Compute'!$C$45-IF(AND(MOD(Z$51,'Sell-Compute'!$C$21)=0,Z$51&lt;Rates!$D$71),'Sell-Compute'!$C$34*(Z190/4),0),0)</f>
        <v/>
      </c>
      <c r="AA193" s="68">
        <f>IF(AA$51&lt;=Rates!$D$71,('Sell-Compute'!$C$40*(1+'Sell-Compute'!$C$50)^MOD(AA$51-1,'Sell-Compute'!$C$21)-'Sell-Compute'!$C$42-'Sell-Compute'!$C$43)*(AA190/4)-'Sell-Compute'!$C$41-'Sell-Compute'!$C$44-'Sell-Compute'!$C$45-IF(AND(MOD(AA$51,'Sell-Compute'!$C$21)=0,AA$51&lt;Rates!$D$71),'Sell-Compute'!$C$34*(AA190/4),0),0)</f>
        <v/>
      </c>
      <c r="AB193" s="68">
        <f>IF(AB$51&lt;=Rates!$D$71,('Sell-Compute'!$C$40*(1+'Sell-Compute'!$C$50)^MOD(AB$51-1,'Sell-Compute'!$C$21)-'Sell-Compute'!$C$42-'Sell-Compute'!$C$43)*(AB190/4)-'Sell-Compute'!$C$41-'Sell-Compute'!$C$44-'Sell-Compute'!$C$45-IF(AND(MOD(AB$51,'Sell-Compute'!$C$21)=0,AB$51&lt;Rates!$D$71),'Sell-Compute'!$C$34*(AB190/4),0),0)</f>
        <v/>
      </c>
    </row>
    <row r="194">
      <c r="A194" s="68" t="inlineStr">
        <is>
          <t>Do nothing (dark modules stop buying GPUs) | dec</t>
        </is>
      </c>
      <c r="C194" s="68">
        <f>-'Sell-Compute'!$B$36</f>
        <v/>
      </c>
      <c r="D194" s="68">
        <f>IF(D$51&lt;=Rates!$D$71,('Sell-Compute'!$B$40*(1+'Sell-Compute'!$B$50)^MOD(D$51-1,'Sell-Compute'!$C$21)-'Sell-Compute'!$B$42-'Sell-Compute'!$B$43)*(D190/4)-'Sell-Compute'!$B$41-'Sell-Compute'!$B$44-'Sell-Compute'!$B$45-IF(AND(MOD(D$51,'Sell-Compute'!$C$21)=0,D$51&lt;Rates!$D$71),'Sell-Compute'!$B$34*(D190/4),0),0)</f>
        <v/>
      </c>
      <c r="E194" s="68">
        <f>IF(E$51&lt;=Rates!$D$71,('Sell-Compute'!$B$40*(1+'Sell-Compute'!$B$50)^MOD(E$51-1,'Sell-Compute'!$C$21)-'Sell-Compute'!$B$42-'Sell-Compute'!$B$43)*(E190/4)-'Sell-Compute'!$B$41-'Sell-Compute'!$B$44-'Sell-Compute'!$B$45-IF(AND(MOD(E$51,'Sell-Compute'!$C$21)=0,E$51&lt;Rates!$D$71),'Sell-Compute'!$B$34*(E190/4),0),0)</f>
        <v/>
      </c>
      <c r="F194" s="68">
        <f>IF(F$51&lt;=Rates!$D$71,('Sell-Compute'!$B$40*(1+'Sell-Compute'!$B$50)^MOD(F$51-1,'Sell-Compute'!$C$21)-'Sell-Compute'!$B$42-'Sell-Compute'!$B$43)*(F190/4)-'Sell-Compute'!$B$41-'Sell-Compute'!$B$44-'Sell-Compute'!$B$45-IF(AND(MOD(F$51,'Sell-Compute'!$C$21)=0,F$51&lt;Rates!$D$71),'Sell-Compute'!$B$34*(F190/4),0),0)</f>
        <v/>
      </c>
      <c r="G194" s="68">
        <f>IF(G$51&lt;=Rates!$D$71,('Sell-Compute'!$B$40*(1+'Sell-Compute'!$B$50)^MOD(G$51-1,'Sell-Compute'!$C$21)-'Sell-Compute'!$B$42-'Sell-Compute'!$B$43)*(G190/4)-'Sell-Compute'!$B$41-'Sell-Compute'!$B$44-'Sell-Compute'!$B$45-IF(AND(MOD(G$51,'Sell-Compute'!$C$21)=0,G$51&lt;Rates!$D$71),'Sell-Compute'!$B$34*(G190/4),0),0)</f>
        <v/>
      </c>
      <c r="H194" s="68">
        <f>IF(H$51&lt;=Rates!$D$71,('Sell-Compute'!$B$40*(1+'Sell-Compute'!$B$50)^MOD(H$51-1,'Sell-Compute'!$C$21)-'Sell-Compute'!$B$42-'Sell-Compute'!$B$43)*(H190/4)-'Sell-Compute'!$B$41-'Sell-Compute'!$B$44-'Sell-Compute'!$B$45-IF(AND(MOD(H$51,'Sell-Compute'!$C$21)=0,H$51&lt;Rates!$D$71),'Sell-Compute'!$B$34*(H190/4),0),0)</f>
        <v/>
      </c>
      <c r="I194" s="68">
        <f>IF(I$51&lt;=Rates!$D$71,('Sell-Compute'!$B$40*(1+'Sell-Compute'!$B$50)^MOD(I$51-1,'Sell-Compute'!$C$21)-'Sell-Compute'!$B$42-'Sell-Compute'!$B$43)*(I190/4)-'Sell-Compute'!$B$41-'Sell-Compute'!$B$44-'Sell-Compute'!$B$45-IF(AND(MOD(I$51,'Sell-Compute'!$C$21)=0,I$51&lt;Rates!$D$71),'Sell-Compute'!$B$34*(I190/4),0),0)</f>
        <v/>
      </c>
      <c r="J194" s="68">
        <f>IF(J$51&lt;=Rates!$D$71,('Sell-Compute'!$B$40*(1+'Sell-Compute'!$B$50)^MOD(J$51-1,'Sell-Compute'!$C$21)-'Sell-Compute'!$B$42-'Sell-Compute'!$B$43)*(J190/4)-'Sell-Compute'!$B$41-'Sell-Compute'!$B$44-'Sell-Compute'!$B$45-IF(AND(MOD(J$51,'Sell-Compute'!$C$21)=0,J$51&lt;Rates!$D$71),'Sell-Compute'!$B$34*(J190/4),0),0)</f>
        <v/>
      </c>
      <c r="K194" s="68">
        <f>IF(K$51&lt;=Rates!$D$71,('Sell-Compute'!$B$40*(1+'Sell-Compute'!$B$50)^MOD(K$51-1,'Sell-Compute'!$C$21)-'Sell-Compute'!$B$42-'Sell-Compute'!$B$43)*(K190/4)-'Sell-Compute'!$B$41-'Sell-Compute'!$B$44-'Sell-Compute'!$B$45-IF(AND(MOD(K$51,'Sell-Compute'!$C$21)=0,K$51&lt;Rates!$D$71),'Sell-Compute'!$B$34*(K190/4),0),0)</f>
        <v/>
      </c>
      <c r="L194" s="68">
        <f>IF(L$51&lt;=Rates!$D$71,('Sell-Compute'!$B$40*(1+'Sell-Compute'!$B$50)^MOD(L$51-1,'Sell-Compute'!$C$21)-'Sell-Compute'!$B$42-'Sell-Compute'!$B$43)*(L190/4)-'Sell-Compute'!$B$41-'Sell-Compute'!$B$44-'Sell-Compute'!$B$45-IF(AND(MOD(L$51,'Sell-Compute'!$C$21)=0,L$51&lt;Rates!$D$71),'Sell-Compute'!$B$34*(L190/4),0),0)</f>
        <v/>
      </c>
      <c r="M194" s="68">
        <f>IF(M$51&lt;=Rates!$D$71,('Sell-Compute'!$B$40*(1+'Sell-Compute'!$B$50)^MOD(M$51-1,'Sell-Compute'!$C$21)-'Sell-Compute'!$B$42-'Sell-Compute'!$B$43)*(M190/4)-'Sell-Compute'!$B$41-'Sell-Compute'!$B$44-'Sell-Compute'!$B$45-IF(AND(MOD(M$51,'Sell-Compute'!$C$21)=0,M$51&lt;Rates!$D$71),'Sell-Compute'!$B$34*(M190/4),0),0)</f>
        <v/>
      </c>
      <c r="N194" s="68">
        <f>IF(N$51&lt;=Rates!$D$71,('Sell-Compute'!$B$40*(1+'Sell-Compute'!$B$50)^MOD(N$51-1,'Sell-Compute'!$C$21)-'Sell-Compute'!$B$42-'Sell-Compute'!$B$43)*(N190/4)-'Sell-Compute'!$B$41-'Sell-Compute'!$B$44-'Sell-Compute'!$B$45-IF(AND(MOD(N$51,'Sell-Compute'!$C$21)=0,N$51&lt;Rates!$D$71),'Sell-Compute'!$B$34*(N190/4),0),0)</f>
        <v/>
      </c>
      <c r="O194" s="68">
        <f>IF(O$51&lt;=Rates!$D$71,('Sell-Compute'!$B$40*(1+'Sell-Compute'!$B$50)^MOD(O$51-1,'Sell-Compute'!$C$21)-'Sell-Compute'!$B$42-'Sell-Compute'!$B$43)*(O190/4)-'Sell-Compute'!$B$41-'Sell-Compute'!$B$44-'Sell-Compute'!$B$45-IF(AND(MOD(O$51,'Sell-Compute'!$C$21)=0,O$51&lt;Rates!$D$71),'Sell-Compute'!$B$34*(O190/4),0),0)</f>
        <v/>
      </c>
      <c r="P194" s="68">
        <f>IF(P$51&lt;=Rates!$D$71,('Sell-Compute'!$B$40*(1+'Sell-Compute'!$B$50)^MOD(P$51-1,'Sell-Compute'!$C$21)-'Sell-Compute'!$B$42-'Sell-Compute'!$B$43)*(P190/4)-'Sell-Compute'!$B$41-'Sell-Compute'!$B$44-'Sell-Compute'!$B$45-IF(AND(MOD(P$51,'Sell-Compute'!$C$21)=0,P$51&lt;Rates!$D$71),'Sell-Compute'!$B$34*(P190/4),0),0)</f>
        <v/>
      </c>
      <c r="Q194" s="68">
        <f>IF(Q$51&lt;=Rates!$D$71,('Sell-Compute'!$B$40*(1+'Sell-Compute'!$B$50)^MOD(Q$51-1,'Sell-Compute'!$C$21)-'Sell-Compute'!$B$42-'Sell-Compute'!$B$43)*(Q190/4)-'Sell-Compute'!$B$41-'Sell-Compute'!$B$44-'Sell-Compute'!$B$45-IF(AND(MOD(Q$51,'Sell-Compute'!$C$21)=0,Q$51&lt;Rates!$D$71),'Sell-Compute'!$B$34*(Q190/4),0),0)</f>
        <v/>
      </c>
      <c r="R194" s="68">
        <f>IF(R$51&lt;=Rates!$D$71,('Sell-Compute'!$B$40*(1+'Sell-Compute'!$B$50)^MOD(R$51-1,'Sell-Compute'!$C$21)-'Sell-Compute'!$B$42-'Sell-Compute'!$B$43)*(R190/4)-'Sell-Compute'!$B$41-'Sell-Compute'!$B$44-'Sell-Compute'!$B$45-IF(AND(MOD(R$51,'Sell-Compute'!$C$21)=0,R$51&lt;Rates!$D$71),'Sell-Compute'!$B$34*(R190/4),0),0)</f>
        <v/>
      </c>
      <c r="S194" s="68">
        <f>IF(S$51&lt;=Rates!$D$71,('Sell-Compute'!$B$40*(1+'Sell-Compute'!$B$50)^MOD(S$51-1,'Sell-Compute'!$C$21)-'Sell-Compute'!$B$42-'Sell-Compute'!$B$43)*(S190/4)-'Sell-Compute'!$B$41-'Sell-Compute'!$B$44-'Sell-Compute'!$B$45-IF(AND(MOD(S$51,'Sell-Compute'!$C$21)=0,S$51&lt;Rates!$D$71),'Sell-Compute'!$B$34*(S190/4),0),0)</f>
        <v/>
      </c>
      <c r="T194" s="68">
        <f>IF(T$51&lt;=Rates!$D$71,('Sell-Compute'!$B$40*(1+'Sell-Compute'!$B$50)^MOD(T$51-1,'Sell-Compute'!$C$21)-'Sell-Compute'!$B$42-'Sell-Compute'!$B$43)*(T190/4)-'Sell-Compute'!$B$41-'Sell-Compute'!$B$44-'Sell-Compute'!$B$45-IF(AND(MOD(T$51,'Sell-Compute'!$C$21)=0,T$51&lt;Rates!$D$71),'Sell-Compute'!$B$34*(T190/4),0),0)</f>
        <v/>
      </c>
      <c r="U194" s="68">
        <f>IF(U$51&lt;=Rates!$D$71,('Sell-Compute'!$B$40*(1+'Sell-Compute'!$B$50)^MOD(U$51-1,'Sell-Compute'!$C$21)-'Sell-Compute'!$B$42-'Sell-Compute'!$B$43)*(U190/4)-'Sell-Compute'!$B$41-'Sell-Compute'!$B$44-'Sell-Compute'!$B$45-IF(AND(MOD(U$51,'Sell-Compute'!$C$21)=0,U$51&lt;Rates!$D$71),'Sell-Compute'!$B$34*(U190/4),0),0)</f>
        <v/>
      </c>
      <c r="V194" s="68">
        <f>IF(V$51&lt;=Rates!$D$71,('Sell-Compute'!$B$40*(1+'Sell-Compute'!$B$50)^MOD(V$51-1,'Sell-Compute'!$C$21)-'Sell-Compute'!$B$42-'Sell-Compute'!$B$43)*(V190/4)-'Sell-Compute'!$B$41-'Sell-Compute'!$B$44-'Sell-Compute'!$B$45-IF(AND(MOD(V$51,'Sell-Compute'!$C$21)=0,V$51&lt;Rates!$D$71),'Sell-Compute'!$B$34*(V190/4),0),0)</f>
        <v/>
      </c>
      <c r="W194" s="68">
        <f>IF(W$51&lt;=Rates!$D$71,('Sell-Compute'!$B$40*(1+'Sell-Compute'!$B$50)^MOD(W$51-1,'Sell-Compute'!$C$21)-'Sell-Compute'!$B$42-'Sell-Compute'!$B$43)*(W190/4)-'Sell-Compute'!$B$41-'Sell-Compute'!$B$44-'Sell-Compute'!$B$45-IF(AND(MOD(W$51,'Sell-Compute'!$C$21)=0,W$51&lt;Rates!$D$71),'Sell-Compute'!$B$34*(W190/4),0),0)</f>
        <v/>
      </c>
      <c r="X194" s="68">
        <f>IF(X$51&lt;=Rates!$D$71,('Sell-Compute'!$B$40*(1+'Sell-Compute'!$B$50)^MOD(X$51-1,'Sell-Compute'!$C$21)-'Sell-Compute'!$B$42-'Sell-Compute'!$B$43)*(X190/4)-'Sell-Compute'!$B$41-'Sell-Compute'!$B$44-'Sell-Compute'!$B$45-IF(AND(MOD(X$51,'Sell-Compute'!$C$21)=0,X$51&lt;Rates!$D$71),'Sell-Compute'!$B$34*(X190/4),0),0)</f>
        <v/>
      </c>
      <c r="Y194" s="68">
        <f>IF(Y$51&lt;=Rates!$D$71,('Sell-Compute'!$B$40*(1+'Sell-Compute'!$B$50)^MOD(Y$51-1,'Sell-Compute'!$C$21)-'Sell-Compute'!$B$42-'Sell-Compute'!$B$43)*(Y190/4)-'Sell-Compute'!$B$41-'Sell-Compute'!$B$44-'Sell-Compute'!$B$45-IF(AND(MOD(Y$51,'Sell-Compute'!$C$21)=0,Y$51&lt;Rates!$D$71),'Sell-Compute'!$B$34*(Y190/4),0),0)</f>
        <v/>
      </c>
      <c r="Z194" s="68">
        <f>IF(Z$51&lt;=Rates!$D$71,('Sell-Compute'!$B$40*(1+'Sell-Compute'!$B$50)^MOD(Z$51-1,'Sell-Compute'!$C$21)-'Sell-Compute'!$B$42-'Sell-Compute'!$B$43)*(Z190/4)-'Sell-Compute'!$B$41-'Sell-Compute'!$B$44-'Sell-Compute'!$B$45-IF(AND(MOD(Z$51,'Sell-Compute'!$C$21)=0,Z$51&lt;Rates!$D$71),'Sell-Compute'!$B$34*(Z190/4),0),0)</f>
        <v/>
      </c>
      <c r="AA194" s="68">
        <f>IF(AA$51&lt;=Rates!$D$71,('Sell-Compute'!$B$40*(1+'Sell-Compute'!$B$50)^MOD(AA$51-1,'Sell-Compute'!$C$21)-'Sell-Compute'!$B$42-'Sell-Compute'!$B$43)*(AA190/4)-'Sell-Compute'!$B$41-'Sell-Compute'!$B$44-'Sell-Compute'!$B$45-IF(AND(MOD(AA$51,'Sell-Compute'!$C$21)=0,AA$51&lt;Rates!$D$71),'Sell-Compute'!$B$34*(AA190/4),0),0)</f>
        <v/>
      </c>
      <c r="AB194" s="68">
        <f>IF(AB$51&lt;=Rates!$D$71,('Sell-Compute'!$B$40*(1+'Sell-Compute'!$B$50)^MOD(AB$51-1,'Sell-Compute'!$C$21)-'Sell-Compute'!$B$42-'Sell-Compute'!$B$43)*(AB190/4)-'Sell-Compute'!$B$41-'Sell-Compute'!$B$44-'Sell-Compute'!$B$45-IF(AND(MOD(AB$51,'Sell-Compute'!$C$21)=0,AB$51&lt;Rates!$D$71),'Sell-Compute'!$B$34*(AB190/4),0),0)</f>
        <v/>
      </c>
    </row>
    <row r="195">
      <c r="A195" s="68" t="inlineStr">
        <is>
          <t>Do nothing (dark modules stop buying GPUs) | colo</t>
        </is>
      </c>
      <c r="C195" s="68">
        <f>-'Sell-Compute'!$I$36</f>
        <v/>
      </c>
      <c r="D195" s="68">
        <f>IF(D$51&lt;=Rates!$D$71,'Sell-Compute'!$I$46-'Sell-Compute'!$I$40*(1-(D190/4)),0)</f>
        <v/>
      </c>
      <c r="E195" s="68">
        <f>IF(E$51&lt;=Rates!$D$71,'Sell-Compute'!$I$46-'Sell-Compute'!$I$40*(1-(E190/4)),0)</f>
        <v/>
      </c>
      <c r="F195" s="68">
        <f>IF(F$51&lt;=Rates!$D$71,'Sell-Compute'!$I$46-'Sell-Compute'!$I$40*(1-(F190/4)),0)</f>
        <v/>
      </c>
      <c r="G195" s="68">
        <f>IF(G$51&lt;=Rates!$D$71,'Sell-Compute'!$I$46-'Sell-Compute'!$I$40*(1-(G190/4)),0)</f>
        <v/>
      </c>
      <c r="H195" s="68">
        <f>IF(H$51&lt;=Rates!$D$71,'Sell-Compute'!$I$46-'Sell-Compute'!$I$40*(1-(H190/4)),0)</f>
        <v/>
      </c>
      <c r="I195" s="68">
        <f>IF(I$51&lt;=Rates!$D$71,'Sell-Compute'!$I$46-'Sell-Compute'!$I$40*(1-(I190/4)),0)</f>
        <v/>
      </c>
      <c r="J195" s="68">
        <f>IF(J$51&lt;=Rates!$D$71,'Sell-Compute'!$I$46-'Sell-Compute'!$I$40*(1-(J190/4)),0)</f>
        <v/>
      </c>
      <c r="K195" s="68">
        <f>IF(K$51&lt;=Rates!$D$71,'Sell-Compute'!$I$46-'Sell-Compute'!$I$40*(1-(K190/4)),0)</f>
        <v/>
      </c>
      <c r="L195" s="68">
        <f>IF(L$51&lt;=Rates!$D$71,'Sell-Compute'!$I$46-'Sell-Compute'!$I$40*(1-(L190/4)),0)</f>
        <v/>
      </c>
      <c r="M195" s="68">
        <f>IF(M$51&lt;=Rates!$D$71,'Sell-Compute'!$I$46-'Sell-Compute'!$I$40*(1-(M190/4)),0)</f>
        <v/>
      </c>
      <c r="N195" s="68">
        <f>IF(N$51&lt;=Rates!$D$71,'Sell-Compute'!$I$46-'Sell-Compute'!$I$40*(1-(N190/4)),0)</f>
        <v/>
      </c>
      <c r="O195" s="68">
        <f>IF(O$51&lt;=Rates!$D$71,'Sell-Compute'!$I$46-'Sell-Compute'!$I$40*(1-(O190/4)),0)</f>
        <v/>
      </c>
      <c r="P195" s="68">
        <f>IF(P$51&lt;=Rates!$D$71,'Sell-Compute'!$I$46-'Sell-Compute'!$I$40*(1-(P190/4)),0)</f>
        <v/>
      </c>
      <c r="Q195" s="68">
        <f>IF(Q$51&lt;=Rates!$D$71,'Sell-Compute'!$I$46-'Sell-Compute'!$I$40*(1-(Q190/4)),0)</f>
        <v/>
      </c>
      <c r="R195" s="68">
        <f>IF(R$51&lt;=Rates!$D$71,'Sell-Compute'!$I$46-'Sell-Compute'!$I$40*(1-(R190/4)),0)</f>
        <v/>
      </c>
      <c r="S195" s="68">
        <f>IF(S$51&lt;=Rates!$D$71,'Sell-Compute'!$I$46-'Sell-Compute'!$I$40*(1-(S190/4)),0)</f>
        <v/>
      </c>
      <c r="T195" s="68">
        <f>IF(T$51&lt;=Rates!$D$71,'Sell-Compute'!$I$46-'Sell-Compute'!$I$40*(1-(T190/4)),0)</f>
        <v/>
      </c>
      <c r="U195" s="68">
        <f>IF(U$51&lt;=Rates!$D$71,'Sell-Compute'!$I$46-'Sell-Compute'!$I$40*(1-(U190/4)),0)</f>
        <v/>
      </c>
      <c r="V195" s="68">
        <f>IF(V$51&lt;=Rates!$D$71,'Sell-Compute'!$I$46-'Sell-Compute'!$I$40*(1-(V190/4)),0)</f>
        <v/>
      </c>
      <c r="W195" s="68">
        <f>IF(W$51&lt;=Rates!$D$71,'Sell-Compute'!$I$46-'Sell-Compute'!$I$40*(1-(W190/4)),0)</f>
        <v/>
      </c>
      <c r="X195" s="68">
        <f>IF(X$51&lt;=Rates!$D$71,'Sell-Compute'!$I$46-'Sell-Compute'!$I$40*(1-(X190/4)),0)</f>
        <v/>
      </c>
      <c r="Y195" s="68">
        <f>IF(Y$51&lt;=Rates!$D$71,'Sell-Compute'!$I$46-'Sell-Compute'!$I$40*(1-(Y190/4)),0)</f>
        <v/>
      </c>
      <c r="Z195" s="68">
        <f>IF(Z$51&lt;=Rates!$D$71,'Sell-Compute'!$I$46-'Sell-Compute'!$I$40*(1-(Z190/4)),0)</f>
        <v/>
      </c>
      <c r="AA195" s="68">
        <f>IF(AA$51&lt;=Rates!$D$71,'Sell-Compute'!$I$46-'Sell-Compute'!$I$40*(1-(AA190/4)),0)</f>
        <v/>
      </c>
      <c r="AB195" s="68">
        <f>IF(AB$51&lt;=Rates!$D$71,'Sell-Compute'!$I$46-'Sell-Compute'!$I$40*(1-(AB190/4)),0)</f>
        <v/>
      </c>
    </row>
    <row r="196">
      <c r="A196" s="68" t="inlineStr">
        <is>
          <t>(a) Extra doublets at start | flat</t>
        </is>
      </c>
      <c r="C196" s="68">
        <f>-'Sell-Compute'!$C$36-IF(ISNUMBER($E$184),$E$184*(2*($C$11+$C$12)*(1+$C$14)),0)</f>
        <v/>
      </c>
      <c r="D196" s="68">
        <f>IF(D$51&lt;=Rates!$D$71,('Sell-Compute'!$C$40*(1+'Sell-Compute'!$C$50)^MOD(D$51-1,'Sell-Compute'!$C$21)-'Sell-Compute'!$C$42-'Sell-Compute'!$C$43)*(D191/4)-'Sell-Compute'!$C$41-'Sell-Compute'!$C$44-'Sell-Compute'!$C$45-IF(AND(MOD(D$51,'Sell-Compute'!$C$21)=0,D$51&lt;Rates!$D$71),'Sell-Compute'!$C$34*(D191/4),0),0)</f>
        <v/>
      </c>
      <c r="E196" s="68">
        <f>IF(E$51&lt;=Rates!$D$71,('Sell-Compute'!$C$40*(1+'Sell-Compute'!$C$50)^MOD(E$51-1,'Sell-Compute'!$C$21)-'Sell-Compute'!$C$42-'Sell-Compute'!$C$43)*(E191/4)-'Sell-Compute'!$C$41-'Sell-Compute'!$C$44-'Sell-Compute'!$C$45-IF(AND(MOD(E$51,'Sell-Compute'!$C$21)=0,E$51&lt;Rates!$D$71),'Sell-Compute'!$C$34*(E191/4),0),0)</f>
        <v/>
      </c>
      <c r="F196" s="68">
        <f>IF(F$51&lt;=Rates!$D$71,('Sell-Compute'!$C$40*(1+'Sell-Compute'!$C$50)^MOD(F$51-1,'Sell-Compute'!$C$21)-'Sell-Compute'!$C$42-'Sell-Compute'!$C$43)*(F191/4)-'Sell-Compute'!$C$41-'Sell-Compute'!$C$44-'Sell-Compute'!$C$45-IF(AND(MOD(F$51,'Sell-Compute'!$C$21)=0,F$51&lt;Rates!$D$71),'Sell-Compute'!$C$34*(F191/4),0),0)</f>
        <v/>
      </c>
      <c r="G196" s="68">
        <f>IF(G$51&lt;=Rates!$D$71,('Sell-Compute'!$C$40*(1+'Sell-Compute'!$C$50)^MOD(G$51-1,'Sell-Compute'!$C$21)-'Sell-Compute'!$C$42-'Sell-Compute'!$C$43)*(G191/4)-'Sell-Compute'!$C$41-'Sell-Compute'!$C$44-'Sell-Compute'!$C$45-IF(AND(MOD(G$51,'Sell-Compute'!$C$21)=0,G$51&lt;Rates!$D$71),'Sell-Compute'!$C$34*(G191/4),0),0)</f>
        <v/>
      </c>
      <c r="H196" s="68">
        <f>IF(H$51&lt;=Rates!$D$71,('Sell-Compute'!$C$40*(1+'Sell-Compute'!$C$50)^MOD(H$51-1,'Sell-Compute'!$C$21)-'Sell-Compute'!$C$42-'Sell-Compute'!$C$43)*(H191/4)-'Sell-Compute'!$C$41-'Sell-Compute'!$C$44-'Sell-Compute'!$C$45-IF(AND(MOD(H$51,'Sell-Compute'!$C$21)=0,H$51&lt;Rates!$D$71),'Sell-Compute'!$C$34*(H191/4),0),0)</f>
        <v/>
      </c>
      <c r="I196" s="68">
        <f>IF(I$51&lt;=Rates!$D$71,('Sell-Compute'!$C$40*(1+'Sell-Compute'!$C$50)^MOD(I$51-1,'Sell-Compute'!$C$21)-'Sell-Compute'!$C$42-'Sell-Compute'!$C$43)*(I191/4)-'Sell-Compute'!$C$41-'Sell-Compute'!$C$44-'Sell-Compute'!$C$45-IF(AND(MOD(I$51,'Sell-Compute'!$C$21)=0,I$51&lt;Rates!$D$71),'Sell-Compute'!$C$34*(I191/4),0),0)</f>
        <v/>
      </c>
      <c r="J196" s="68">
        <f>IF(J$51&lt;=Rates!$D$71,('Sell-Compute'!$C$40*(1+'Sell-Compute'!$C$50)^MOD(J$51-1,'Sell-Compute'!$C$21)-'Sell-Compute'!$C$42-'Sell-Compute'!$C$43)*(J191/4)-'Sell-Compute'!$C$41-'Sell-Compute'!$C$44-'Sell-Compute'!$C$45-IF(AND(MOD(J$51,'Sell-Compute'!$C$21)=0,J$51&lt;Rates!$D$71),'Sell-Compute'!$C$34*(J191/4),0),0)</f>
        <v/>
      </c>
      <c r="K196" s="68">
        <f>IF(K$51&lt;=Rates!$D$71,('Sell-Compute'!$C$40*(1+'Sell-Compute'!$C$50)^MOD(K$51-1,'Sell-Compute'!$C$21)-'Sell-Compute'!$C$42-'Sell-Compute'!$C$43)*(K191/4)-'Sell-Compute'!$C$41-'Sell-Compute'!$C$44-'Sell-Compute'!$C$45-IF(AND(MOD(K$51,'Sell-Compute'!$C$21)=0,K$51&lt;Rates!$D$71),'Sell-Compute'!$C$34*(K191/4),0),0)</f>
        <v/>
      </c>
      <c r="L196" s="68">
        <f>IF(L$51&lt;=Rates!$D$71,('Sell-Compute'!$C$40*(1+'Sell-Compute'!$C$50)^MOD(L$51-1,'Sell-Compute'!$C$21)-'Sell-Compute'!$C$42-'Sell-Compute'!$C$43)*(L191/4)-'Sell-Compute'!$C$41-'Sell-Compute'!$C$44-'Sell-Compute'!$C$45-IF(AND(MOD(L$51,'Sell-Compute'!$C$21)=0,L$51&lt;Rates!$D$71),'Sell-Compute'!$C$34*(L191/4),0),0)</f>
        <v/>
      </c>
      <c r="M196" s="68">
        <f>IF(M$51&lt;=Rates!$D$71,('Sell-Compute'!$C$40*(1+'Sell-Compute'!$C$50)^MOD(M$51-1,'Sell-Compute'!$C$21)-'Sell-Compute'!$C$42-'Sell-Compute'!$C$43)*(M191/4)-'Sell-Compute'!$C$41-'Sell-Compute'!$C$44-'Sell-Compute'!$C$45-IF(AND(MOD(M$51,'Sell-Compute'!$C$21)=0,M$51&lt;Rates!$D$71),'Sell-Compute'!$C$34*(M191/4),0),0)</f>
        <v/>
      </c>
      <c r="N196" s="68">
        <f>IF(N$51&lt;=Rates!$D$71,('Sell-Compute'!$C$40*(1+'Sell-Compute'!$C$50)^MOD(N$51-1,'Sell-Compute'!$C$21)-'Sell-Compute'!$C$42-'Sell-Compute'!$C$43)*(N191/4)-'Sell-Compute'!$C$41-'Sell-Compute'!$C$44-'Sell-Compute'!$C$45-IF(AND(MOD(N$51,'Sell-Compute'!$C$21)=0,N$51&lt;Rates!$D$71),'Sell-Compute'!$C$34*(N191/4),0),0)</f>
        <v/>
      </c>
      <c r="O196" s="68">
        <f>IF(O$51&lt;=Rates!$D$71,('Sell-Compute'!$C$40*(1+'Sell-Compute'!$C$50)^MOD(O$51-1,'Sell-Compute'!$C$21)-'Sell-Compute'!$C$42-'Sell-Compute'!$C$43)*(O191/4)-'Sell-Compute'!$C$41-'Sell-Compute'!$C$44-'Sell-Compute'!$C$45-IF(AND(MOD(O$51,'Sell-Compute'!$C$21)=0,O$51&lt;Rates!$D$71),'Sell-Compute'!$C$34*(O191/4),0),0)</f>
        <v/>
      </c>
      <c r="P196" s="68">
        <f>IF(P$51&lt;=Rates!$D$71,('Sell-Compute'!$C$40*(1+'Sell-Compute'!$C$50)^MOD(P$51-1,'Sell-Compute'!$C$21)-'Sell-Compute'!$C$42-'Sell-Compute'!$C$43)*(P191/4)-'Sell-Compute'!$C$41-'Sell-Compute'!$C$44-'Sell-Compute'!$C$45-IF(AND(MOD(P$51,'Sell-Compute'!$C$21)=0,P$51&lt;Rates!$D$71),'Sell-Compute'!$C$34*(P191/4),0),0)</f>
        <v/>
      </c>
      <c r="Q196" s="68">
        <f>IF(Q$51&lt;=Rates!$D$71,('Sell-Compute'!$C$40*(1+'Sell-Compute'!$C$50)^MOD(Q$51-1,'Sell-Compute'!$C$21)-'Sell-Compute'!$C$42-'Sell-Compute'!$C$43)*(Q191/4)-'Sell-Compute'!$C$41-'Sell-Compute'!$C$44-'Sell-Compute'!$C$45-IF(AND(MOD(Q$51,'Sell-Compute'!$C$21)=0,Q$51&lt;Rates!$D$71),'Sell-Compute'!$C$34*(Q191/4),0),0)</f>
        <v/>
      </c>
      <c r="R196" s="68">
        <f>IF(R$51&lt;=Rates!$D$71,('Sell-Compute'!$C$40*(1+'Sell-Compute'!$C$50)^MOD(R$51-1,'Sell-Compute'!$C$21)-'Sell-Compute'!$C$42-'Sell-Compute'!$C$43)*(R191/4)-'Sell-Compute'!$C$41-'Sell-Compute'!$C$44-'Sell-Compute'!$C$45-IF(AND(MOD(R$51,'Sell-Compute'!$C$21)=0,R$51&lt;Rates!$D$71),'Sell-Compute'!$C$34*(R191/4),0),0)</f>
        <v/>
      </c>
      <c r="S196" s="68">
        <f>IF(S$51&lt;=Rates!$D$71,('Sell-Compute'!$C$40*(1+'Sell-Compute'!$C$50)^MOD(S$51-1,'Sell-Compute'!$C$21)-'Sell-Compute'!$C$42-'Sell-Compute'!$C$43)*(S191/4)-'Sell-Compute'!$C$41-'Sell-Compute'!$C$44-'Sell-Compute'!$C$45-IF(AND(MOD(S$51,'Sell-Compute'!$C$21)=0,S$51&lt;Rates!$D$71),'Sell-Compute'!$C$34*(S191/4),0),0)</f>
        <v/>
      </c>
      <c r="T196" s="68">
        <f>IF(T$51&lt;=Rates!$D$71,('Sell-Compute'!$C$40*(1+'Sell-Compute'!$C$50)^MOD(T$51-1,'Sell-Compute'!$C$21)-'Sell-Compute'!$C$42-'Sell-Compute'!$C$43)*(T191/4)-'Sell-Compute'!$C$41-'Sell-Compute'!$C$44-'Sell-Compute'!$C$45-IF(AND(MOD(T$51,'Sell-Compute'!$C$21)=0,T$51&lt;Rates!$D$71),'Sell-Compute'!$C$34*(T191/4),0),0)</f>
        <v/>
      </c>
      <c r="U196" s="68">
        <f>IF(U$51&lt;=Rates!$D$71,('Sell-Compute'!$C$40*(1+'Sell-Compute'!$C$50)^MOD(U$51-1,'Sell-Compute'!$C$21)-'Sell-Compute'!$C$42-'Sell-Compute'!$C$43)*(U191/4)-'Sell-Compute'!$C$41-'Sell-Compute'!$C$44-'Sell-Compute'!$C$45-IF(AND(MOD(U$51,'Sell-Compute'!$C$21)=0,U$51&lt;Rates!$D$71),'Sell-Compute'!$C$34*(U191/4),0),0)</f>
        <v/>
      </c>
      <c r="V196" s="68">
        <f>IF(V$51&lt;=Rates!$D$71,('Sell-Compute'!$C$40*(1+'Sell-Compute'!$C$50)^MOD(V$51-1,'Sell-Compute'!$C$21)-'Sell-Compute'!$C$42-'Sell-Compute'!$C$43)*(V191/4)-'Sell-Compute'!$C$41-'Sell-Compute'!$C$44-'Sell-Compute'!$C$45-IF(AND(MOD(V$51,'Sell-Compute'!$C$21)=0,V$51&lt;Rates!$D$71),'Sell-Compute'!$C$34*(V191/4),0),0)</f>
        <v/>
      </c>
      <c r="W196" s="68">
        <f>IF(W$51&lt;=Rates!$D$71,('Sell-Compute'!$C$40*(1+'Sell-Compute'!$C$50)^MOD(W$51-1,'Sell-Compute'!$C$21)-'Sell-Compute'!$C$42-'Sell-Compute'!$C$43)*(W191/4)-'Sell-Compute'!$C$41-'Sell-Compute'!$C$44-'Sell-Compute'!$C$45-IF(AND(MOD(W$51,'Sell-Compute'!$C$21)=0,W$51&lt;Rates!$D$71),'Sell-Compute'!$C$34*(W191/4),0),0)</f>
        <v/>
      </c>
      <c r="X196" s="68">
        <f>IF(X$51&lt;=Rates!$D$71,('Sell-Compute'!$C$40*(1+'Sell-Compute'!$C$50)^MOD(X$51-1,'Sell-Compute'!$C$21)-'Sell-Compute'!$C$42-'Sell-Compute'!$C$43)*(X191/4)-'Sell-Compute'!$C$41-'Sell-Compute'!$C$44-'Sell-Compute'!$C$45-IF(AND(MOD(X$51,'Sell-Compute'!$C$21)=0,X$51&lt;Rates!$D$71),'Sell-Compute'!$C$34*(X191/4),0),0)</f>
        <v/>
      </c>
      <c r="Y196" s="68">
        <f>IF(Y$51&lt;=Rates!$D$71,('Sell-Compute'!$C$40*(1+'Sell-Compute'!$C$50)^MOD(Y$51-1,'Sell-Compute'!$C$21)-'Sell-Compute'!$C$42-'Sell-Compute'!$C$43)*(Y191/4)-'Sell-Compute'!$C$41-'Sell-Compute'!$C$44-'Sell-Compute'!$C$45-IF(AND(MOD(Y$51,'Sell-Compute'!$C$21)=0,Y$51&lt;Rates!$D$71),'Sell-Compute'!$C$34*(Y191/4),0),0)</f>
        <v/>
      </c>
      <c r="Z196" s="68">
        <f>IF(Z$51&lt;=Rates!$D$71,('Sell-Compute'!$C$40*(1+'Sell-Compute'!$C$50)^MOD(Z$51-1,'Sell-Compute'!$C$21)-'Sell-Compute'!$C$42-'Sell-Compute'!$C$43)*(Z191/4)-'Sell-Compute'!$C$41-'Sell-Compute'!$C$44-'Sell-Compute'!$C$45-IF(AND(MOD(Z$51,'Sell-Compute'!$C$21)=0,Z$51&lt;Rates!$D$71),'Sell-Compute'!$C$34*(Z191/4),0),0)</f>
        <v/>
      </c>
      <c r="AA196" s="68">
        <f>IF(AA$51&lt;=Rates!$D$71,('Sell-Compute'!$C$40*(1+'Sell-Compute'!$C$50)^MOD(AA$51-1,'Sell-Compute'!$C$21)-'Sell-Compute'!$C$42-'Sell-Compute'!$C$43)*(AA191/4)-'Sell-Compute'!$C$41-'Sell-Compute'!$C$44-'Sell-Compute'!$C$45-IF(AND(MOD(AA$51,'Sell-Compute'!$C$21)=0,AA$51&lt;Rates!$D$71),'Sell-Compute'!$C$34*(AA191/4),0),0)</f>
        <v/>
      </c>
      <c r="AB196" s="68">
        <f>IF(AB$51&lt;=Rates!$D$71,('Sell-Compute'!$C$40*(1+'Sell-Compute'!$C$50)^MOD(AB$51-1,'Sell-Compute'!$C$21)-'Sell-Compute'!$C$42-'Sell-Compute'!$C$43)*(AB191/4)-'Sell-Compute'!$C$41-'Sell-Compute'!$C$44-'Sell-Compute'!$C$45-IF(AND(MOD(AB$51,'Sell-Compute'!$C$21)=0,AB$51&lt;Rates!$D$71),'Sell-Compute'!$C$34*(AB191/4),0),0)</f>
        <v/>
      </c>
    </row>
    <row r="197">
      <c r="A197" s="68" t="inlineStr">
        <is>
          <t>(a) Extra doublets at start | dec</t>
        </is>
      </c>
      <c r="C197" s="68">
        <f>-'Sell-Compute'!$B$36-IF(ISNUMBER($E$184),$E$184*(2*($C$11+$C$12)*(1+$C$14)),0)</f>
        <v/>
      </c>
      <c r="D197" s="68">
        <f>IF(D$51&lt;=Rates!$D$71,('Sell-Compute'!$B$40*(1+'Sell-Compute'!$B$50)^MOD(D$51-1,'Sell-Compute'!$C$21)-'Sell-Compute'!$B$42-'Sell-Compute'!$B$43)*(D191/4)-'Sell-Compute'!$B$41-'Sell-Compute'!$B$44-'Sell-Compute'!$B$45-IF(AND(MOD(D$51,'Sell-Compute'!$C$21)=0,D$51&lt;Rates!$D$71),'Sell-Compute'!$B$34*(D191/4),0),0)</f>
        <v/>
      </c>
      <c r="E197" s="68">
        <f>IF(E$51&lt;=Rates!$D$71,('Sell-Compute'!$B$40*(1+'Sell-Compute'!$B$50)^MOD(E$51-1,'Sell-Compute'!$C$21)-'Sell-Compute'!$B$42-'Sell-Compute'!$B$43)*(E191/4)-'Sell-Compute'!$B$41-'Sell-Compute'!$B$44-'Sell-Compute'!$B$45-IF(AND(MOD(E$51,'Sell-Compute'!$C$21)=0,E$51&lt;Rates!$D$71),'Sell-Compute'!$B$34*(E191/4),0),0)</f>
        <v/>
      </c>
      <c r="F197" s="68">
        <f>IF(F$51&lt;=Rates!$D$71,('Sell-Compute'!$B$40*(1+'Sell-Compute'!$B$50)^MOD(F$51-1,'Sell-Compute'!$C$21)-'Sell-Compute'!$B$42-'Sell-Compute'!$B$43)*(F191/4)-'Sell-Compute'!$B$41-'Sell-Compute'!$B$44-'Sell-Compute'!$B$45-IF(AND(MOD(F$51,'Sell-Compute'!$C$21)=0,F$51&lt;Rates!$D$71),'Sell-Compute'!$B$34*(F191/4),0),0)</f>
        <v/>
      </c>
      <c r="G197" s="68">
        <f>IF(G$51&lt;=Rates!$D$71,('Sell-Compute'!$B$40*(1+'Sell-Compute'!$B$50)^MOD(G$51-1,'Sell-Compute'!$C$21)-'Sell-Compute'!$B$42-'Sell-Compute'!$B$43)*(G191/4)-'Sell-Compute'!$B$41-'Sell-Compute'!$B$44-'Sell-Compute'!$B$45-IF(AND(MOD(G$51,'Sell-Compute'!$C$21)=0,G$51&lt;Rates!$D$71),'Sell-Compute'!$B$34*(G191/4),0),0)</f>
        <v/>
      </c>
      <c r="H197" s="68">
        <f>IF(H$51&lt;=Rates!$D$71,('Sell-Compute'!$B$40*(1+'Sell-Compute'!$B$50)^MOD(H$51-1,'Sell-Compute'!$C$21)-'Sell-Compute'!$B$42-'Sell-Compute'!$B$43)*(H191/4)-'Sell-Compute'!$B$41-'Sell-Compute'!$B$44-'Sell-Compute'!$B$45-IF(AND(MOD(H$51,'Sell-Compute'!$C$21)=0,H$51&lt;Rates!$D$71),'Sell-Compute'!$B$34*(H191/4),0),0)</f>
        <v/>
      </c>
      <c r="I197" s="68">
        <f>IF(I$51&lt;=Rates!$D$71,('Sell-Compute'!$B$40*(1+'Sell-Compute'!$B$50)^MOD(I$51-1,'Sell-Compute'!$C$21)-'Sell-Compute'!$B$42-'Sell-Compute'!$B$43)*(I191/4)-'Sell-Compute'!$B$41-'Sell-Compute'!$B$44-'Sell-Compute'!$B$45-IF(AND(MOD(I$51,'Sell-Compute'!$C$21)=0,I$51&lt;Rates!$D$71),'Sell-Compute'!$B$34*(I191/4),0),0)</f>
        <v/>
      </c>
      <c r="J197" s="68">
        <f>IF(J$51&lt;=Rates!$D$71,('Sell-Compute'!$B$40*(1+'Sell-Compute'!$B$50)^MOD(J$51-1,'Sell-Compute'!$C$21)-'Sell-Compute'!$B$42-'Sell-Compute'!$B$43)*(J191/4)-'Sell-Compute'!$B$41-'Sell-Compute'!$B$44-'Sell-Compute'!$B$45-IF(AND(MOD(J$51,'Sell-Compute'!$C$21)=0,J$51&lt;Rates!$D$71),'Sell-Compute'!$B$34*(J191/4),0),0)</f>
        <v/>
      </c>
      <c r="K197" s="68">
        <f>IF(K$51&lt;=Rates!$D$71,('Sell-Compute'!$B$40*(1+'Sell-Compute'!$B$50)^MOD(K$51-1,'Sell-Compute'!$C$21)-'Sell-Compute'!$B$42-'Sell-Compute'!$B$43)*(K191/4)-'Sell-Compute'!$B$41-'Sell-Compute'!$B$44-'Sell-Compute'!$B$45-IF(AND(MOD(K$51,'Sell-Compute'!$C$21)=0,K$51&lt;Rates!$D$71),'Sell-Compute'!$B$34*(K191/4),0),0)</f>
        <v/>
      </c>
      <c r="L197" s="68">
        <f>IF(L$51&lt;=Rates!$D$71,('Sell-Compute'!$B$40*(1+'Sell-Compute'!$B$50)^MOD(L$51-1,'Sell-Compute'!$C$21)-'Sell-Compute'!$B$42-'Sell-Compute'!$B$43)*(L191/4)-'Sell-Compute'!$B$41-'Sell-Compute'!$B$44-'Sell-Compute'!$B$45-IF(AND(MOD(L$51,'Sell-Compute'!$C$21)=0,L$51&lt;Rates!$D$71),'Sell-Compute'!$B$34*(L191/4),0),0)</f>
        <v/>
      </c>
      <c r="M197" s="68">
        <f>IF(M$51&lt;=Rates!$D$71,('Sell-Compute'!$B$40*(1+'Sell-Compute'!$B$50)^MOD(M$51-1,'Sell-Compute'!$C$21)-'Sell-Compute'!$B$42-'Sell-Compute'!$B$43)*(M191/4)-'Sell-Compute'!$B$41-'Sell-Compute'!$B$44-'Sell-Compute'!$B$45-IF(AND(MOD(M$51,'Sell-Compute'!$C$21)=0,M$51&lt;Rates!$D$71),'Sell-Compute'!$B$34*(M191/4),0),0)</f>
        <v/>
      </c>
      <c r="N197" s="68">
        <f>IF(N$51&lt;=Rates!$D$71,('Sell-Compute'!$B$40*(1+'Sell-Compute'!$B$50)^MOD(N$51-1,'Sell-Compute'!$C$21)-'Sell-Compute'!$B$42-'Sell-Compute'!$B$43)*(N191/4)-'Sell-Compute'!$B$41-'Sell-Compute'!$B$44-'Sell-Compute'!$B$45-IF(AND(MOD(N$51,'Sell-Compute'!$C$21)=0,N$51&lt;Rates!$D$71),'Sell-Compute'!$B$34*(N191/4),0),0)</f>
        <v/>
      </c>
      <c r="O197" s="68">
        <f>IF(O$51&lt;=Rates!$D$71,('Sell-Compute'!$B$40*(1+'Sell-Compute'!$B$50)^MOD(O$51-1,'Sell-Compute'!$C$21)-'Sell-Compute'!$B$42-'Sell-Compute'!$B$43)*(O191/4)-'Sell-Compute'!$B$41-'Sell-Compute'!$B$44-'Sell-Compute'!$B$45-IF(AND(MOD(O$51,'Sell-Compute'!$C$21)=0,O$51&lt;Rates!$D$71),'Sell-Compute'!$B$34*(O191/4),0),0)</f>
        <v/>
      </c>
      <c r="P197" s="68">
        <f>IF(P$51&lt;=Rates!$D$71,('Sell-Compute'!$B$40*(1+'Sell-Compute'!$B$50)^MOD(P$51-1,'Sell-Compute'!$C$21)-'Sell-Compute'!$B$42-'Sell-Compute'!$B$43)*(P191/4)-'Sell-Compute'!$B$41-'Sell-Compute'!$B$44-'Sell-Compute'!$B$45-IF(AND(MOD(P$51,'Sell-Compute'!$C$21)=0,P$51&lt;Rates!$D$71),'Sell-Compute'!$B$34*(P191/4),0),0)</f>
        <v/>
      </c>
      <c r="Q197" s="68">
        <f>IF(Q$51&lt;=Rates!$D$71,('Sell-Compute'!$B$40*(1+'Sell-Compute'!$B$50)^MOD(Q$51-1,'Sell-Compute'!$C$21)-'Sell-Compute'!$B$42-'Sell-Compute'!$B$43)*(Q191/4)-'Sell-Compute'!$B$41-'Sell-Compute'!$B$44-'Sell-Compute'!$B$45-IF(AND(MOD(Q$51,'Sell-Compute'!$C$21)=0,Q$51&lt;Rates!$D$71),'Sell-Compute'!$B$34*(Q191/4),0),0)</f>
        <v/>
      </c>
      <c r="R197" s="68">
        <f>IF(R$51&lt;=Rates!$D$71,('Sell-Compute'!$B$40*(1+'Sell-Compute'!$B$50)^MOD(R$51-1,'Sell-Compute'!$C$21)-'Sell-Compute'!$B$42-'Sell-Compute'!$B$43)*(R191/4)-'Sell-Compute'!$B$41-'Sell-Compute'!$B$44-'Sell-Compute'!$B$45-IF(AND(MOD(R$51,'Sell-Compute'!$C$21)=0,R$51&lt;Rates!$D$71),'Sell-Compute'!$B$34*(R191/4),0),0)</f>
        <v/>
      </c>
      <c r="S197" s="68">
        <f>IF(S$51&lt;=Rates!$D$71,('Sell-Compute'!$B$40*(1+'Sell-Compute'!$B$50)^MOD(S$51-1,'Sell-Compute'!$C$21)-'Sell-Compute'!$B$42-'Sell-Compute'!$B$43)*(S191/4)-'Sell-Compute'!$B$41-'Sell-Compute'!$B$44-'Sell-Compute'!$B$45-IF(AND(MOD(S$51,'Sell-Compute'!$C$21)=0,S$51&lt;Rates!$D$71),'Sell-Compute'!$B$34*(S191/4),0),0)</f>
        <v/>
      </c>
      <c r="T197" s="68">
        <f>IF(T$51&lt;=Rates!$D$71,('Sell-Compute'!$B$40*(1+'Sell-Compute'!$B$50)^MOD(T$51-1,'Sell-Compute'!$C$21)-'Sell-Compute'!$B$42-'Sell-Compute'!$B$43)*(T191/4)-'Sell-Compute'!$B$41-'Sell-Compute'!$B$44-'Sell-Compute'!$B$45-IF(AND(MOD(T$51,'Sell-Compute'!$C$21)=0,T$51&lt;Rates!$D$71),'Sell-Compute'!$B$34*(T191/4),0),0)</f>
        <v/>
      </c>
      <c r="U197" s="68">
        <f>IF(U$51&lt;=Rates!$D$71,('Sell-Compute'!$B$40*(1+'Sell-Compute'!$B$50)^MOD(U$51-1,'Sell-Compute'!$C$21)-'Sell-Compute'!$B$42-'Sell-Compute'!$B$43)*(U191/4)-'Sell-Compute'!$B$41-'Sell-Compute'!$B$44-'Sell-Compute'!$B$45-IF(AND(MOD(U$51,'Sell-Compute'!$C$21)=0,U$51&lt;Rates!$D$71),'Sell-Compute'!$B$34*(U191/4),0),0)</f>
        <v/>
      </c>
      <c r="V197" s="68">
        <f>IF(V$51&lt;=Rates!$D$71,('Sell-Compute'!$B$40*(1+'Sell-Compute'!$B$50)^MOD(V$51-1,'Sell-Compute'!$C$21)-'Sell-Compute'!$B$42-'Sell-Compute'!$B$43)*(V191/4)-'Sell-Compute'!$B$41-'Sell-Compute'!$B$44-'Sell-Compute'!$B$45-IF(AND(MOD(V$51,'Sell-Compute'!$C$21)=0,V$51&lt;Rates!$D$71),'Sell-Compute'!$B$34*(V191/4),0),0)</f>
        <v/>
      </c>
      <c r="W197" s="68">
        <f>IF(W$51&lt;=Rates!$D$71,('Sell-Compute'!$B$40*(1+'Sell-Compute'!$B$50)^MOD(W$51-1,'Sell-Compute'!$C$21)-'Sell-Compute'!$B$42-'Sell-Compute'!$B$43)*(W191/4)-'Sell-Compute'!$B$41-'Sell-Compute'!$B$44-'Sell-Compute'!$B$45-IF(AND(MOD(W$51,'Sell-Compute'!$C$21)=0,W$51&lt;Rates!$D$71),'Sell-Compute'!$B$34*(W191/4),0),0)</f>
        <v/>
      </c>
      <c r="X197" s="68">
        <f>IF(X$51&lt;=Rates!$D$71,('Sell-Compute'!$B$40*(1+'Sell-Compute'!$B$50)^MOD(X$51-1,'Sell-Compute'!$C$21)-'Sell-Compute'!$B$42-'Sell-Compute'!$B$43)*(X191/4)-'Sell-Compute'!$B$41-'Sell-Compute'!$B$44-'Sell-Compute'!$B$45-IF(AND(MOD(X$51,'Sell-Compute'!$C$21)=0,X$51&lt;Rates!$D$71),'Sell-Compute'!$B$34*(X191/4),0),0)</f>
        <v/>
      </c>
      <c r="Y197" s="68">
        <f>IF(Y$51&lt;=Rates!$D$71,('Sell-Compute'!$B$40*(1+'Sell-Compute'!$B$50)^MOD(Y$51-1,'Sell-Compute'!$C$21)-'Sell-Compute'!$B$42-'Sell-Compute'!$B$43)*(Y191/4)-'Sell-Compute'!$B$41-'Sell-Compute'!$B$44-'Sell-Compute'!$B$45-IF(AND(MOD(Y$51,'Sell-Compute'!$C$21)=0,Y$51&lt;Rates!$D$71),'Sell-Compute'!$B$34*(Y191/4),0),0)</f>
        <v/>
      </c>
      <c r="Z197" s="68">
        <f>IF(Z$51&lt;=Rates!$D$71,('Sell-Compute'!$B$40*(1+'Sell-Compute'!$B$50)^MOD(Z$51-1,'Sell-Compute'!$C$21)-'Sell-Compute'!$B$42-'Sell-Compute'!$B$43)*(Z191/4)-'Sell-Compute'!$B$41-'Sell-Compute'!$B$44-'Sell-Compute'!$B$45-IF(AND(MOD(Z$51,'Sell-Compute'!$C$21)=0,Z$51&lt;Rates!$D$71),'Sell-Compute'!$B$34*(Z191/4),0),0)</f>
        <v/>
      </c>
      <c r="AA197" s="68">
        <f>IF(AA$51&lt;=Rates!$D$71,('Sell-Compute'!$B$40*(1+'Sell-Compute'!$B$50)^MOD(AA$51-1,'Sell-Compute'!$C$21)-'Sell-Compute'!$B$42-'Sell-Compute'!$B$43)*(AA191/4)-'Sell-Compute'!$B$41-'Sell-Compute'!$B$44-'Sell-Compute'!$B$45-IF(AND(MOD(AA$51,'Sell-Compute'!$C$21)=0,AA$51&lt;Rates!$D$71),'Sell-Compute'!$B$34*(AA191/4),0),0)</f>
        <v/>
      </c>
      <c r="AB197" s="68">
        <f>IF(AB$51&lt;=Rates!$D$71,('Sell-Compute'!$B$40*(1+'Sell-Compute'!$B$50)^MOD(AB$51-1,'Sell-Compute'!$C$21)-'Sell-Compute'!$B$42-'Sell-Compute'!$B$43)*(AB191/4)-'Sell-Compute'!$B$41-'Sell-Compute'!$B$44-'Sell-Compute'!$B$45-IF(AND(MOD(AB$51,'Sell-Compute'!$C$21)=0,AB$51&lt;Rates!$D$71),'Sell-Compute'!$B$34*(AB191/4),0),0)</f>
        <v/>
      </c>
    </row>
    <row r="198">
      <c r="A198" s="68" t="inlineStr">
        <is>
          <t>(a) Extra doublets at start | colo</t>
        </is>
      </c>
      <c r="C198" s="68">
        <f>-'Sell-Compute'!$I$36-IF(ISNUMBER($E$184),$E$184*(2*($C$11+$C$12)*(1+$C$14)),0)</f>
        <v/>
      </c>
      <c r="D198" s="68">
        <f>IF(D$51&lt;=Rates!$D$71,'Sell-Compute'!$I$46-'Sell-Compute'!$I$40*(1-(D191/4)),0)</f>
        <v/>
      </c>
      <c r="E198" s="68">
        <f>IF(E$51&lt;=Rates!$D$71,'Sell-Compute'!$I$46-'Sell-Compute'!$I$40*(1-(E191/4)),0)</f>
        <v/>
      </c>
      <c r="F198" s="68">
        <f>IF(F$51&lt;=Rates!$D$71,'Sell-Compute'!$I$46-'Sell-Compute'!$I$40*(1-(F191/4)),0)</f>
        <v/>
      </c>
      <c r="G198" s="68">
        <f>IF(G$51&lt;=Rates!$D$71,'Sell-Compute'!$I$46-'Sell-Compute'!$I$40*(1-(G191/4)),0)</f>
        <v/>
      </c>
      <c r="H198" s="68">
        <f>IF(H$51&lt;=Rates!$D$71,'Sell-Compute'!$I$46-'Sell-Compute'!$I$40*(1-(H191/4)),0)</f>
        <v/>
      </c>
      <c r="I198" s="68">
        <f>IF(I$51&lt;=Rates!$D$71,'Sell-Compute'!$I$46-'Sell-Compute'!$I$40*(1-(I191/4)),0)</f>
        <v/>
      </c>
      <c r="J198" s="68">
        <f>IF(J$51&lt;=Rates!$D$71,'Sell-Compute'!$I$46-'Sell-Compute'!$I$40*(1-(J191/4)),0)</f>
        <v/>
      </c>
      <c r="K198" s="68">
        <f>IF(K$51&lt;=Rates!$D$71,'Sell-Compute'!$I$46-'Sell-Compute'!$I$40*(1-(K191/4)),0)</f>
        <v/>
      </c>
      <c r="L198" s="68">
        <f>IF(L$51&lt;=Rates!$D$71,'Sell-Compute'!$I$46-'Sell-Compute'!$I$40*(1-(L191/4)),0)</f>
        <v/>
      </c>
      <c r="M198" s="68">
        <f>IF(M$51&lt;=Rates!$D$71,'Sell-Compute'!$I$46-'Sell-Compute'!$I$40*(1-(M191/4)),0)</f>
        <v/>
      </c>
      <c r="N198" s="68">
        <f>IF(N$51&lt;=Rates!$D$71,'Sell-Compute'!$I$46-'Sell-Compute'!$I$40*(1-(N191/4)),0)</f>
        <v/>
      </c>
      <c r="O198" s="68">
        <f>IF(O$51&lt;=Rates!$D$71,'Sell-Compute'!$I$46-'Sell-Compute'!$I$40*(1-(O191/4)),0)</f>
        <v/>
      </c>
      <c r="P198" s="68">
        <f>IF(P$51&lt;=Rates!$D$71,'Sell-Compute'!$I$46-'Sell-Compute'!$I$40*(1-(P191/4)),0)</f>
        <v/>
      </c>
      <c r="Q198" s="68">
        <f>IF(Q$51&lt;=Rates!$D$71,'Sell-Compute'!$I$46-'Sell-Compute'!$I$40*(1-(Q191/4)),0)</f>
        <v/>
      </c>
      <c r="R198" s="68">
        <f>IF(R$51&lt;=Rates!$D$71,'Sell-Compute'!$I$46-'Sell-Compute'!$I$40*(1-(R191/4)),0)</f>
        <v/>
      </c>
      <c r="S198" s="68">
        <f>IF(S$51&lt;=Rates!$D$71,'Sell-Compute'!$I$46-'Sell-Compute'!$I$40*(1-(S191/4)),0)</f>
        <v/>
      </c>
      <c r="T198" s="68">
        <f>IF(T$51&lt;=Rates!$D$71,'Sell-Compute'!$I$46-'Sell-Compute'!$I$40*(1-(T191/4)),0)</f>
        <v/>
      </c>
      <c r="U198" s="68">
        <f>IF(U$51&lt;=Rates!$D$71,'Sell-Compute'!$I$46-'Sell-Compute'!$I$40*(1-(U191/4)),0)</f>
        <v/>
      </c>
      <c r="V198" s="68">
        <f>IF(V$51&lt;=Rates!$D$71,'Sell-Compute'!$I$46-'Sell-Compute'!$I$40*(1-(V191/4)),0)</f>
        <v/>
      </c>
      <c r="W198" s="68">
        <f>IF(W$51&lt;=Rates!$D$71,'Sell-Compute'!$I$46-'Sell-Compute'!$I$40*(1-(W191/4)),0)</f>
        <v/>
      </c>
      <c r="X198" s="68">
        <f>IF(X$51&lt;=Rates!$D$71,'Sell-Compute'!$I$46-'Sell-Compute'!$I$40*(1-(X191/4)),0)</f>
        <v/>
      </c>
      <c r="Y198" s="68">
        <f>IF(Y$51&lt;=Rates!$D$71,'Sell-Compute'!$I$46-'Sell-Compute'!$I$40*(1-(Y191/4)),0)</f>
        <v/>
      </c>
      <c r="Z198" s="68">
        <f>IF(Z$51&lt;=Rates!$D$71,'Sell-Compute'!$I$46-'Sell-Compute'!$I$40*(1-(Z191/4)),0)</f>
        <v/>
      </c>
      <c r="AA198" s="68">
        <f>IF(AA$51&lt;=Rates!$D$71,'Sell-Compute'!$I$46-'Sell-Compute'!$I$40*(1-(AA191/4)),0)</f>
        <v/>
      </c>
      <c r="AB198" s="68">
        <f>IF(AB$51&lt;=Rates!$D$71,'Sell-Compute'!$I$46-'Sell-Compute'!$I$40*(1-(AB191/4)),0)</f>
        <v/>
      </c>
    </row>
    <row r="199">
      <c r="A199" s="68" t="inlineStr">
        <is>
          <t>(b) Make-up doublets on a monitored trigger | flat</t>
        </is>
      </c>
      <c r="C199" s="68">
        <f>-'Sell-Compute'!$C$36-C189</f>
        <v/>
      </c>
      <c r="D199" s="68">
        <f>IF(D$51&lt;=Rates!$D$71,('Sell-Compute'!$C$40*(1+'Sell-Compute'!$C$50)^MOD(D$51-1,'Sell-Compute'!$C$21)-'Sell-Compute'!$C$42-'Sell-Compute'!$C$43)*(D192/4)-'Sell-Compute'!$C$41-'Sell-Compute'!$C$44-'Sell-Compute'!$C$45-IF(AND(MOD(D$51,'Sell-Compute'!$C$21)=0,D$51&lt;Rates!$D$71),'Sell-Compute'!$C$34*(D192/4),0),0)-D189</f>
        <v/>
      </c>
      <c r="E199" s="68">
        <f>IF(E$51&lt;=Rates!$D$71,('Sell-Compute'!$C$40*(1+'Sell-Compute'!$C$50)^MOD(E$51-1,'Sell-Compute'!$C$21)-'Sell-Compute'!$C$42-'Sell-Compute'!$C$43)*(E192/4)-'Sell-Compute'!$C$41-'Sell-Compute'!$C$44-'Sell-Compute'!$C$45-IF(AND(MOD(E$51,'Sell-Compute'!$C$21)=0,E$51&lt;Rates!$D$71),'Sell-Compute'!$C$34*(E192/4),0),0)-E189</f>
        <v/>
      </c>
      <c r="F199" s="68">
        <f>IF(F$51&lt;=Rates!$D$71,('Sell-Compute'!$C$40*(1+'Sell-Compute'!$C$50)^MOD(F$51-1,'Sell-Compute'!$C$21)-'Sell-Compute'!$C$42-'Sell-Compute'!$C$43)*(F192/4)-'Sell-Compute'!$C$41-'Sell-Compute'!$C$44-'Sell-Compute'!$C$45-IF(AND(MOD(F$51,'Sell-Compute'!$C$21)=0,F$51&lt;Rates!$D$71),'Sell-Compute'!$C$34*(F192/4),0),0)-F189</f>
        <v/>
      </c>
      <c r="G199" s="68">
        <f>IF(G$51&lt;=Rates!$D$71,('Sell-Compute'!$C$40*(1+'Sell-Compute'!$C$50)^MOD(G$51-1,'Sell-Compute'!$C$21)-'Sell-Compute'!$C$42-'Sell-Compute'!$C$43)*(G192/4)-'Sell-Compute'!$C$41-'Sell-Compute'!$C$44-'Sell-Compute'!$C$45-IF(AND(MOD(G$51,'Sell-Compute'!$C$21)=0,G$51&lt;Rates!$D$71),'Sell-Compute'!$C$34*(G192/4),0),0)-G189</f>
        <v/>
      </c>
      <c r="H199" s="68">
        <f>IF(H$51&lt;=Rates!$D$71,('Sell-Compute'!$C$40*(1+'Sell-Compute'!$C$50)^MOD(H$51-1,'Sell-Compute'!$C$21)-'Sell-Compute'!$C$42-'Sell-Compute'!$C$43)*(H192/4)-'Sell-Compute'!$C$41-'Sell-Compute'!$C$44-'Sell-Compute'!$C$45-IF(AND(MOD(H$51,'Sell-Compute'!$C$21)=0,H$51&lt;Rates!$D$71),'Sell-Compute'!$C$34*(H192/4),0),0)-H189</f>
        <v/>
      </c>
      <c r="I199" s="68">
        <f>IF(I$51&lt;=Rates!$D$71,('Sell-Compute'!$C$40*(1+'Sell-Compute'!$C$50)^MOD(I$51-1,'Sell-Compute'!$C$21)-'Sell-Compute'!$C$42-'Sell-Compute'!$C$43)*(I192/4)-'Sell-Compute'!$C$41-'Sell-Compute'!$C$44-'Sell-Compute'!$C$45-IF(AND(MOD(I$51,'Sell-Compute'!$C$21)=0,I$51&lt;Rates!$D$71),'Sell-Compute'!$C$34*(I192/4),0),0)-I189</f>
        <v/>
      </c>
      <c r="J199" s="68">
        <f>IF(J$51&lt;=Rates!$D$71,('Sell-Compute'!$C$40*(1+'Sell-Compute'!$C$50)^MOD(J$51-1,'Sell-Compute'!$C$21)-'Sell-Compute'!$C$42-'Sell-Compute'!$C$43)*(J192/4)-'Sell-Compute'!$C$41-'Sell-Compute'!$C$44-'Sell-Compute'!$C$45-IF(AND(MOD(J$51,'Sell-Compute'!$C$21)=0,J$51&lt;Rates!$D$71),'Sell-Compute'!$C$34*(J192/4),0),0)-J189</f>
        <v/>
      </c>
      <c r="K199" s="68">
        <f>IF(K$51&lt;=Rates!$D$71,('Sell-Compute'!$C$40*(1+'Sell-Compute'!$C$50)^MOD(K$51-1,'Sell-Compute'!$C$21)-'Sell-Compute'!$C$42-'Sell-Compute'!$C$43)*(K192/4)-'Sell-Compute'!$C$41-'Sell-Compute'!$C$44-'Sell-Compute'!$C$45-IF(AND(MOD(K$51,'Sell-Compute'!$C$21)=0,K$51&lt;Rates!$D$71),'Sell-Compute'!$C$34*(K192/4),0),0)-K189</f>
        <v/>
      </c>
      <c r="L199" s="68">
        <f>IF(L$51&lt;=Rates!$D$71,('Sell-Compute'!$C$40*(1+'Sell-Compute'!$C$50)^MOD(L$51-1,'Sell-Compute'!$C$21)-'Sell-Compute'!$C$42-'Sell-Compute'!$C$43)*(L192/4)-'Sell-Compute'!$C$41-'Sell-Compute'!$C$44-'Sell-Compute'!$C$45-IF(AND(MOD(L$51,'Sell-Compute'!$C$21)=0,L$51&lt;Rates!$D$71),'Sell-Compute'!$C$34*(L192/4),0),0)-L189</f>
        <v/>
      </c>
      <c r="M199" s="68">
        <f>IF(M$51&lt;=Rates!$D$71,('Sell-Compute'!$C$40*(1+'Sell-Compute'!$C$50)^MOD(M$51-1,'Sell-Compute'!$C$21)-'Sell-Compute'!$C$42-'Sell-Compute'!$C$43)*(M192/4)-'Sell-Compute'!$C$41-'Sell-Compute'!$C$44-'Sell-Compute'!$C$45-IF(AND(MOD(M$51,'Sell-Compute'!$C$21)=0,M$51&lt;Rates!$D$71),'Sell-Compute'!$C$34*(M192/4),0),0)-M189</f>
        <v/>
      </c>
      <c r="N199" s="68">
        <f>IF(N$51&lt;=Rates!$D$71,('Sell-Compute'!$C$40*(1+'Sell-Compute'!$C$50)^MOD(N$51-1,'Sell-Compute'!$C$21)-'Sell-Compute'!$C$42-'Sell-Compute'!$C$43)*(N192/4)-'Sell-Compute'!$C$41-'Sell-Compute'!$C$44-'Sell-Compute'!$C$45-IF(AND(MOD(N$51,'Sell-Compute'!$C$21)=0,N$51&lt;Rates!$D$71),'Sell-Compute'!$C$34*(N192/4),0),0)-N189</f>
        <v/>
      </c>
      <c r="O199" s="68">
        <f>IF(O$51&lt;=Rates!$D$71,('Sell-Compute'!$C$40*(1+'Sell-Compute'!$C$50)^MOD(O$51-1,'Sell-Compute'!$C$21)-'Sell-Compute'!$C$42-'Sell-Compute'!$C$43)*(O192/4)-'Sell-Compute'!$C$41-'Sell-Compute'!$C$44-'Sell-Compute'!$C$45-IF(AND(MOD(O$51,'Sell-Compute'!$C$21)=0,O$51&lt;Rates!$D$71),'Sell-Compute'!$C$34*(O192/4),0),0)-O189</f>
        <v/>
      </c>
      <c r="P199" s="68">
        <f>IF(P$51&lt;=Rates!$D$71,('Sell-Compute'!$C$40*(1+'Sell-Compute'!$C$50)^MOD(P$51-1,'Sell-Compute'!$C$21)-'Sell-Compute'!$C$42-'Sell-Compute'!$C$43)*(P192/4)-'Sell-Compute'!$C$41-'Sell-Compute'!$C$44-'Sell-Compute'!$C$45-IF(AND(MOD(P$51,'Sell-Compute'!$C$21)=0,P$51&lt;Rates!$D$71),'Sell-Compute'!$C$34*(P192/4),0),0)-P189</f>
        <v/>
      </c>
      <c r="Q199" s="68">
        <f>IF(Q$51&lt;=Rates!$D$71,('Sell-Compute'!$C$40*(1+'Sell-Compute'!$C$50)^MOD(Q$51-1,'Sell-Compute'!$C$21)-'Sell-Compute'!$C$42-'Sell-Compute'!$C$43)*(Q192/4)-'Sell-Compute'!$C$41-'Sell-Compute'!$C$44-'Sell-Compute'!$C$45-IF(AND(MOD(Q$51,'Sell-Compute'!$C$21)=0,Q$51&lt;Rates!$D$71),'Sell-Compute'!$C$34*(Q192/4),0),0)-Q189</f>
        <v/>
      </c>
      <c r="R199" s="68">
        <f>IF(R$51&lt;=Rates!$D$71,('Sell-Compute'!$C$40*(1+'Sell-Compute'!$C$50)^MOD(R$51-1,'Sell-Compute'!$C$21)-'Sell-Compute'!$C$42-'Sell-Compute'!$C$43)*(R192/4)-'Sell-Compute'!$C$41-'Sell-Compute'!$C$44-'Sell-Compute'!$C$45-IF(AND(MOD(R$51,'Sell-Compute'!$C$21)=0,R$51&lt;Rates!$D$71),'Sell-Compute'!$C$34*(R192/4),0),0)-R189</f>
        <v/>
      </c>
      <c r="S199" s="68">
        <f>IF(S$51&lt;=Rates!$D$71,('Sell-Compute'!$C$40*(1+'Sell-Compute'!$C$50)^MOD(S$51-1,'Sell-Compute'!$C$21)-'Sell-Compute'!$C$42-'Sell-Compute'!$C$43)*(S192/4)-'Sell-Compute'!$C$41-'Sell-Compute'!$C$44-'Sell-Compute'!$C$45-IF(AND(MOD(S$51,'Sell-Compute'!$C$21)=0,S$51&lt;Rates!$D$71),'Sell-Compute'!$C$34*(S192/4),0),0)-S189</f>
        <v/>
      </c>
      <c r="T199" s="68">
        <f>IF(T$51&lt;=Rates!$D$71,('Sell-Compute'!$C$40*(1+'Sell-Compute'!$C$50)^MOD(T$51-1,'Sell-Compute'!$C$21)-'Sell-Compute'!$C$42-'Sell-Compute'!$C$43)*(T192/4)-'Sell-Compute'!$C$41-'Sell-Compute'!$C$44-'Sell-Compute'!$C$45-IF(AND(MOD(T$51,'Sell-Compute'!$C$21)=0,T$51&lt;Rates!$D$71),'Sell-Compute'!$C$34*(T192/4),0),0)-T189</f>
        <v/>
      </c>
      <c r="U199" s="68">
        <f>IF(U$51&lt;=Rates!$D$71,('Sell-Compute'!$C$40*(1+'Sell-Compute'!$C$50)^MOD(U$51-1,'Sell-Compute'!$C$21)-'Sell-Compute'!$C$42-'Sell-Compute'!$C$43)*(U192/4)-'Sell-Compute'!$C$41-'Sell-Compute'!$C$44-'Sell-Compute'!$C$45-IF(AND(MOD(U$51,'Sell-Compute'!$C$21)=0,U$51&lt;Rates!$D$71),'Sell-Compute'!$C$34*(U192/4),0),0)-U189</f>
        <v/>
      </c>
      <c r="V199" s="68">
        <f>IF(V$51&lt;=Rates!$D$71,('Sell-Compute'!$C$40*(1+'Sell-Compute'!$C$50)^MOD(V$51-1,'Sell-Compute'!$C$21)-'Sell-Compute'!$C$42-'Sell-Compute'!$C$43)*(V192/4)-'Sell-Compute'!$C$41-'Sell-Compute'!$C$44-'Sell-Compute'!$C$45-IF(AND(MOD(V$51,'Sell-Compute'!$C$21)=0,V$51&lt;Rates!$D$71),'Sell-Compute'!$C$34*(V192/4),0),0)-V189</f>
        <v/>
      </c>
      <c r="W199" s="68">
        <f>IF(W$51&lt;=Rates!$D$71,('Sell-Compute'!$C$40*(1+'Sell-Compute'!$C$50)^MOD(W$51-1,'Sell-Compute'!$C$21)-'Sell-Compute'!$C$42-'Sell-Compute'!$C$43)*(W192/4)-'Sell-Compute'!$C$41-'Sell-Compute'!$C$44-'Sell-Compute'!$C$45-IF(AND(MOD(W$51,'Sell-Compute'!$C$21)=0,W$51&lt;Rates!$D$71),'Sell-Compute'!$C$34*(W192/4),0),0)-W189</f>
        <v/>
      </c>
      <c r="X199" s="68">
        <f>IF(X$51&lt;=Rates!$D$71,('Sell-Compute'!$C$40*(1+'Sell-Compute'!$C$50)^MOD(X$51-1,'Sell-Compute'!$C$21)-'Sell-Compute'!$C$42-'Sell-Compute'!$C$43)*(X192/4)-'Sell-Compute'!$C$41-'Sell-Compute'!$C$44-'Sell-Compute'!$C$45-IF(AND(MOD(X$51,'Sell-Compute'!$C$21)=0,X$51&lt;Rates!$D$71),'Sell-Compute'!$C$34*(X192/4),0),0)-X189</f>
        <v/>
      </c>
      <c r="Y199" s="68">
        <f>IF(Y$51&lt;=Rates!$D$71,('Sell-Compute'!$C$40*(1+'Sell-Compute'!$C$50)^MOD(Y$51-1,'Sell-Compute'!$C$21)-'Sell-Compute'!$C$42-'Sell-Compute'!$C$43)*(Y192/4)-'Sell-Compute'!$C$41-'Sell-Compute'!$C$44-'Sell-Compute'!$C$45-IF(AND(MOD(Y$51,'Sell-Compute'!$C$21)=0,Y$51&lt;Rates!$D$71),'Sell-Compute'!$C$34*(Y192/4),0),0)-Y189</f>
        <v/>
      </c>
      <c r="Z199" s="68">
        <f>IF(Z$51&lt;=Rates!$D$71,('Sell-Compute'!$C$40*(1+'Sell-Compute'!$C$50)^MOD(Z$51-1,'Sell-Compute'!$C$21)-'Sell-Compute'!$C$42-'Sell-Compute'!$C$43)*(Z192/4)-'Sell-Compute'!$C$41-'Sell-Compute'!$C$44-'Sell-Compute'!$C$45-IF(AND(MOD(Z$51,'Sell-Compute'!$C$21)=0,Z$51&lt;Rates!$D$71),'Sell-Compute'!$C$34*(Z192/4),0),0)-Z189</f>
        <v/>
      </c>
      <c r="AA199" s="68">
        <f>IF(AA$51&lt;=Rates!$D$71,('Sell-Compute'!$C$40*(1+'Sell-Compute'!$C$50)^MOD(AA$51-1,'Sell-Compute'!$C$21)-'Sell-Compute'!$C$42-'Sell-Compute'!$C$43)*(AA192/4)-'Sell-Compute'!$C$41-'Sell-Compute'!$C$44-'Sell-Compute'!$C$45-IF(AND(MOD(AA$51,'Sell-Compute'!$C$21)=0,AA$51&lt;Rates!$D$71),'Sell-Compute'!$C$34*(AA192/4),0),0)-AA189</f>
        <v/>
      </c>
      <c r="AB199" s="68">
        <f>IF(AB$51&lt;=Rates!$D$71,('Sell-Compute'!$C$40*(1+'Sell-Compute'!$C$50)^MOD(AB$51-1,'Sell-Compute'!$C$21)-'Sell-Compute'!$C$42-'Sell-Compute'!$C$43)*(AB192/4)-'Sell-Compute'!$C$41-'Sell-Compute'!$C$44-'Sell-Compute'!$C$45-IF(AND(MOD(AB$51,'Sell-Compute'!$C$21)=0,AB$51&lt;Rates!$D$71),'Sell-Compute'!$C$34*(AB192/4),0),0)-AB189</f>
        <v/>
      </c>
    </row>
    <row r="200">
      <c r="A200" s="68" t="inlineStr">
        <is>
          <t>(b) Make-up doublets on a monitored trigger | dec</t>
        </is>
      </c>
      <c r="C200" s="68">
        <f>-'Sell-Compute'!$B$36-C189</f>
        <v/>
      </c>
      <c r="D200" s="68">
        <f>IF(D$51&lt;=Rates!$D$71,('Sell-Compute'!$B$40*(1+'Sell-Compute'!$B$50)^MOD(D$51-1,'Sell-Compute'!$C$21)-'Sell-Compute'!$B$42-'Sell-Compute'!$B$43)*(D192/4)-'Sell-Compute'!$B$41-'Sell-Compute'!$B$44-'Sell-Compute'!$B$45-IF(AND(MOD(D$51,'Sell-Compute'!$C$21)=0,D$51&lt;Rates!$D$71),'Sell-Compute'!$B$34*(D192/4),0),0)-D189</f>
        <v/>
      </c>
      <c r="E200" s="68">
        <f>IF(E$51&lt;=Rates!$D$71,('Sell-Compute'!$B$40*(1+'Sell-Compute'!$B$50)^MOD(E$51-1,'Sell-Compute'!$C$21)-'Sell-Compute'!$B$42-'Sell-Compute'!$B$43)*(E192/4)-'Sell-Compute'!$B$41-'Sell-Compute'!$B$44-'Sell-Compute'!$B$45-IF(AND(MOD(E$51,'Sell-Compute'!$C$21)=0,E$51&lt;Rates!$D$71),'Sell-Compute'!$B$34*(E192/4),0),0)-E189</f>
        <v/>
      </c>
      <c r="F200" s="68">
        <f>IF(F$51&lt;=Rates!$D$71,('Sell-Compute'!$B$40*(1+'Sell-Compute'!$B$50)^MOD(F$51-1,'Sell-Compute'!$C$21)-'Sell-Compute'!$B$42-'Sell-Compute'!$B$43)*(F192/4)-'Sell-Compute'!$B$41-'Sell-Compute'!$B$44-'Sell-Compute'!$B$45-IF(AND(MOD(F$51,'Sell-Compute'!$C$21)=0,F$51&lt;Rates!$D$71),'Sell-Compute'!$B$34*(F192/4),0),0)-F189</f>
        <v/>
      </c>
      <c r="G200" s="68">
        <f>IF(G$51&lt;=Rates!$D$71,('Sell-Compute'!$B$40*(1+'Sell-Compute'!$B$50)^MOD(G$51-1,'Sell-Compute'!$C$21)-'Sell-Compute'!$B$42-'Sell-Compute'!$B$43)*(G192/4)-'Sell-Compute'!$B$41-'Sell-Compute'!$B$44-'Sell-Compute'!$B$45-IF(AND(MOD(G$51,'Sell-Compute'!$C$21)=0,G$51&lt;Rates!$D$71),'Sell-Compute'!$B$34*(G192/4),0),0)-G189</f>
        <v/>
      </c>
      <c r="H200" s="68">
        <f>IF(H$51&lt;=Rates!$D$71,('Sell-Compute'!$B$40*(1+'Sell-Compute'!$B$50)^MOD(H$51-1,'Sell-Compute'!$C$21)-'Sell-Compute'!$B$42-'Sell-Compute'!$B$43)*(H192/4)-'Sell-Compute'!$B$41-'Sell-Compute'!$B$44-'Sell-Compute'!$B$45-IF(AND(MOD(H$51,'Sell-Compute'!$C$21)=0,H$51&lt;Rates!$D$71),'Sell-Compute'!$B$34*(H192/4),0),0)-H189</f>
        <v/>
      </c>
      <c r="I200" s="68">
        <f>IF(I$51&lt;=Rates!$D$71,('Sell-Compute'!$B$40*(1+'Sell-Compute'!$B$50)^MOD(I$51-1,'Sell-Compute'!$C$21)-'Sell-Compute'!$B$42-'Sell-Compute'!$B$43)*(I192/4)-'Sell-Compute'!$B$41-'Sell-Compute'!$B$44-'Sell-Compute'!$B$45-IF(AND(MOD(I$51,'Sell-Compute'!$C$21)=0,I$51&lt;Rates!$D$71),'Sell-Compute'!$B$34*(I192/4),0),0)-I189</f>
        <v/>
      </c>
      <c r="J200" s="68">
        <f>IF(J$51&lt;=Rates!$D$71,('Sell-Compute'!$B$40*(1+'Sell-Compute'!$B$50)^MOD(J$51-1,'Sell-Compute'!$C$21)-'Sell-Compute'!$B$42-'Sell-Compute'!$B$43)*(J192/4)-'Sell-Compute'!$B$41-'Sell-Compute'!$B$44-'Sell-Compute'!$B$45-IF(AND(MOD(J$51,'Sell-Compute'!$C$21)=0,J$51&lt;Rates!$D$71),'Sell-Compute'!$B$34*(J192/4),0),0)-J189</f>
        <v/>
      </c>
      <c r="K200" s="68">
        <f>IF(K$51&lt;=Rates!$D$71,('Sell-Compute'!$B$40*(1+'Sell-Compute'!$B$50)^MOD(K$51-1,'Sell-Compute'!$C$21)-'Sell-Compute'!$B$42-'Sell-Compute'!$B$43)*(K192/4)-'Sell-Compute'!$B$41-'Sell-Compute'!$B$44-'Sell-Compute'!$B$45-IF(AND(MOD(K$51,'Sell-Compute'!$C$21)=0,K$51&lt;Rates!$D$71),'Sell-Compute'!$B$34*(K192/4),0),0)-K189</f>
        <v/>
      </c>
      <c r="L200" s="68">
        <f>IF(L$51&lt;=Rates!$D$71,('Sell-Compute'!$B$40*(1+'Sell-Compute'!$B$50)^MOD(L$51-1,'Sell-Compute'!$C$21)-'Sell-Compute'!$B$42-'Sell-Compute'!$B$43)*(L192/4)-'Sell-Compute'!$B$41-'Sell-Compute'!$B$44-'Sell-Compute'!$B$45-IF(AND(MOD(L$51,'Sell-Compute'!$C$21)=0,L$51&lt;Rates!$D$71),'Sell-Compute'!$B$34*(L192/4),0),0)-L189</f>
        <v/>
      </c>
      <c r="M200" s="68">
        <f>IF(M$51&lt;=Rates!$D$71,('Sell-Compute'!$B$40*(1+'Sell-Compute'!$B$50)^MOD(M$51-1,'Sell-Compute'!$C$21)-'Sell-Compute'!$B$42-'Sell-Compute'!$B$43)*(M192/4)-'Sell-Compute'!$B$41-'Sell-Compute'!$B$44-'Sell-Compute'!$B$45-IF(AND(MOD(M$51,'Sell-Compute'!$C$21)=0,M$51&lt;Rates!$D$71),'Sell-Compute'!$B$34*(M192/4),0),0)-M189</f>
        <v/>
      </c>
      <c r="N200" s="68">
        <f>IF(N$51&lt;=Rates!$D$71,('Sell-Compute'!$B$40*(1+'Sell-Compute'!$B$50)^MOD(N$51-1,'Sell-Compute'!$C$21)-'Sell-Compute'!$B$42-'Sell-Compute'!$B$43)*(N192/4)-'Sell-Compute'!$B$41-'Sell-Compute'!$B$44-'Sell-Compute'!$B$45-IF(AND(MOD(N$51,'Sell-Compute'!$C$21)=0,N$51&lt;Rates!$D$71),'Sell-Compute'!$B$34*(N192/4),0),0)-N189</f>
        <v/>
      </c>
      <c r="O200" s="68">
        <f>IF(O$51&lt;=Rates!$D$71,('Sell-Compute'!$B$40*(1+'Sell-Compute'!$B$50)^MOD(O$51-1,'Sell-Compute'!$C$21)-'Sell-Compute'!$B$42-'Sell-Compute'!$B$43)*(O192/4)-'Sell-Compute'!$B$41-'Sell-Compute'!$B$44-'Sell-Compute'!$B$45-IF(AND(MOD(O$51,'Sell-Compute'!$C$21)=0,O$51&lt;Rates!$D$71),'Sell-Compute'!$B$34*(O192/4),0),0)-O189</f>
        <v/>
      </c>
      <c r="P200" s="68">
        <f>IF(P$51&lt;=Rates!$D$71,('Sell-Compute'!$B$40*(1+'Sell-Compute'!$B$50)^MOD(P$51-1,'Sell-Compute'!$C$21)-'Sell-Compute'!$B$42-'Sell-Compute'!$B$43)*(P192/4)-'Sell-Compute'!$B$41-'Sell-Compute'!$B$44-'Sell-Compute'!$B$45-IF(AND(MOD(P$51,'Sell-Compute'!$C$21)=0,P$51&lt;Rates!$D$71),'Sell-Compute'!$B$34*(P192/4),0),0)-P189</f>
        <v/>
      </c>
      <c r="Q200" s="68">
        <f>IF(Q$51&lt;=Rates!$D$71,('Sell-Compute'!$B$40*(1+'Sell-Compute'!$B$50)^MOD(Q$51-1,'Sell-Compute'!$C$21)-'Sell-Compute'!$B$42-'Sell-Compute'!$B$43)*(Q192/4)-'Sell-Compute'!$B$41-'Sell-Compute'!$B$44-'Sell-Compute'!$B$45-IF(AND(MOD(Q$51,'Sell-Compute'!$C$21)=0,Q$51&lt;Rates!$D$71),'Sell-Compute'!$B$34*(Q192/4),0),0)-Q189</f>
        <v/>
      </c>
      <c r="R200" s="68">
        <f>IF(R$51&lt;=Rates!$D$71,('Sell-Compute'!$B$40*(1+'Sell-Compute'!$B$50)^MOD(R$51-1,'Sell-Compute'!$C$21)-'Sell-Compute'!$B$42-'Sell-Compute'!$B$43)*(R192/4)-'Sell-Compute'!$B$41-'Sell-Compute'!$B$44-'Sell-Compute'!$B$45-IF(AND(MOD(R$51,'Sell-Compute'!$C$21)=0,R$51&lt;Rates!$D$71),'Sell-Compute'!$B$34*(R192/4),0),0)-R189</f>
        <v/>
      </c>
      <c r="S200" s="68">
        <f>IF(S$51&lt;=Rates!$D$71,('Sell-Compute'!$B$40*(1+'Sell-Compute'!$B$50)^MOD(S$51-1,'Sell-Compute'!$C$21)-'Sell-Compute'!$B$42-'Sell-Compute'!$B$43)*(S192/4)-'Sell-Compute'!$B$41-'Sell-Compute'!$B$44-'Sell-Compute'!$B$45-IF(AND(MOD(S$51,'Sell-Compute'!$C$21)=0,S$51&lt;Rates!$D$71),'Sell-Compute'!$B$34*(S192/4),0),0)-S189</f>
        <v/>
      </c>
      <c r="T200" s="68">
        <f>IF(T$51&lt;=Rates!$D$71,('Sell-Compute'!$B$40*(1+'Sell-Compute'!$B$50)^MOD(T$51-1,'Sell-Compute'!$C$21)-'Sell-Compute'!$B$42-'Sell-Compute'!$B$43)*(T192/4)-'Sell-Compute'!$B$41-'Sell-Compute'!$B$44-'Sell-Compute'!$B$45-IF(AND(MOD(T$51,'Sell-Compute'!$C$21)=0,T$51&lt;Rates!$D$71),'Sell-Compute'!$B$34*(T192/4),0),0)-T189</f>
        <v/>
      </c>
      <c r="U200" s="68">
        <f>IF(U$51&lt;=Rates!$D$71,('Sell-Compute'!$B$40*(1+'Sell-Compute'!$B$50)^MOD(U$51-1,'Sell-Compute'!$C$21)-'Sell-Compute'!$B$42-'Sell-Compute'!$B$43)*(U192/4)-'Sell-Compute'!$B$41-'Sell-Compute'!$B$44-'Sell-Compute'!$B$45-IF(AND(MOD(U$51,'Sell-Compute'!$C$21)=0,U$51&lt;Rates!$D$71),'Sell-Compute'!$B$34*(U192/4),0),0)-U189</f>
        <v/>
      </c>
      <c r="V200" s="68">
        <f>IF(V$51&lt;=Rates!$D$71,('Sell-Compute'!$B$40*(1+'Sell-Compute'!$B$50)^MOD(V$51-1,'Sell-Compute'!$C$21)-'Sell-Compute'!$B$42-'Sell-Compute'!$B$43)*(V192/4)-'Sell-Compute'!$B$41-'Sell-Compute'!$B$44-'Sell-Compute'!$B$45-IF(AND(MOD(V$51,'Sell-Compute'!$C$21)=0,V$51&lt;Rates!$D$71),'Sell-Compute'!$B$34*(V192/4),0),0)-V189</f>
        <v/>
      </c>
      <c r="W200" s="68">
        <f>IF(W$51&lt;=Rates!$D$71,('Sell-Compute'!$B$40*(1+'Sell-Compute'!$B$50)^MOD(W$51-1,'Sell-Compute'!$C$21)-'Sell-Compute'!$B$42-'Sell-Compute'!$B$43)*(W192/4)-'Sell-Compute'!$B$41-'Sell-Compute'!$B$44-'Sell-Compute'!$B$45-IF(AND(MOD(W$51,'Sell-Compute'!$C$21)=0,W$51&lt;Rates!$D$71),'Sell-Compute'!$B$34*(W192/4),0),0)-W189</f>
        <v/>
      </c>
      <c r="X200" s="68">
        <f>IF(X$51&lt;=Rates!$D$71,('Sell-Compute'!$B$40*(1+'Sell-Compute'!$B$50)^MOD(X$51-1,'Sell-Compute'!$C$21)-'Sell-Compute'!$B$42-'Sell-Compute'!$B$43)*(X192/4)-'Sell-Compute'!$B$41-'Sell-Compute'!$B$44-'Sell-Compute'!$B$45-IF(AND(MOD(X$51,'Sell-Compute'!$C$21)=0,X$51&lt;Rates!$D$71),'Sell-Compute'!$B$34*(X192/4),0),0)-X189</f>
        <v/>
      </c>
      <c r="Y200" s="68">
        <f>IF(Y$51&lt;=Rates!$D$71,('Sell-Compute'!$B$40*(1+'Sell-Compute'!$B$50)^MOD(Y$51-1,'Sell-Compute'!$C$21)-'Sell-Compute'!$B$42-'Sell-Compute'!$B$43)*(Y192/4)-'Sell-Compute'!$B$41-'Sell-Compute'!$B$44-'Sell-Compute'!$B$45-IF(AND(MOD(Y$51,'Sell-Compute'!$C$21)=0,Y$51&lt;Rates!$D$71),'Sell-Compute'!$B$34*(Y192/4),0),0)-Y189</f>
        <v/>
      </c>
      <c r="Z200" s="68">
        <f>IF(Z$51&lt;=Rates!$D$71,('Sell-Compute'!$B$40*(1+'Sell-Compute'!$B$50)^MOD(Z$51-1,'Sell-Compute'!$C$21)-'Sell-Compute'!$B$42-'Sell-Compute'!$B$43)*(Z192/4)-'Sell-Compute'!$B$41-'Sell-Compute'!$B$44-'Sell-Compute'!$B$45-IF(AND(MOD(Z$51,'Sell-Compute'!$C$21)=0,Z$51&lt;Rates!$D$71),'Sell-Compute'!$B$34*(Z192/4),0),0)-Z189</f>
        <v/>
      </c>
      <c r="AA200" s="68">
        <f>IF(AA$51&lt;=Rates!$D$71,('Sell-Compute'!$B$40*(1+'Sell-Compute'!$B$50)^MOD(AA$51-1,'Sell-Compute'!$C$21)-'Sell-Compute'!$B$42-'Sell-Compute'!$B$43)*(AA192/4)-'Sell-Compute'!$B$41-'Sell-Compute'!$B$44-'Sell-Compute'!$B$45-IF(AND(MOD(AA$51,'Sell-Compute'!$C$21)=0,AA$51&lt;Rates!$D$71),'Sell-Compute'!$B$34*(AA192/4),0),0)-AA189</f>
        <v/>
      </c>
      <c r="AB200" s="68">
        <f>IF(AB$51&lt;=Rates!$D$71,('Sell-Compute'!$B$40*(1+'Sell-Compute'!$B$50)^MOD(AB$51-1,'Sell-Compute'!$C$21)-'Sell-Compute'!$B$42-'Sell-Compute'!$B$43)*(AB192/4)-'Sell-Compute'!$B$41-'Sell-Compute'!$B$44-'Sell-Compute'!$B$45-IF(AND(MOD(AB$51,'Sell-Compute'!$C$21)=0,AB$51&lt;Rates!$D$71),'Sell-Compute'!$B$34*(AB192/4),0),0)-AB189</f>
        <v/>
      </c>
    </row>
    <row r="201">
      <c r="A201" s="68" t="inlineStr">
        <is>
          <t>(b) Make-up doublets on a monitored trigger | colo</t>
        </is>
      </c>
      <c r="C201" s="68">
        <f>-'Sell-Compute'!$I$36-C189</f>
        <v/>
      </c>
      <c r="D201" s="68">
        <f>IF(D$51&lt;=Rates!$D$71,'Sell-Compute'!$I$46-'Sell-Compute'!$I$40*(1-(D192/4)),0)-D189</f>
        <v/>
      </c>
      <c r="E201" s="68">
        <f>IF(E$51&lt;=Rates!$D$71,'Sell-Compute'!$I$46-'Sell-Compute'!$I$40*(1-(E192/4)),0)-E189</f>
        <v/>
      </c>
      <c r="F201" s="68">
        <f>IF(F$51&lt;=Rates!$D$71,'Sell-Compute'!$I$46-'Sell-Compute'!$I$40*(1-(F192/4)),0)-F189</f>
        <v/>
      </c>
      <c r="G201" s="68">
        <f>IF(G$51&lt;=Rates!$D$71,'Sell-Compute'!$I$46-'Sell-Compute'!$I$40*(1-(G192/4)),0)-G189</f>
        <v/>
      </c>
      <c r="H201" s="68">
        <f>IF(H$51&lt;=Rates!$D$71,'Sell-Compute'!$I$46-'Sell-Compute'!$I$40*(1-(H192/4)),0)-H189</f>
        <v/>
      </c>
      <c r="I201" s="68">
        <f>IF(I$51&lt;=Rates!$D$71,'Sell-Compute'!$I$46-'Sell-Compute'!$I$40*(1-(I192/4)),0)-I189</f>
        <v/>
      </c>
      <c r="J201" s="68">
        <f>IF(J$51&lt;=Rates!$D$71,'Sell-Compute'!$I$46-'Sell-Compute'!$I$40*(1-(J192/4)),0)-J189</f>
        <v/>
      </c>
      <c r="K201" s="68">
        <f>IF(K$51&lt;=Rates!$D$71,'Sell-Compute'!$I$46-'Sell-Compute'!$I$40*(1-(K192/4)),0)-K189</f>
        <v/>
      </c>
      <c r="L201" s="68">
        <f>IF(L$51&lt;=Rates!$D$71,'Sell-Compute'!$I$46-'Sell-Compute'!$I$40*(1-(L192/4)),0)-L189</f>
        <v/>
      </c>
      <c r="M201" s="68">
        <f>IF(M$51&lt;=Rates!$D$71,'Sell-Compute'!$I$46-'Sell-Compute'!$I$40*(1-(M192/4)),0)-M189</f>
        <v/>
      </c>
      <c r="N201" s="68">
        <f>IF(N$51&lt;=Rates!$D$71,'Sell-Compute'!$I$46-'Sell-Compute'!$I$40*(1-(N192/4)),0)-N189</f>
        <v/>
      </c>
      <c r="O201" s="68">
        <f>IF(O$51&lt;=Rates!$D$71,'Sell-Compute'!$I$46-'Sell-Compute'!$I$40*(1-(O192/4)),0)-O189</f>
        <v/>
      </c>
      <c r="P201" s="68">
        <f>IF(P$51&lt;=Rates!$D$71,'Sell-Compute'!$I$46-'Sell-Compute'!$I$40*(1-(P192/4)),0)-P189</f>
        <v/>
      </c>
      <c r="Q201" s="68">
        <f>IF(Q$51&lt;=Rates!$D$71,'Sell-Compute'!$I$46-'Sell-Compute'!$I$40*(1-(Q192/4)),0)-Q189</f>
        <v/>
      </c>
      <c r="R201" s="68">
        <f>IF(R$51&lt;=Rates!$D$71,'Sell-Compute'!$I$46-'Sell-Compute'!$I$40*(1-(R192/4)),0)-R189</f>
        <v/>
      </c>
      <c r="S201" s="68">
        <f>IF(S$51&lt;=Rates!$D$71,'Sell-Compute'!$I$46-'Sell-Compute'!$I$40*(1-(S192/4)),0)-S189</f>
        <v/>
      </c>
      <c r="T201" s="68">
        <f>IF(T$51&lt;=Rates!$D$71,'Sell-Compute'!$I$46-'Sell-Compute'!$I$40*(1-(T192/4)),0)-T189</f>
        <v/>
      </c>
      <c r="U201" s="68">
        <f>IF(U$51&lt;=Rates!$D$71,'Sell-Compute'!$I$46-'Sell-Compute'!$I$40*(1-(U192/4)),0)-U189</f>
        <v/>
      </c>
      <c r="V201" s="68">
        <f>IF(V$51&lt;=Rates!$D$71,'Sell-Compute'!$I$46-'Sell-Compute'!$I$40*(1-(V192/4)),0)-V189</f>
        <v/>
      </c>
      <c r="W201" s="68">
        <f>IF(W$51&lt;=Rates!$D$71,'Sell-Compute'!$I$46-'Sell-Compute'!$I$40*(1-(W192/4)),0)-W189</f>
        <v/>
      </c>
      <c r="X201" s="68">
        <f>IF(X$51&lt;=Rates!$D$71,'Sell-Compute'!$I$46-'Sell-Compute'!$I$40*(1-(X192/4)),0)-X189</f>
        <v/>
      </c>
      <c r="Y201" s="68">
        <f>IF(Y$51&lt;=Rates!$D$71,'Sell-Compute'!$I$46-'Sell-Compute'!$I$40*(1-(Y192/4)),0)-Y189</f>
        <v/>
      </c>
      <c r="Z201" s="68">
        <f>IF(Z$51&lt;=Rates!$D$71,'Sell-Compute'!$I$46-'Sell-Compute'!$I$40*(1-(Z192/4)),0)-Z189</f>
        <v/>
      </c>
      <c r="AA201" s="68">
        <f>IF(AA$51&lt;=Rates!$D$71,'Sell-Compute'!$I$46-'Sell-Compute'!$I$40*(1-(AA192/4)),0)-AA189</f>
        <v/>
      </c>
      <c r="AB201" s="68">
        <f>IF(AB$51&lt;=Rates!$D$71,'Sell-Compute'!$I$46-'Sell-Compute'!$I$40*(1-(AB192/4)),0)-AB189</f>
        <v/>
      </c>
    </row>
    <row r="202">
      <c r="A202" s="68" t="inlineStr">
        <is>
          <t>(c) Build fewer modules | flat</t>
        </is>
      </c>
      <c r="C202" s="68">
        <f>-'Sell-Compute'!$C$36+(1-($G$184/4))*('Sell-Compute'!$C$34+('AU-Route'!$B$31*(1+Control!$B$13)))</f>
        <v/>
      </c>
      <c r="D202" s="68">
        <f>IF(D$51&lt;=Rates!$D$71,('Sell-Compute'!$C$40*(1+'Sell-Compute'!$C$50)^MOD(D$51-1,'Sell-Compute'!$C$21)-'Sell-Compute'!$C$42-'Sell-Compute'!$C$43)*($G$184/4)-'Sell-Compute'!$C$41-'Sell-Compute'!$C$44-'Sell-Compute'!$C$45-IF(AND(MOD(D$51,'Sell-Compute'!$C$21)=0,D$51&lt;Rates!$D$71),'Sell-Compute'!$C$34*($G$184/4),0),0)</f>
        <v/>
      </c>
      <c r="E202" s="68">
        <f>IF(E$51&lt;=Rates!$D$71,('Sell-Compute'!$C$40*(1+'Sell-Compute'!$C$50)^MOD(E$51-1,'Sell-Compute'!$C$21)-'Sell-Compute'!$C$42-'Sell-Compute'!$C$43)*($G$184/4)-'Sell-Compute'!$C$41-'Sell-Compute'!$C$44-'Sell-Compute'!$C$45-IF(AND(MOD(E$51,'Sell-Compute'!$C$21)=0,E$51&lt;Rates!$D$71),'Sell-Compute'!$C$34*($G$184/4),0),0)</f>
        <v/>
      </c>
      <c r="F202" s="68">
        <f>IF(F$51&lt;=Rates!$D$71,('Sell-Compute'!$C$40*(1+'Sell-Compute'!$C$50)^MOD(F$51-1,'Sell-Compute'!$C$21)-'Sell-Compute'!$C$42-'Sell-Compute'!$C$43)*($G$184/4)-'Sell-Compute'!$C$41-'Sell-Compute'!$C$44-'Sell-Compute'!$C$45-IF(AND(MOD(F$51,'Sell-Compute'!$C$21)=0,F$51&lt;Rates!$D$71),'Sell-Compute'!$C$34*($G$184/4),0),0)</f>
        <v/>
      </c>
      <c r="G202" s="68">
        <f>IF(G$51&lt;=Rates!$D$71,('Sell-Compute'!$C$40*(1+'Sell-Compute'!$C$50)^MOD(G$51-1,'Sell-Compute'!$C$21)-'Sell-Compute'!$C$42-'Sell-Compute'!$C$43)*($G$184/4)-'Sell-Compute'!$C$41-'Sell-Compute'!$C$44-'Sell-Compute'!$C$45-IF(AND(MOD(G$51,'Sell-Compute'!$C$21)=0,G$51&lt;Rates!$D$71),'Sell-Compute'!$C$34*($G$184/4),0),0)</f>
        <v/>
      </c>
      <c r="H202" s="68">
        <f>IF(H$51&lt;=Rates!$D$71,('Sell-Compute'!$C$40*(1+'Sell-Compute'!$C$50)^MOD(H$51-1,'Sell-Compute'!$C$21)-'Sell-Compute'!$C$42-'Sell-Compute'!$C$43)*($G$184/4)-'Sell-Compute'!$C$41-'Sell-Compute'!$C$44-'Sell-Compute'!$C$45-IF(AND(MOD(H$51,'Sell-Compute'!$C$21)=0,H$51&lt;Rates!$D$71),'Sell-Compute'!$C$34*($G$184/4),0),0)</f>
        <v/>
      </c>
      <c r="I202" s="68">
        <f>IF(I$51&lt;=Rates!$D$71,('Sell-Compute'!$C$40*(1+'Sell-Compute'!$C$50)^MOD(I$51-1,'Sell-Compute'!$C$21)-'Sell-Compute'!$C$42-'Sell-Compute'!$C$43)*($G$184/4)-'Sell-Compute'!$C$41-'Sell-Compute'!$C$44-'Sell-Compute'!$C$45-IF(AND(MOD(I$51,'Sell-Compute'!$C$21)=0,I$51&lt;Rates!$D$71),'Sell-Compute'!$C$34*($G$184/4),0),0)</f>
        <v/>
      </c>
      <c r="J202" s="68">
        <f>IF(J$51&lt;=Rates!$D$71,('Sell-Compute'!$C$40*(1+'Sell-Compute'!$C$50)^MOD(J$51-1,'Sell-Compute'!$C$21)-'Sell-Compute'!$C$42-'Sell-Compute'!$C$43)*($G$184/4)-'Sell-Compute'!$C$41-'Sell-Compute'!$C$44-'Sell-Compute'!$C$45-IF(AND(MOD(J$51,'Sell-Compute'!$C$21)=0,J$51&lt;Rates!$D$71),'Sell-Compute'!$C$34*($G$184/4),0),0)</f>
        <v/>
      </c>
      <c r="K202" s="68">
        <f>IF(K$51&lt;=Rates!$D$71,('Sell-Compute'!$C$40*(1+'Sell-Compute'!$C$50)^MOD(K$51-1,'Sell-Compute'!$C$21)-'Sell-Compute'!$C$42-'Sell-Compute'!$C$43)*($G$184/4)-'Sell-Compute'!$C$41-'Sell-Compute'!$C$44-'Sell-Compute'!$C$45-IF(AND(MOD(K$51,'Sell-Compute'!$C$21)=0,K$51&lt;Rates!$D$71),'Sell-Compute'!$C$34*($G$184/4),0),0)</f>
        <v/>
      </c>
      <c r="L202" s="68">
        <f>IF(L$51&lt;=Rates!$D$71,('Sell-Compute'!$C$40*(1+'Sell-Compute'!$C$50)^MOD(L$51-1,'Sell-Compute'!$C$21)-'Sell-Compute'!$C$42-'Sell-Compute'!$C$43)*($G$184/4)-'Sell-Compute'!$C$41-'Sell-Compute'!$C$44-'Sell-Compute'!$C$45-IF(AND(MOD(L$51,'Sell-Compute'!$C$21)=0,L$51&lt;Rates!$D$71),'Sell-Compute'!$C$34*($G$184/4),0),0)</f>
        <v/>
      </c>
      <c r="M202" s="68">
        <f>IF(M$51&lt;=Rates!$D$71,('Sell-Compute'!$C$40*(1+'Sell-Compute'!$C$50)^MOD(M$51-1,'Sell-Compute'!$C$21)-'Sell-Compute'!$C$42-'Sell-Compute'!$C$43)*($G$184/4)-'Sell-Compute'!$C$41-'Sell-Compute'!$C$44-'Sell-Compute'!$C$45-IF(AND(MOD(M$51,'Sell-Compute'!$C$21)=0,M$51&lt;Rates!$D$71),'Sell-Compute'!$C$34*($G$184/4),0),0)</f>
        <v/>
      </c>
      <c r="N202" s="68">
        <f>IF(N$51&lt;=Rates!$D$71,('Sell-Compute'!$C$40*(1+'Sell-Compute'!$C$50)^MOD(N$51-1,'Sell-Compute'!$C$21)-'Sell-Compute'!$C$42-'Sell-Compute'!$C$43)*($G$184/4)-'Sell-Compute'!$C$41-'Sell-Compute'!$C$44-'Sell-Compute'!$C$45-IF(AND(MOD(N$51,'Sell-Compute'!$C$21)=0,N$51&lt;Rates!$D$71),'Sell-Compute'!$C$34*($G$184/4),0),0)</f>
        <v/>
      </c>
      <c r="O202" s="68">
        <f>IF(O$51&lt;=Rates!$D$71,('Sell-Compute'!$C$40*(1+'Sell-Compute'!$C$50)^MOD(O$51-1,'Sell-Compute'!$C$21)-'Sell-Compute'!$C$42-'Sell-Compute'!$C$43)*($G$184/4)-'Sell-Compute'!$C$41-'Sell-Compute'!$C$44-'Sell-Compute'!$C$45-IF(AND(MOD(O$51,'Sell-Compute'!$C$21)=0,O$51&lt;Rates!$D$71),'Sell-Compute'!$C$34*($G$184/4),0),0)</f>
        <v/>
      </c>
      <c r="P202" s="68">
        <f>IF(P$51&lt;=Rates!$D$71,('Sell-Compute'!$C$40*(1+'Sell-Compute'!$C$50)^MOD(P$51-1,'Sell-Compute'!$C$21)-'Sell-Compute'!$C$42-'Sell-Compute'!$C$43)*($G$184/4)-'Sell-Compute'!$C$41-'Sell-Compute'!$C$44-'Sell-Compute'!$C$45-IF(AND(MOD(P$51,'Sell-Compute'!$C$21)=0,P$51&lt;Rates!$D$71),'Sell-Compute'!$C$34*($G$184/4),0),0)</f>
        <v/>
      </c>
      <c r="Q202" s="68">
        <f>IF(Q$51&lt;=Rates!$D$71,('Sell-Compute'!$C$40*(1+'Sell-Compute'!$C$50)^MOD(Q$51-1,'Sell-Compute'!$C$21)-'Sell-Compute'!$C$42-'Sell-Compute'!$C$43)*($G$184/4)-'Sell-Compute'!$C$41-'Sell-Compute'!$C$44-'Sell-Compute'!$C$45-IF(AND(MOD(Q$51,'Sell-Compute'!$C$21)=0,Q$51&lt;Rates!$D$71),'Sell-Compute'!$C$34*($G$184/4),0),0)</f>
        <v/>
      </c>
      <c r="R202" s="68">
        <f>IF(R$51&lt;=Rates!$D$71,('Sell-Compute'!$C$40*(1+'Sell-Compute'!$C$50)^MOD(R$51-1,'Sell-Compute'!$C$21)-'Sell-Compute'!$C$42-'Sell-Compute'!$C$43)*($G$184/4)-'Sell-Compute'!$C$41-'Sell-Compute'!$C$44-'Sell-Compute'!$C$45-IF(AND(MOD(R$51,'Sell-Compute'!$C$21)=0,R$51&lt;Rates!$D$71),'Sell-Compute'!$C$34*($G$184/4),0),0)</f>
        <v/>
      </c>
      <c r="S202" s="68">
        <f>IF(S$51&lt;=Rates!$D$71,('Sell-Compute'!$C$40*(1+'Sell-Compute'!$C$50)^MOD(S$51-1,'Sell-Compute'!$C$21)-'Sell-Compute'!$C$42-'Sell-Compute'!$C$43)*($G$184/4)-'Sell-Compute'!$C$41-'Sell-Compute'!$C$44-'Sell-Compute'!$C$45-IF(AND(MOD(S$51,'Sell-Compute'!$C$21)=0,S$51&lt;Rates!$D$71),'Sell-Compute'!$C$34*($G$184/4),0),0)</f>
        <v/>
      </c>
      <c r="T202" s="68">
        <f>IF(T$51&lt;=Rates!$D$71,('Sell-Compute'!$C$40*(1+'Sell-Compute'!$C$50)^MOD(T$51-1,'Sell-Compute'!$C$21)-'Sell-Compute'!$C$42-'Sell-Compute'!$C$43)*($G$184/4)-'Sell-Compute'!$C$41-'Sell-Compute'!$C$44-'Sell-Compute'!$C$45-IF(AND(MOD(T$51,'Sell-Compute'!$C$21)=0,T$51&lt;Rates!$D$71),'Sell-Compute'!$C$34*($G$184/4),0),0)</f>
        <v/>
      </c>
      <c r="U202" s="68">
        <f>IF(U$51&lt;=Rates!$D$71,('Sell-Compute'!$C$40*(1+'Sell-Compute'!$C$50)^MOD(U$51-1,'Sell-Compute'!$C$21)-'Sell-Compute'!$C$42-'Sell-Compute'!$C$43)*($G$184/4)-'Sell-Compute'!$C$41-'Sell-Compute'!$C$44-'Sell-Compute'!$C$45-IF(AND(MOD(U$51,'Sell-Compute'!$C$21)=0,U$51&lt;Rates!$D$71),'Sell-Compute'!$C$34*($G$184/4),0),0)</f>
        <v/>
      </c>
      <c r="V202" s="68">
        <f>IF(V$51&lt;=Rates!$D$71,('Sell-Compute'!$C$40*(1+'Sell-Compute'!$C$50)^MOD(V$51-1,'Sell-Compute'!$C$21)-'Sell-Compute'!$C$42-'Sell-Compute'!$C$43)*($G$184/4)-'Sell-Compute'!$C$41-'Sell-Compute'!$C$44-'Sell-Compute'!$C$45-IF(AND(MOD(V$51,'Sell-Compute'!$C$21)=0,V$51&lt;Rates!$D$71),'Sell-Compute'!$C$34*($G$184/4),0),0)</f>
        <v/>
      </c>
      <c r="W202" s="68">
        <f>IF(W$51&lt;=Rates!$D$71,('Sell-Compute'!$C$40*(1+'Sell-Compute'!$C$50)^MOD(W$51-1,'Sell-Compute'!$C$21)-'Sell-Compute'!$C$42-'Sell-Compute'!$C$43)*($G$184/4)-'Sell-Compute'!$C$41-'Sell-Compute'!$C$44-'Sell-Compute'!$C$45-IF(AND(MOD(W$51,'Sell-Compute'!$C$21)=0,W$51&lt;Rates!$D$71),'Sell-Compute'!$C$34*($G$184/4),0),0)</f>
        <v/>
      </c>
      <c r="X202" s="68">
        <f>IF(X$51&lt;=Rates!$D$71,('Sell-Compute'!$C$40*(1+'Sell-Compute'!$C$50)^MOD(X$51-1,'Sell-Compute'!$C$21)-'Sell-Compute'!$C$42-'Sell-Compute'!$C$43)*($G$184/4)-'Sell-Compute'!$C$41-'Sell-Compute'!$C$44-'Sell-Compute'!$C$45-IF(AND(MOD(X$51,'Sell-Compute'!$C$21)=0,X$51&lt;Rates!$D$71),'Sell-Compute'!$C$34*($G$184/4),0),0)</f>
        <v/>
      </c>
      <c r="Y202" s="68">
        <f>IF(Y$51&lt;=Rates!$D$71,('Sell-Compute'!$C$40*(1+'Sell-Compute'!$C$50)^MOD(Y$51-1,'Sell-Compute'!$C$21)-'Sell-Compute'!$C$42-'Sell-Compute'!$C$43)*($G$184/4)-'Sell-Compute'!$C$41-'Sell-Compute'!$C$44-'Sell-Compute'!$C$45-IF(AND(MOD(Y$51,'Sell-Compute'!$C$21)=0,Y$51&lt;Rates!$D$71),'Sell-Compute'!$C$34*($G$184/4),0),0)</f>
        <v/>
      </c>
      <c r="Z202" s="68">
        <f>IF(Z$51&lt;=Rates!$D$71,('Sell-Compute'!$C$40*(1+'Sell-Compute'!$C$50)^MOD(Z$51-1,'Sell-Compute'!$C$21)-'Sell-Compute'!$C$42-'Sell-Compute'!$C$43)*($G$184/4)-'Sell-Compute'!$C$41-'Sell-Compute'!$C$44-'Sell-Compute'!$C$45-IF(AND(MOD(Z$51,'Sell-Compute'!$C$21)=0,Z$51&lt;Rates!$D$71),'Sell-Compute'!$C$34*($G$184/4),0),0)</f>
        <v/>
      </c>
      <c r="AA202" s="68">
        <f>IF(AA$51&lt;=Rates!$D$71,('Sell-Compute'!$C$40*(1+'Sell-Compute'!$C$50)^MOD(AA$51-1,'Sell-Compute'!$C$21)-'Sell-Compute'!$C$42-'Sell-Compute'!$C$43)*($G$184/4)-'Sell-Compute'!$C$41-'Sell-Compute'!$C$44-'Sell-Compute'!$C$45-IF(AND(MOD(AA$51,'Sell-Compute'!$C$21)=0,AA$51&lt;Rates!$D$71),'Sell-Compute'!$C$34*($G$184/4),0),0)</f>
        <v/>
      </c>
      <c r="AB202" s="68">
        <f>IF(AB$51&lt;=Rates!$D$71,('Sell-Compute'!$C$40*(1+'Sell-Compute'!$C$50)^MOD(AB$51-1,'Sell-Compute'!$C$21)-'Sell-Compute'!$C$42-'Sell-Compute'!$C$43)*($G$184/4)-'Sell-Compute'!$C$41-'Sell-Compute'!$C$44-'Sell-Compute'!$C$45-IF(AND(MOD(AB$51,'Sell-Compute'!$C$21)=0,AB$51&lt;Rates!$D$71),'Sell-Compute'!$C$34*($G$184/4),0),0)</f>
        <v/>
      </c>
    </row>
    <row r="203">
      <c r="A203" s="68" t="inlineStr">
        <is>
          <t>(c) Build fewer modules | dec</t>
        </is>
      </c>
      <c r="C203" s="68">
        <f>-'Sell-Compute'!$B$36+(1-($G$184/4))*('Sell-Compute'!$B$34+('AU-Route'!$B$31*(1+Control!$B$13)))</f>
        <v/>
      </c>
      <c r="D203" s="68">
        <f>IF(D$51&lt;=Rates!$D$71,('Sell-Compute'!$B$40*(1+'Sell-Compute'!$B$50)^MOD(D$51-1,'Sell-Compute'!$C$21)-'Sell-Compute'!$B$42-'Sell-Compute'!$B$43)*($G$184/4)-'Sell-Compute'!$B$41-'Sell-Compute'!$B$44-'Sell-Compute'!$B$45-IF(AND(MOD(D$51,'Sell-Compute'!$C$21)=0,D$51&lt;Rates!$D$71),'Sell-Compute'!$B$34*($G$184/4),0),0)</f>
        <v/>
      </c>
      <c r="E203" s="68">
        <f>IF(E$51&lt;=Rates!$D$71,('Sell-Compute'!$B$40*(1+'Sell-Compute'!$B$50)^MOD(E$51-1,'Sell-Compute'!$C$21)-'Sell-Compute'!$B$42-'Sell-Compute'!$B$43)*($G$184/4)-'Sell-Compute'!$B$41-'Sell-Compute'!$B$44-'Sell-Compute'!$B$45-IF(AND(MOD(E$51,'Sell-Compute'!$C$21)=0,E$51&lt;Rates!$D$71),'Sell-Compute'!$B$34*($G$184/4),0),0)</f>
        <v/>
      </c>
      <c r="F203" s="68">
        <f>IF(F$51&lt;=Rates!$D$71,('Sell-Compute'!$B$40*(1+'Sell-Compute'!$B$50)^MOD(F$51-1,'Sell-Compute'!$C$21)-'Sell-Compute'!$B$42-'Sell-Compute'!$B$43)*($G$184/4)-'Sell-Compute'!$B$41-'Sell-Compute'!$B$44-'Sell-Compute'!$B$45-IF(AND(MOD(F$51,'Sell-Compute'!$C$21)=0,F$51&lt;Rates!$D$71),'Sell-Compute'!$B$34*($G$184/4),0),0)</f>
        <v/>
      </c>
      <c r="G203" s="68">
        <f>IF(G$51&lt;=Rates!$D$71,('Sell-Compute'!$B$40*(1+'Sell-Compute'!$B$50)^MOD(G$51-1,'Sell-Compute'!$C$21)-'Sell-Compute'!$B$42-'Sell-Compute'!$B$43)*($G$184/4)-'Sell-Compute'!$B$41-'Sell-Compute'!$B$44-'Sell-Compute'!$B$45-IF(AND(MOD(G$51,'Sell-Compute'!$C$21)=0,G$51&lt;Rates!$D$71),'Sell-Compute'!$B$34*($G$184/4),0),0)</f>
        <v/>
      </c>
      <c r="H203" s="68">
        <f>IF(H$51&lt;=Rates!$D$71,('Sell-Compute'!$B$40*(1+'Sell-Compute'!$B$50)^MOD(H$51-1,'Sell-Compute'!$C$21)-'Sell-Compute'!$B$42-'Sell-Compute'!$B$43)*($G$184/4)-'Sell-Compute'!$B$41-'Sell-Compute'!$B$44-'Sell-Compute'!$B$45-IF(AND(MOD(H$51,'Sell-Compute'!$C$21)=0,H$51&lt;Rates!$D$71),'Sell-Compute'!$B$34*($G$184/4),0),0)</f>
        <v/>
      </c>
      <c r="I203" s="68">
        <f>IF(I$51&lt;=Rates!$D$71,('Sell-Compute'!$B$40*(1+'Sell-Compute'!$B$50)^MOD(I$51-1,'Sell-Compute'!$C$21)-'Sell-Compute'!$B$42-'Sell-Compute'!$B$43)*($G$184/4)-'Sell-Compute'!$B$41-'Sell-Compute'!$B$44-'Sell-Compute'!$B$45-IF(AND(MOD(I$51,'Sell-Compute'!$C$21)=0,I$51&lt;Rates!$D$71),'Sell-Compute'!$B$34*($G$184/4),0),0)</f>
        <v/>
      </c>
      <c r="J203" s="68">
        <f>IF(J$51&lt;=Rates!$D$71,('Sell-Compute'!$B$40*(1+'Sell-Compute'!$B$50)^MOD(J$51-1,'Sell-Compute'!$C$21)-'Sell-Compute'!$B$42-'Sell-Compute'!$B$43)*($G$184/4)-'Sell-Compute'!$B$41-'Sell-Compute'!$B$44-'Sell-Compute'!$B$45-IF(AND(MOD(J$51,'Sell-Compute'!$C$21)=0,J$51&lt;Rates!$D$71),'Sell-Compute'!$B$34*($G$184/4),0),0)</f>
        <v/>
      </c>
      <c r="K203" s="68">
        <f>IF(K$51&lt;=Rates!$D$71,('Sell-Compute'!$B$40*(1+'Sell-Compute'!$B$50)^MOD(K$51-1,'Sell-Compute'!$C$21)-'Sell-Compute'!$B$42-'Sell-Compute'!$B$43)*($G$184/4)-'Sell-Compute'!$B$41-'Sell-Compute'!$B$44-'Sell-Compute'!$B$45-IF(AND(MOD(K$51,'Sell-Compute'!$C$21)=0,K$51&lt;Rates!$D$71),'Sell-Compute'!$B$34*($G$184/4),0),0)</f>
        <v/>
      </c>
      <c r="L203" s="68">
        <f>IF(L$51&lt;=Rates!$D$71,('Sell-Compute'!$B$40*(1+'Sell-Compute'!$B$50)^MOD(L$51-1,'Sell-Compute'!$C$21)-'Sell-Compute'!$B$42-'Sell-Compute'!$B$43)*($G$184/4)-'Sell-Compute'!$B$41-'Sell-Compute'!$B$44-'Sell-Compute'!$B$45-IF(AND(MOD(L$51,'Sell-Compute'!$C$21)=0,L$51&lt;Rates!$D$71),'Sell-Compute'!$B$34*($G$184/4),0),0)</f>
        <v/>
      </c>
      <c r="M203" s="68">
        <f>IF(M$51&lt;=Rates!$D$71,('Sell-Compute'!$B$40*(1+'Sell-Compute'!$B$50)^MOD(M$51-1,'Sell-Compute'!$C$21)-'Sell-Compute'!$B$42-'Sell-Compute'!$B$43)*($G$184/4)-'Sell-Compute'!$B$41-'Sell-Compute'!$B$44-'Sell-Compute'!$B$45-IF(AND(MOD(M$51,'Sell-Compute'!$C$21)=0,M$51&lt;Rates!$D$71),'Sell-Compute'!$B$34*($G$184/4),0),0)</f>
        <v/>
      </c>
      <c r="N203" s="68">
        <f>IF(N$51&lt;=Rates!$D$71,('Sell-Compute'!$B$40*(1+'Sell-Compute'!$B$50)^MOD(N$51-1,'Sell-Compute'!$C$21)-'Sell-Compute'!$B$42-'Sell-Compute'!$B$43)*($G$184/4)-'Sell-Compute'!$B$41-'Sell-Compute'!$B$44-'Sell-Compute'!$B$45-IF(AND(MOD(N$51,'Sell-Compute'!$C$21)=0,N$51&lt;Rates!$D$71),'Sell-Compute'!$B$34*($G$184/4),0),0)</f>
        <v/>
      </c>
      <c r="O203" s="68">
        <f>IF(O$51&lt;=Rates!$D$71,('Sell-Compute'!$B$40*(1+'Sell-Compute'!$B$50)^MOD(O$51-1,'Sell-Compute'!$C$21)-'Sell-Compute'!$B$42-'Sell-Compute'!$B$43)*($G$184/4)-'Sell-Compute'!$B$41-'Sell-Compute'!$B$44-'Sell-Compute'!$B$45-IF(AND(MOD(O$51,'Sell-Compute'!$C$21)=0,O$51&lt;Rates!$D$71),'Sell-Compute'!$B$34*($G$184/4),0),0)</f>
        <v/>
      </c>
      <c r="P203" s="68">
        <f>IF(P$51&lt;=Rates!$D$71,('Sell-Compute'!$B$40*(1+'Sell-Compute'!$B$50)^MOD(P$51-1,'Sell-Compute'!$C$21)-'Sell-Compute'!$B$42-'Sell-Compute'!$B$43)*($G$184/4)-'Sell-Compute'!$B$41-'Sell-Compute'!$B$44-'Sell-Compute'!$B$45-IF(AND(MOD(P$51,'Sell-Compute'!$C$21)=0,P$51&lt;Rates!$D$71),'Sell-Compute'!$B$34*($G$184/4),0),0)</f>
        <v/>
      </c>
      <c r="Q203" s="68">
        <f>IF(Q$51&lt;=Rates!$D$71,('Sell-Compute'!$B$40*(1+'Sell-Compute'!$B$50)^MOD(Q$51-1,'Sell-Compute'!$C$21)-'Sell-Compute'!$B$42-'Sell-Compute'!$B$43)*($G$184/4)-'Sell-Compute'!$B$41-'Sell-Compute'!$B$44-'Sell-Compute'!$B$45-IF(AND(MOD(Q$51,'Sell-Compute'!$C$21)=0,Q$51&lt;Rates!$D$71),'Sell-Compute'!$B$34*($G$184/4),0),0)</f>
        <v/>
      </c>
      <c r="R203" s="68">
        <f>IF(R$51&lt;=Rates!$D$71,('Sell-Compute'!$B$40*(1+'Sell-Compute'!$B$50)^MOD(R$51-1,'Sell-Compute'!$C$21)-'Sell-Compute'!$B$42-'Sell-Compute'!$B$43)*($G$184/4)-'Sell-Compute'!$B$41-'Sell-Compute'!$B$44-'Sell-Compute'!$B$45-IF(AND(MOD(R$51,'Sell-Compute'!$C$21)=0,R$51&lt;Rates!$D$71),'Sell-Compute'!$B$34*($G$184/4),0),0)</f>
        <v/>
      </c>
      <c r="S203" s="68">
        <f>IF(S$51&lt;=Rates!$D$71,('Sell-Compute'!$B$40*(1+'Sell-Compute'!$B$50)^MOD(S$51-1,'Sell-Compute'!$C$21)-'Sell-Compute'!$B$42-'Sell-Compute'!$B$43)*($G$184/4)-'Sell-Compute'!$B$41-'Sell-Compute'!$B$44-'Sell-Compute'!$B$45-IF(AND(MOD(S$51,'Sell-Compute'!$C$21)=0,S$51&lt;Rates!$D$71),'Sell-Compute'!$B$34*($G$184/4),0),0)</f>
        <v/>
      </c>
      <c r="T203" s="68">
        <f>IF(T$51&lt;=Rates!$D$71,('Sell-Compute'!$B$40*(1+'Sell-Compute'!$B$50)^MOD(T$51-1,'Sell-Compute'!$C$21)-'Sell-Compute'!$B$42-'Sell-Compute'!$B$43)*($G$184/4)-'Sell-Compute'!$B$41-'Sell-Compute'!$B$44-'Sell-Compute'!$B$45-IF(AND(MOD(T$51,'Sell-Compute'!$C$21)=0,T$51&lt;Rates!$D$71),'Sell-Compute'!$B$34*($G$184/4),0),0)</f>
        <v/>
      </c>
      <c r="U203" s="68">
        <f>IF(U$51&lt;=Rates!$D$71,('Sell-Compute'!$B$40*(1+'Sell-Compute'!$B$50)^MOD(U$51-1,'Sell-Compute'!$C$21)-'Sell-Compute'!$B$42-'Sell-Compute'!$B$43)*($G$184/4)-'Sell-Compute'!$B$41-'Sell-Compute'!$B$44-'Sell-Compute'!$B$45-IF(AND(MOD(U$51,'Sell-Compute'!$C$21)=0,U$51&lt;Rates!$D$71),'Sell-Compute'!$B$34*($G$184/4),0),0)</f>
        <v/>
      </c>
      <c r="V203" s="68">
        <f>IF(V$51&lt;=Rates!$D$71,('Sell-Compute'!$B$40*(1+'Sell-Compute'!$B$50)^MOD(V$51-1,'Sell-Compute'!$C$21)-'Sell-Compute'!$B$42-'Sell-Compute'!$B$43)*($G$184/4)-'Sell-Compute'!$B$41-'Sell-Compute'!$B$44-'Sell-Compute'!$B$45-IF(AND(MOD(V$51,'Sell-Compute'!$C$21)=0,V$51&lt;Rates!$D$71),'Sell-Compute'!$B$34*($G$184/4),0),0)</f>
        <v/>
      </c>
      <c r="W203" s="68">
        <f>IF(W$51&lt;=Rates!$D$71,('Sell-Compute'!$B$40*(1+'Sell-Compute'!$B$50)^MOD(W$51-1,'Sell-Compute'!$C$21)-'Sell-Compute'!$B$42-'Sell-Compute'!$B$43)*($G$184/4)-'Sell-Compute'!$B$41-'Sell-Compute'!$B$44-'Sell-Compute'!$B$45-IF(AND(MOD(W$51,'Sell-Compute'!$C$21)=0,W$51&lt;Rates!$D$71),'Sell-Compute'!$B$34*($G$184/4),0),0)</f>
        <v/>
      </c>
      <c r="X203" s="68">
        <f>IF(X$51&lt;=Rates!$D$71,('Sell-Compute'!$B$40*(1+'Sell-Compute'!$B$50)^MOD(X$51-1,'Sell-Compute'!$C$21)-'Sell-Compute'!$B$42-'Sell-Compute'!$B$43)*($G$184/4)-'Sell-Compute'!$B$41-'Sell-Compute'!$B$44-'Sell-Compute'!$B$45-IF(AND(MOD(X$51,'Sell-Compute'!$C$21)=0,X$51&lt;Rates!$D$71),'Sell-Compute'!$B$34*($G$184/4),0),0)</f>
        <v/>
      </c>
      <c r="Y203" s="68">
        <f>IF(Y$51&lt;=Rates!$D$71,('Sell-Compute'!$B$40*(1+'Sell-Compute'!$B$50)^MOD(Y$51-1,'Sell-Compute'!$C$21)-'Sell-Compute'!$B$42-'Sell-Compute'!$B$43)*($G$184/4)-'Sell-Compute'!$B$41-'Sell-Compute'!$B$44-'Sell-Compute'!$B$45-IF(AND(MOD(Y$51,'Sell-Compute'!$C$21)=0,Y$51&lt;Rates!$D$71),'Sell-Compute'!$B$34*($G$184/4),0),0)</f>
        <v/>
      </c>
      <c r="Z203" s="68">
        <f>IF(Z$51&lt;=Rates!$D$71,('Sell-Compute'!$B$40*(1+'Sell-Compute'!$B$50)^MOD(Z$51-1,'Sell-Compute'!$C$21)-'Sell-Compute'!$B$42-'Sell-Compute'!$B$43)*($G$184/4)-'Sell-Compute'!$B$41-'Sell-Compute'!$B$44-'Sell-Compute'!$B$45-IF(AND(MOD(Z$51,'Sell-Compute'!$C$21)=0,Z$51&lt;Rates!$D$71),'Sell-Compute'!$B$34*($G$184/4),0),0)</f>
        <v/>
      </c>
      <c r="AA203" s="68">
        <f>IF(AA$51&lt;=Rates!$D$71,('Sell-Compute'!$B$40*(1+'Sell-Compute'!$B$50)^MOD(AA$51-1,'Sell-Compute'!$C$21)-'Sell-Compute'!$B$42-'Sell-Compute'!$B$43)*($G$184/4)-'Sell-Compute'!$B$41-'Sell-Compute'!$B$44-'Sell-Compute'!$B$45-IF(AND(MOD(AA$51,'Sell-Compute'!$C$21)=0,AA$51&lt;Rates!$D$71),'Sell-Compute'!$B$34*($G$184/4),0),0)</f>
        <v/>
      </c>
      <c r="AB203" s="68">
        <f>IF(AB$51&lt;=Rates!$D$71,('Sell-Compute'!$B$40*(1+'Sell-Compute'!$B$50)^MOD(AB$51-1,'Sell-Compute'!$C$21)-'Sell-Compute'!$B$42-'Sell-Compute'!$B$43)*($G$184/4)-'Sell-Compute'!$B$41-'Sell-Compute'!$B$44-'Sell-Compute'!$B$45-IF(AND(MOD(AB$51,'Sell-Compute'!$C$21)=0,AB$51&lt;Rates!$D$71),'Sell-Compute'!$B$34*($G$184/4),0),0)</f>
        <v/>
      </c>
    </row>
    <row r="204">
      <c r="A204" s="68" t="inlineStr">
        <is>
          <t>(c) Build fewer modules | colo</t>
        </is>
      </c>
      <c r="C204" s="68">
        <f>-'Sell-Compute'!$I$36+(1-($G$184/4))*('AU-Route'!$B$31*(1+Control!$B$13))</f>
        <v/>
      </c>
      <c r="D204" s="68">
        <f>IF(D$51&lt;=Rates!$D$71,'Sell-Compute'!$I$46-'Sell-Compute'!$I$40*(1-($G$184/4)),0)</f>
        <v/>
      </c>
      <c r="E204" s="68">
        <f>IF(E$51&lt;=Rates!$D$71,'Sell-Compute'!$I$46-'Sell-Compute'!$I$40*(1-($G$184/4)),0)</f>
        <v/>
      </c>
      <c r="F204" s="68">
        <f>IF(F$51&lt;=Rates!$D$71,'Sell-Compute'!$I$46-'Sell-Compute'!$I$40*(1-($G$184/4)),0)</f>
        <v/>
      </c>
      <c r="G204" s="68">
        <f>IF(G$51&lt;=Rates!$D$71,'Sell-Compute'!$I$46-'Sell-Compute'!$I$40*(1-($G$184/4)),0)</f>
        <v/>
      </c>
      <c r="H204" s="68">
        <f>IF(H$51&lt;=Rates!$D$71,'Sell-Compute'!$I$46-'Sell-Compute'!$I$40*(1-($G$184/4)),0)</f>
        <v/>
      </c>
      <c r="I204" s="68">
        <f>IF(I$51&lt;=Rates!$D$71,'Sell-Compute'!$I$46-'Sell-Compute'!$I$40*(1-($G$184/4)),0)</f>
        <v/>
      </c>
      <c r="J204" s="68">
        <f>IF(J$51&lt;=Rates!$D$71,'Sell-Compute'!$I$46-'Sell-Compute'!$I$40*(1-($G$184/4)),0)</f>
        <v/>
      </c>
      <c r="K204" s="68">
        <f>IF(K$51&lt;=Rates!$D$71,'Sell-Compute'!$I$46-'Sell-Compute'!$I$40*(1-($G$184/4)),0)</f>
        <v/>
      </c>
      <c r="L204" s="68">
        <f>IF(L$51&lt;=Rates!$D$71,'Sell-Compute'!$I$46-'Sell-Compute'!$I$40*(1-($G$184/4)),0)</f>
        <v/>
      </c>
      <c r="M204" s="68">
        <f>IF(M$51&lt;=Rates!$D$71,'Sell-Compute'!$I$46-'Sell-Compute'!$I$40*(1-($G$184/4)),0)</f>
        <v/>
      </c>
      <c r="N204" s="68">
        <f>IF(N$51&lt;=Rates!$D$71,'Sell-Compute'!$I$46-'Sell-Compute'!$I$40*(1-($G$184/4)),0)</f>
        <v/>
      </c>
      <c r="O204" s="68">
        <f>IF(O$51&lt;=Rates!$D$71,'Sell-Compute'!$I$46-'Sell-Compute'!$I$40*(1-($G$184/4)),0)</f>
        <v/>
      </c>
      <c r="P204" s="68">
        <f>IF(P$51&lt;=Rates!$D$71,'Sell-Compute'!$I$46-'Sell-Compute'!$I$40*(1-($G$184/4)),0)</f>
        <v/>
      </c>
      <c r="Q204" s="68">
        <f>IF(Q$51&lt;=Rates!$D$71,'Sell-Compute'!$I$46-'Sell-Compute'!$I$40*(1-($G$184/4)),0)</f>
        <v/>
      </c>
      <c r="R204" s="68">
        <f>IF(R$51&lt;=Rates!$D$71,'Sell-Compute'!$I$46-'Sell-Compute'!$I$40*(1-($G$184/4)),0)</f>
        <v/>
      </c>
      <c r="S204" s="68">
        <f>IF(S$51&lt;=Rates!$D$71,'Sell-Compute'!$I$46-'Sell-Compute'!$I$40*(1-($G$184/4)),0)</f>
        <v/>
      </c>
      <c r="T204" s="68">
        <f>IF(T$51&lt;=Rates!$D$71,'Sell-Compute'!$I$46-'Sell-Compute'!$I$40*(1-($G$184/4)),0)</f>
        <v/>
      </c>
      <c r="U204" s="68">
        <f>IF(U$51&lt;=Rates!$D$71,'Sell-Compute'!$I$46-'Sell-Compute'!$I$40*(1-($G$184/4)),0)</f>
        <v/>
      </c>
      <c r="V204" s="68">
        <f>IF(V$51&lt;=Rates!$D$71,'Sell-Compute'!$I$46-'Sell-Compute'!$I$40*(1-($G$184/4)),0)</f>
        <v/>
      </c>
      <c r="W204" s="68">
        <f>IF(W$51&lt;=Rates!$D$71,'Sell-Compute'!$I$46-'Sell-Compute'!$I$40*(1-($G$184/4)),0)</f>
        <v/>
      </c>
      <c r="X204" s="68">
        <f>IF(X$51&lt;=Rates!$D$71,'Sell-Compute'!$I$46-'Sell-Compute'!$I$40*(1-($G$184/4)),0)</f>
        <v/>
      </c>
      <c r="Y204" s="68">
        <f>IF(Y$51&lt;=Rates!$D$71,'Sell-Compute'!$I$46-'Sell-Compute'!$I$40*(1-($G$184/4)),0)</f>
        <v/>
      </c>
      <c r="Z204" s="68">
        <f>IF(Z$51&lt;=Rates!$D$71,'Sell-Compute'!$I$46-'Sell-Compute'!$I$40*(1-($G$184/4)),0)</f>
        <v/>
      </c>
      <c r="AA204" s="68">
        <f>IF(AA$51&lt;=Rates!$D$71,'Sell-Compute'!$I$46-'Sell-Compute'!$I$40*(1-($G$184/4)),0)</f>
        <v/>
      </c>
      <c r="AB204" s="68">
        <f>IF(AB$51&lt;=Rates!$D$71,'Sell-Compute'!$I$46-'Sell-Compute'!$I$40*(1-($G$184/4)),0)</f>
        <v/>
      </c>
    </row>
  </sheetData>
  <mergeCells count="1">
    <mergeCell ref="A2:K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B37"/>
  <sheetViews>
    <sheetView workbookViewId="0">
      <selection activeCell="A1" sqref="A1"/>
    </sheetView>
  </sheetViews>
  <sheetFormatPr baseColWidth="8" defaultRowHeight="15"/>
  <cols>
    <col width="52" customWidth="1" style="69" min="1" max="1"/>
    <col width="18" customWidth="1" style="69" min="2" max="2"/>
    <col width="12" customWidth="1" style="69" min="3" max="3"/>
    <col width="18" customWidth="1" style="69" min="4" max="4"/>
    <col width="18" customWidth="1" style="69" min="5" max="5"/>
    <col width="18" customWidth="1" style="69" min="6" max="6"/>
  </cols>
  <sheetData>
    <row r="1">
      <c r="A1" s="100" t="inlineStr">
        <is>
          <t>ARCHEGON  ·  COMPARATOR — the same 5 MW hall in metro Adelaide on grid power. Same rent, GPUs and team; no wells, no ORC, no remote loading.</t>
        </is>
      </c>
      <c r="B1" s="101" t="n"/>
      <c r="C1" s="101" t="n"/>
      <c r="D1" s="101" t="n"/>
      <c r="E1" s="101" t="n"/>
      <c r="F1" s="101" t="n"/>
      <c r="G1" s="101" t="n"/>
      <c r="H1" s="101" t="n"/>
    </row>
    <row r="2" ht="45" customHeight="1" s="69">
      <c r="A2" s="135" t="inlineStr">
        <is>
          <t>Answers the round-2/3 critique: does the geothermal site beat a grid-connected metro hall on the model's own numbers? Grid price = SA wholesale + SAPN HV network (energy + demand) + retail margin. Connection uses the proposed NSW metro fee as a proxy; augmentation beyond it is RATE_MISSING. Speed-to-power value (Rates D25) is not added to either case.</t>
        </is>
      </c>
    </row>
    <row r="3"/>
    <row r="4"/>
    <row r="5">
      <c r="A5" s="68" t="inlineStr">
        <is>
          <t>Facility load, MW</t>
        </is>
      </c>
      <c r="B5" s="123">
        <f>Control!$B$12*Control!$B$17</f>
        <v/>
      </c>
    </row>
    <row r="6">
      <c r="A6" s="68" t="inlineStr">
        <is>
          <t>Energy, MWh/yr</t>
        </is>
      </c>
      <c r="B6" s="90">
        <f>'Compute-Revenue'!$B$7</f>
        <v/>
      </c>
    </row>
    <row r="7">
      <c r="A7" s="68" t="inlineStr">
        <is>
          <t>SA wholesale, A$/MWh</t>
        </is>
      </c>
      <c r="B7" s="143">
        <f>Rates!$D$72</f>
        <v/>
      </c>
    </row>
    <row r="8">
      <c r="A8" s="68" t="inlineStr">
        <is>
          <t>SAPN network energy, A$/MWh</t>
        </is>
      </c>
      <c r="B8" s="143">
        <f>(Rates!$D$101*Rates!$D$98+(1-Rates!$D$101)*Rates!$D$99)*1000</f>
        <v/>
      </c>
    </row>
    <row r="9">
      <c r="A9" s="68" t="inlineStr">
        <is>
          <t>SAPN demand charge, A$/MWh</t>
        </is>
      </c>
      <c r="B9" s="143">
        <f>Rates!$D$100*B5*1000*365/B6</f>
        <v/>
      </c>
    </row>
    <row r="10">
      <c r="A10" s="68" t="inlineStr">
        <is>
          <t>Delivered grid price incl. retail margin, A$/MWh</t>
        </is>
      </c>
      <c r="B10" s="143">
        <f>(B7+B8+B9)*(1+Rates!$D$102)</f>
        <v/>
      </c>
    </row>
    <row r="11">
      <c r="A11" s="68" t="inlineStr">
        <is>
          <t>Grid energy cost, A$/yr</t>
        </is>
      </c>
      <c r="B11" s="90">
        <f>B10*B6</f>
        <v/>
      </c>
    </row>
    <row r="12">
      <c r="A12" s="68" t="inlineStr">
        <is>
          <t>Hall capex (shell + liquid, no remote loading) incl. contingency</t>
        </is>
      </c>
      <c r="B12" s="90">
        <f>('AU-Route'!$B$26+'AU-Route'!$B$27)*(1+Control!$B$13)</f>
        <v/>
      </c>
    </row>
    <row r="13">
      <c r="A13" s="68" t="inlineStr">
        <is>
          <t>Grid connection fee</t>
        </is>
      </c>
      <c r="B13" s="90">
        <f>Rates!$D$96*B5</f>
        <v/>
      </c>
    </row>
    <row r="14">
      <c r="A14" s="68" t="inlineStr">
        <is>
          <t>Runway (same as AU)</t>
        </is>
      </c>
      <c r="B14" s="90">
        <f>Raise!$B$11</f>
        <v/>
      </c>
    </row>
    <row r="15">
      <c r="A15" s="68" t="inlineStr">
        <is>
          <t>METRO COLO CAPITAL</t>
        </is>
      </c>
      <c r="B15" s="90">
        <f>B12+B13+B14</f>
        <v/>
      </c>
    </row>
    <row r="16">
      <c r="A16" s="68" t="inlineStr">
        <is>
          <t>Colo revenue, A$/yr (same rate)</t>
        </is>
      </c>
      <c r="B16" s="90">
        <f>'Compute-Revenue'!$B$10</f>
        <v/>
      </c>
    </row>
    <row r="17">
      <c r="A17" s="68" t="inlineStr">
        <is>
          <t>Team + overhead, A$/yr</t>
        </is>
      </c>
      <c r="B17" s="90">
        <f>'Compute-Revenue'!$B$27</f>
        <v/>
      </c>
    </row>
    <row r="18">
      <c r="A18" s="68" t="inlineStr">
        <is>
          <t>Colo contribution, A$/yr</t>
        </is>
      </c>
      <c r="B18" s="90">
        <f>B16-B11-B17</f>
        <v/>
      </c>
    </row>
    <row r="19">
      <c r="A19" s="68" t="inlineStr">
        <is>
          <t>Connection lead time, months</t>
        </is>
      </c>
      <c r="B19" s="144">
        <f>Rates!$D$97</f>
        <v/>
      </c>
    </row>
    <row r="20"/>
    <row r="21"/>
    <row r="22"/>
    <row r="23"/>
    <row r="24"/>
    <row r="25">
      <c r="A25" s="68" t="inlineStr">
        <is>
          <t>Cash flows (year 0 in column C)</t>
        </is>
      </c>
    </row>
    <row r="26">
      <c r="A26" s="68" t="inlineStr">
        <is>
          <t>Year</t>
        </is>
      </c>
      <c r="C26" s="68" t="n">
        <v>0</v>
      </c>
      <c r="D26" s="68" t="n">
        <v>1</v>
      </c>
      <c r="E26" s="68" t="n">
        <v>2</v>
      </c>
      <c r="F26" s="68" t="n">
        <v>3</v>
      </c>
      <c r="G26" s="68" t="n">
        <v>4</v>
      </c>
      <c r="H26" s="68" t="n">
        <v>5</v>
      </c>
      <c r="I26" s="68" t="n">
        <v>6</v>
      </c>
      <c r="J26" s="68" t="n">
        <v>7</v>
      </c>
      <c r="K26" s="68" t="n">
        <v>8</v>
      </c>
      <c r="L26" s="68" t="n">
        <v>9</v>
      </c>
      <c r="M26" s="68" t="n">
        <v>10</v>
      </c>
      <c r="N26" s="68" t="n">
        <v>11</v>
      </c>
      <c r="O26" s="68" t="n">
        <v>12</v>
      </c>
      <c r="P26" s="68" t="n">
        <v>13</v>
      </c>
      <c r="Q26" s="68" t="n">
        <v>14</v>
      </c>
      <c r="R26" s="68" t="n">
        <v>15</v>
      </c>
      <c r="S26" s="68" t="n">
        <v>16</v>
      </c>
      <c r="T26" s="68" t="n">
        <v>17</v>
      </c>
      <c r="U26" s="68" t="n">
        <v>18</v>
      </c>
      <c r="V26" s="68" t="n">
        <v>19</v>
      </c>
      <c r="W26" s="68" t="n">
        <v>20</v>
      </c>
      <c r="X26" s="68" t="n">
        <v>21</v>
      </c>
      <c r="Y26" s="68" t="n">
        <v>22</v>
      </c>
      <c r="Z26" s="68" t="n">
        <v>23</v>
      </c>
      <c r="AA26" s="68" t="n">
        <v>24</v>
      </c>
      <c r="AB26" s="68" t="n">
        <v>25</v>
      </c>
    </row>
    <row r="27">
      <c r="A27" s="68" t="inlineStr">
        <is>
          <t>Metro colo</t>
        </is>
      </c>
      <c r="C27" s="68">
        <f>-$B$15</f>
        <v/>
      </c>
      <c r="D27" s="68">
        <f>IF(D$26&lt;=Rates!$D$71,$B$18,0)</f>
        <v/>
      </c>
      <c r="E27" s="68">
        <f>IF(E$26&lt;=Rates!$D$71,$B$18,0)</f>
        <v/>
      </c>
      <c r="F27" s="68">
        <f>IF(F$26&lt;=Rates!$D$71,$B$18,0)</f>
        <v/>
      </c>
      <c r="G27" s="68">
        <f>IF(G$26&lt;=Rates!$D$71,$B$18,0)</f>
        <v/>
      </c>
      <c r="H27" s="68">
        <f>IF(H$26&lt;=Rates!$D$71,$B$18,0)</f>
        <v/>
      </c>
      <c r="I27" s="68">
        <f>IF(I$26&lt;=Rates!$D$71,$B$18,0)</f>
        <v/>
      </c>
      <c r="J27" s="68">
        <f>IF(J$26&lt;=Rates!$D$71,$B$18,0)</f>
        <v/>
      </c>
      <c r="K27" s="68">
        <f>IF(K$26&lt;=Rates!$D$71,$B$18,0)</f>
        <v/>
      </c>
      <c r="L27" s="68">
        <f>IF(L$26&lt;=Rates!$D$71,$B$18,0)</f>
        <v/>
      </c>
      <c r="M27" s="68">
        <f>IF(M$26&lt;=Rates!$D$71,$B$18,0)</f>
        <v/>
      </c>
      <c r="N27" s="68">
        <f>IF(N$26&lt;=Rates!$D$71,$B$18,0)</f>
        <v/>
      </c>
      <c r="O27" s="68">
        <f>IF(O$26&lt;=Rates!$D$71,$B$18,0)</f>
        <v/>
      </c>
      <c r="P27" s="68">
        <f>IF(P$26&lt;=Rates!$D$71,$B$18,0)</f>
        <v/>
      </c>
      <c r="Q27" s="68">
        <f>IF(Q$26&lt;=Rates!$D$71,$B$18,0)</f>
        <v/>
      </c>
      <c r="R27" s="68">
        <f>IF(R$26&lt;=Rates!$D$71,$B$18,0)</f>
        <v/>
      </c>
      <c r="S27" s="68">
        <f>IF(S$26&lt;=Rates!$D$71,$B$18,0)</f>
        <v/>
      </c>
      <c r="T27" s="68">
        <f>IF(T$26&lt;=Rates!$D$71,$B$18,0)</f>
        <v/>
      </c>
      <c r="U27" s="68">
        <f>IF(U$26&lt;=Rates!$D$71,$B$18,0)</f>
        <v/>
      </c>
      <c r="V27" s="68">
        <f>IF(V$26&lt;=Rates!$D$71,$B$18,0)</f>
        <v/>
      </c>
      <c r="W27" s="68">
        <f>IF(W$26&lt;=Rates!$D$71,$B$18,0)</f>
        <v/>
      </c>
      <c r="X27" s="68">
        <f>IF(X$26&lt;=Rates!$D$71,$B$18,0)</f>
        <v/>
      </c>
      <c r="Y27" s="68">
        <f>IF(Y$26&lt;=Rates!$D$71,$B$18,0)</f>
        <v/>
      </c>
      <c r="Z27" s="68">
        <f>IF(Z$26&lt;=Rates!$D$71,$B$18,0)</f>
        <v/>
      </c>
      <c r="AA27" s="68">
        <f>IF(AA$26&lt;=Rates!$D$71,$B$18,0)</f>
        <v/>
      </c>
      <c r="AB27" s="68">
        <f>IF(AB$26&lt;=Rates!$D$71,$B$18,0)</f>
        <v/>
      </c>
    </row>
    <row r="28">
      <c r="A28" s="68" t="inlineStr">
        <is>
          <t>Metro compute, flat prices</t>
        </is>
      </c>
      <c r="C28" s="68">
        <f>-($B$15+'Sell-Compute'!$C$34)</f>
        <v/>
      </c>
      <c r="D28" s="68">
        <f>IF(D$26&lt;=Rates!$D$71,'Sell-Compute'!$C$40/Connectivity!$C$13*(1+'Sell-Compute'!$C$50)^MOD(D$26-1,'Sell-Compute'!$C$21)-$B$11-'Sell-Compute'!$C$42-'Sell-Compute'!$C$43-'Sell-Compute'!$C$44-IF(AND(MOD(D$26,'Sell-Compute'!$C$21)=0,D$26&lt;Rates!$D$71),'Sell-Compute'!$C$34,0),0)</f>
        <v/>
      </c>
      <c r="E28" s="68">
        <f>IF(E$26&lt;=Rates!$D$71,'Sell-Compute'!$C$40/Connectivity!$C$13*(1+'Sell-Compute'!$C$50)^MOD(E$26-1,'Sell-Compute'!$C$21)-$B$11-'Sell-Compute'!$C$42-'Sell-Compute'!$C$43-'Sell-Compute'!$C$44-IF(AND(MOD(E$26,'Sell-Compute'!$C$21)=0,E$26&lt;Rates!$D$71),'Sell-Compute'!$C$34,0),0)</f>
        <v/>
      </c>
      <c r="F28" s="68">
        <f>IF(F$26&lt;=Rates!$D$71,'Sell-Compute'!$C$40/Connectivity!$C$13*(1+'Sell-Compute'!$C$50)^MOD(F$26-1,'Sell-Compute'!$C$21)-$B$11-'Sell-Compute'!$C$42-'Sell-Compute'!$C$43-'Sell-Compute'!$C$44-IF(AND(MOD(F$26,'Sell-Compute'!$C$21)=0,F$26&lt;Rates!$D$71),'Sell-Compute'!$C$34,0),0)</f>
        <v/>
      </c>
      <c r="G28" s="68">
        <f>IF(G$26&lt;=Rates!$D$71,'Sell-Compute'!$C$40/Connectivity!$C$13*(1+'Sell-Compute'!$C$50)^MOD(G$26-1,'Sell-Compute'!$C$21)-$B$11-'Sell-Compute'!$C$42-'Sell-Compute'!$C$43-'Sell-Compute'!$C$44-IF(AND(MOD(G$26,'Sell-Compute'!$C$21)=0,G$26&lt;Rates!$D$71),'Sell-Compute'!$C$34,0),0)</f>
        <v/>
      </c>
      <c r="H28" s="68">
        <f>IF(H$26&lt;=Rates!$D$71,'Sell-Compute'!$C$40/Connectivity!$C$13*(1+'Sell-Compute'!$C$50)^MOD(H$26-1,'Sell-Compute'!$C$21)-$B$11-'Sell-Compute'!$C$42-'Sell-Compute'!$C$43-'Sell-Compute'!$C$44-IF(AND(MOD(H$26,'Sell-Compute'!$C$21)=0,H$26&lt;Rates!$D$71),'Sell-Compute'!$C$34,0),0)</f>
        <v/>
      </c>
      <c r="I28" s="68">
        <f>IF(I$26&lt;=Rates!$D$71,'Sell-Compute'!$C$40/Connectivity!$C$13*(1+'Sell-Compute'!$C$50)^MOD(I$26-1,'Sell-Compute'!$C$21)-$B$11-'Sell-Compute'!$C$42-'Sell-Compute'!$C$43-'Sell-Compute'!$C$44-IF(AND(MOD(I$26,'Sell-Compute'!$C$21)=0,I$26&lt;Rates!$D$71),'Sell-Compute'!$C$34,0),0)</f>
        <v/>
      </c>
      <c r="J28" s="68">
        <f>IF(J$26&lt;=Rates!$D$71,'Sell-Compute'!$C$40/Connectivity!$C$13*(1+'Sell-Compute'!$C$50)^MOD(J$26-1,'Sell-Compute'!$C$21)-$B$11-'Sell-Compute'!$C$42-'Sell-Compute'!$C$43-'Sell-Compute'!$C$44-IF(AND(MOD(J$26,'Sell-Compute'!$C$21)=0,J$26&lt;Rates!$D$71),'Sell-Compute'!$C$34,0),0)</f>
        <v/>
      </c>
      <c r="K28" s="68">
        <f>IF(K$26&lt;=Rates!$D$71,'Sell-Compute'!$C$40/Connectivity!$C$13*(1+'Sell-Compute'!$C$50)^MOD(K$26-1,'Sell-Compute'!$C$21)-$B$11-'Sell-Compute'!$C$42-'Sell-Compute'!$C$43-'Sell-Compute'!$C$44-IF(AND(MOD(K$26,'Sell-Compute'!$C$21)=0,K$26&lt;Rates!$D$71),'Sell-Compute'!$C$34,0),0)</f>
        <v/>
      </c>
      <c r="L28" s="68">
        <f>IF(L$26&lt;=Rates!$D$71,'Sell-Compute'!$C$40/Connectivity!$C$13*(1+'Sell-Compute'!$C$50)^MOD(L$26-1,'Sell-Compute'!$C$21)-$B$11-'Sell-Compute'!$C$42-'Sell-Compute'!$C$43-'Sell-Compute'!$C$44-IF(AND(MOD(L$26,'Sell-Compute'!$C$21)=0,L$26&lt;Rates!$D$71),'Sell-Compute'!$C$34,0),0)</f>
        <v/>
      </c>
      <c r="M28" s="68">
        <f>IF(M$26&lt;=Rates!$D$71,'Sell-Compute'!$C$40/Connectivity!$C$13*(1+'Sell-Compute'!$C$50)^MOD(M$26-1,'Sell-Compute'!$C$21)-$B$11-'Sell-Compute'!$C$42-'Sell-Compute'!$C$43-'Sell-Compute'!$C$44-IF(AND(MOD(M$26,'Sell-Compute'!$C$21)=0,M$26&lt;Rates!$D$71),'Sell-Compute'!$C$34,0),0)</f>
        <v/>
      </c>
      <c r="N28" s="68">
        <f>IF(N$26&lt;=Rates!$D$71,'Sell-Compute'!$C$40/Connectivity!$C$13*(1+'Sell-Compute'!$C$50)^MOD(N$26-1,'Sell-Compute'!$C$21)-$B$11-'Sell-Compute'!$C$42-'Sell-Compute'!$C$43-'Sell-Compute'!$C$44-IF(AND(MOD(N$26,'Sell-Compute'!$C$21)=0,N$26&lt;Rates!$D$71),'Sell-Compute'!$C$34,0),0)</f>
        <v/>
      </c>
      <c r="O28" s="68">
        <f>IF(O$26&lt;=Rates!$D$71,'Sell-Compute'!$C$40/Connectivity!$C$13*(1+'Sell-Compute'!$C$50)^MOD(O$26-1,'Sell-Compute'!$C$21)-$B$11-'Sell-Compute'!$C$42-'Sell-Compute'!$C$43-'Sell-Compute'!$C$44-IF(AND(MOD(O$26,'Sell-Compute'!$C$21)=0,O$26&lt;Rates!$D$71),'Sell-Compute'!$C$34,0),0)</f>
        <v/>
      </c>
      <c r="P28" s="68">
        <f>IF(P$26&lt;=Rates!$D$71,'Sell-Compute'!$C$40/Connectivity!$C$13*(1+'Sell-Compute'!$C$50)^MOD(P$26-1,'Sell-Compute'!$C$21)-$B$11-'Sell-Compute'!$C$42-'Sell-Compute'!$C$43-'Sell-Compute'!$C$44-IF(AND(MOD(P$26,'Sell-Compute'!$C$21)=0,P$26&lt;Rates!$D$71),'Sell-Compute'!$C$34,0),0)</f>
        <v/>
      </c>
      <c r="Q28" s="68">
        <f>IF(Q$26&lt;=Rates!$D$71,'Sell-Compute'!$C$40/Connectivity!$C$13*(1+'Sell-Compute'!$C$50)^MOD(Q$26-1,'Sell-Compute'!$C$21)-$B$11-'Sell-Compute'!$C$42-'Sell-Compute'!$C$43-'Sell-Compute'!$C$44-IF(AND(MOD(Q$26,'Sell-Compute'!$C$21)=0,Q$26&lt;Rates!$D$71),'Sell-Compute'!$C$34,0),0)</f>
        <v/>
      </c>
      <c r="R28" s="68">
        <f>IF(R$26&lt;=Rates!$D$71,'Sell-Compute'!$C$40/Connectivity!$C$13*(1+'Sell-Compute'!$C$50)^MOD(R$26-1,'Sell-Compute'!$C$21)-$B$11-'Sell-Compute'!$C$42-'Sell-Compute'!$C$43-'Sell-Compute'!$C$44-IF(AND(MOD(R$26,'Sell-Compute'!$C$21)=0,R$26&lt;Rates!$D$71),'Sell-Compute'!$C$34,0),0)</f>
        <v/>
      </c>
      <c r="S28" s="68">
        <f>IF(S$26&lt;=Rates!$D$71,'Sell-Compute'!$C$40/Connectivity!$C$13*(1+'Sell-Compute'!$C$50)^MOD(S$26-1,'Sell-Compute'!$C$21)-$B$11-'Sell-Compute'!$C$42-'Sell-Compute'!$C$43-'Sell-Compute'!$C$44-IF(AND(MOD(S$26,'Sell-Compute'!$C$21)=0,S$26&lt;Rates!$D$71),'Sell-Compute'!$C$34,0),0)</f>
        <v/>
      </c>
      <c r="T28" s="68">
        <f>IF(T$26&lt;=Rates!$D$71,'Sell-Compute'!$C$40/Connectivity!$C$13*(1+'Sell-Compute'!$C$50)^MOD(T$26-1,'Sell-Compute'!$C$21)-$B$11-'Sell-Compute'!$C$42-'Sell-Compute'!$C$43-'Sell-Compute'!$C$44-IF(AND(MOD(T$26,'Sell-Compute'!$C$21)=0,T$26&lt;Rates!$D$71),'Sell-Compute'!$C$34,0),0)</f>
        <v/>
      </c>
      <c r="U28" s="68">
        <f>IF(U$26&lt;=Rates!$D$71,'Sell-Compute'!$C$40/Connectivity!$C$13*(1+'Sell-Compute'!$C$50)^MOD(U$26-1,'Sell-Compute'!$C$21)-$B$11-'Sell-Compute'!$C$42-'Sell-Compute'!$C$43-'Sell-Compute'!$C$44-IF(AND(MOD(U$26,'Sell-Compute'!$C$21)=0,U$26&lt;Rates!$D$71),'Sell-Compute'!$C$34,0),0)</f>
        <v/>
      </c>
      <c r="V28" s="68">
        <f>IF(V$26&lt;=Rates!$D$71,'Sell-Compute'!$C$40/Connectivity!$C$13*(1+'Sell-Compute'!$C$50)^MOD(V$26-1,'Sell-Compute'!$C$21)-$B$11-'Sell-Compute'!$C$42-'Sell-Compute'!$C$43-'Sell-Compute'!$C$44-IF(AND(MOD(V$26,'Sell-Compute'!$C$21)=0,V$26&lt;Rates!$D$71),'Sell-Compute'!$C$34,0),0)</f>
        <v/>
      </c>
      <c r="W28" s="68">
        <f>IF(W$26&lt;=Rates!$D$71,'Sell-Compute'!$C$40/Connectivity!$C$13*(1+'Sell-Compute'!$C$50)^MOD(W$26-1,'Sell-Compute'!$C$21)-$B$11-'Sell-Compute'!$C$42-'Sell-Compute'!$C$43-'Sell-Compute'!$C$44-IF(AND(MOD(W$26,'Sell-Compute'!$C$21)=0,W$26&lt;Rates!$D$71),'Sell-Compute'!$C$34,0),0)</f>
        <v/>
      </c>
      <c r="X28" s="68">
        <f>IF(X$26&lt;=Rates!$D$71,'Sell-Compute'!$C$40/Connectivity!$C$13*(1+'Sell-Compute'!$C$50)^MOD(X$26-1,'Sell-Compute'!$C$21)-$B$11-'Sell-Compute'!$C$42-'Sell-Compute'!$C$43-'Sell-Compute'!$C$44-IF(AND(MOD(X$26,'Sell-Compute'!$C$21)=0,X$26&lt;Rates!$D$71),'Sell-Compute'!$C$34,0),0)</f>
        <v/>
      </c>
      <c r="Y28" s="68">
        <f>IF(Y$26&lt;=Rates!$D$71,'Sell-Compute'!$C$40/Connectivity!$C$13*(1+'Sell-Compute'!$C$50)^MOD(Y$26-1,'Sell-Compute'!$C$21)-$B$11-'Sell-Compute'!$C$42-'Sell-Compute'!$C$43-'Sell-Compute'!$C$44-IF(AND(MOD(Y$26,'Sell-Compute'!$C$21)=0,Y$26&lt;Rates!$D$71),'Sell-Compute'!$C$34,0),0)</f>
        <v/>
      </c>
      <c r="Z28" s="68">
        <f>IF(Z$26&lt;=Rates!$D$71,'Sell-Compute'!$C$40/Connectivity!$C$13*(1+'Sell-Compute'!$C$50)^MOD(Z$26-1,'Sell-Compute'!$C$21)-$B$11-'Sell-Compute'!$C$42-'Sell-Compute'!$C$43-'Sell-Compute'!$C$44-IF(AND(MOD(Z$26,'Sell-Compute'!$C$21)=0,Z$26&lt;Rates!$D$71),'Sell-Compute'!$C$34,0),0)</f>
        <v/>
      </c>
      <c r="AA28" s="68">
        <f>IF(AA$26&lt;=Rates!$D$71,'Sell-Compute'!$C$40/Connectivity!$C$13*(1+'Sell-Compute'!$C$50)^MOD(AA$26-1,'Sell-Compute'!$C$21)-$B$11-'Sell-Compute'!$C$42-'Sell-Compute'!$C$43-'Sell-Compute'!$C$44-IF(AND(MOD(AA$26,'Sell-Compute'!$C$21)=0,AA$26&lt;Rates!$D$71),'Sell-Compute'!$C$34,0),0)</f>
        <v/>
      </c>
      <c r="AB28" s="68">
        <f>IF(AB$26&lt;=Rates!$D$71,'Sell-Compute'!$C$40/Connectivity!$C$13*(1+'Sell-Compute'!$C$50)^MOD(AB$26-1,'Sell-Compute'!$C$21)-$B$11-'Sell-Compute'!$C$42-'Sell-Compute'!$C$43-'Sell-Compute'!$C$44-IF(AND(MOD(AB$26,'Sell-Compute'!$C$21)=0,AB$26&lt;Rates!$D$71),'Sell-Compute'!$C$34,0),0)</f>
        <v/>
      </c>
    </row>
    <row r="29">
      <c r="A29" s="68" t="inlineStr">
        <is>
          <t>Metro compute, falling prices</t>
        </is>
      </c>
      <c r="C29" s="68">
        <f>-($B$15+'Sell-Compute'!$B$34)</f>
        <v/>
      </c>
      <c r="D29" s="68">
        <f>IF(D$26&lt;=Rates!$D$71,'Sell-Compute'!$B$40/Connectivity!$C$13*(1+'Sell-Compute'!$B$50)^MOD(D$26-1,'Sell-Compute'!$C$21)-$B$11-'Sell-Compute'!$B$42-'Sell-Compute'!$B$43-'Sell-Compute'!$B$44-IF(AND(MOD(D$26,'Sell-Compute'!$C$21)=0,D$26&lt;Rates!$D$71),'Sell-Compute'!$B$34,0),0)</f>
        <v/>
      </c>
      <c r="E29" s="68">
        <f>IF(E$26&lt;=Rates!$D$71,'Sell-Compute'!$B$40/Connectivity!$C$13*(1+'Sell-Compute'!$B$50)^MOD(E$26-1,'Sell-Compute'!$C$21)-$B$11-'Sell-Compute'!$B$42-'Sell-Compute'!$B$43-'Sell-Compute'!$B$44-IF(AND(MOD(E$26,'Sell-Compute'!$C$21)=0,E$26&lt;Rates!$D$71),'Sell-Compute'!$B$34,0),0)</f>
        <v/>
      </c>
      <c r="F29" s="68">
        <f>IF(F$26&lt;=Rates!$D$71,'Sell-Compute'!$B$40/Connectivity!$C$13*(1+'Sell-Compute'!$B$50)^MOD(F$26-1,'Sell-Compute'!$C$21)-$B$11-'Sell-Compute'!$B$42-'Sell-Compute'!$B$43-'Sell-Compute'!$B$44-IF(AND(MOD(F$26,'Sell-Compute'!$C$21)=0,F$26&lt;Rates!$D$71),'Sell-Compute'!$B$34,0),0)</f>
        <v/>
      </c>
      <c r="G29" s="68">
        <f>IF(G$26&lt;=Rates!$D$71,'Sell-Compute'!$B$40/Connectivity!$C$13*(1+'Sell-Compute'!$B$50)^MOD(G$26-1,'Sell-Compute'!$C$21)-$B$11-'Sell-Compute'!$B$42-'Sell-Compute'!$B$43-'Sell-Compute'!$B$44-IF(AND(MOD(G$26,'Sell-Compute'!$C$21)=0,G$26&lt;Rates!$D$71),'Sell-Compute'!$B$34,0),0)</f>
        <v/>
      </c>
      <c r="H29" s="68">
        <f>IF(H$26&lt;=Rates!$D$71,'Sell-Compute'!$B$40/Connectivity!$C$13*(1+'Sell-Compute'!$B$50)^MOD(H$26-1,'Sell-Compute'!$C$21)-$B$11-'Sell-Compute'!$B$42-'Sell-Compute'!$B$43-'Sell-Compute'!$B$44-IF(AND(MOD(H$26,'Sell-Compute'!$C$21)=0,H$26&lt;Rates!$D$71),'Sell-Compute'!$B$34,0),0)</f>
        <v/>
      </c>
      <c r="I29" s="68">
        <f>IF(I$26&lt;=Rates!$D$71,'Sell-Compute'!$B$40/Connectivity!$C$13*(1+'Sell-Compute'!$B$50)^MOD(I$26-1,'Sell-Compute'!$C$21)-$B$11-'Sell-Compute'!$B$42-'Sell-Compute'!$B$43-'Sell-Compute'!$B$44-IF(AND(MOD(I$26,'Sell-Compute'!$C$21)=0,I$26&lt;Rates!$D$71),'Sell-Compute'!$B$34,0),0)</f>
        <v/>
      </c>
      <c r="J29" s="68">
        <f>IF(J$26&lt;=Rates!$D$71,'Sell-Compute'!$B$40/Connectivity!$C$13*(1+'Sell-Compute'!$B$50)^MOD(J$26-1,'Sell-Compute'!$C$21)-$B$11-'Sell-Compute'!$B$42-'Sell-Compute'!$B$43-'Sell-Compute'!$B$44-IF(AND(MOD(J$26,'Sell-Compute'!$C$21)=0,J$26&lt;Rates!$D$71),'Sell-Compute'!$B$34,0),0)</f>
        <v/>
      </c>
      <c r="K29" s="68">
        <f>IF(K$26&lt;=Rates!$D$71,'Sell-Compute'!$B$40/Connectivity!$C$13*(1+'Sell-Compute'!$B$50)^MOD(K$26-1,'Sell-Compute'!$C$21)-$B$11-'Sell-Compute'!$B$42-'Sell-Compute'!$B$43-'Sell-Compute'!$B$44-IF(AND(MOD(K$26,'Sell-Compute'!$C$21)=0,K$26&lt;Rates!$D$71),'Sell-Compute'!$B$34,0),0)</f>
        <v/>
      </c>
      <c r="L29" s="68">
        <f>IF(L$26&lt;=Rates!$D$71,'Sell-Compute'!$B$40/Connectivity!$C$13*(1+'Sell-Compute'!$B$50)^MOD(L$26-1,'Sell-Compute'!$C$21)-$B$11-'Sell-Compute'!$B$42-'Sell-Compute'!$B$43-'Sell-Compute'!$B$44-IF(AND(MOD(L$26,'Sell-Compute'!$C$21)=0,L$26&lt;Rates!$D$71),'Sell-Compute'!$B$34,0),0)</f>
        <v/>
      </c>
      <c r="M29" s="68">
        <f>IF(M$26&lt;=Rates!$D$71,'Sell-Compute'!$B$40/Connectivity!$C$13*(1+'Sell-Compute'!$B$50)^MOD(M$26-1,'Sell-Compute'!$C$21)-$B$11-'Sell-Compute'!$B$42-'Sell-Compute'!$B$43-'Sell-Compute'!$B$44-IF(AND(MOD(M$26,'Sell-Compute'!$C$21)=0,M$26&lt;Rates!$D$71),'Sell-Compute'!$B$34,0),0)</f>
        <v/>
      </c>
      <c r="N29" s="68">
        <f>IF(N$26&lt;=Rates!$D$71,'Sell-Compute'!$B$40/Connectivity!$C$13*(1+'Sell-Compute'!$B$50)^MOD(N$26-1,'Sell-Compute'!$C$21)-$B$11-'Sell-Compute'!$B$42-'Sell-Compute'!$B$43-'Sell-Compute'!$B$44-IF(AND(MOD(N$26,'Sell-Compute'!$C$21)=0,N$26&lt;Rates!$D$71),'Sell-Compute'!$B$34,0),0)</f>
        <v/>
      </c>
      <c r="O29" s="68">
        <f>IF(O$26&lt;=Rates!$D$71,'Sell-Compute'!$B$40/Connectivity!$C$13*(1+'Sell-Compute'!$B$50)^MOD(O$26-1,'Sell-Compute'!$C$21)-$B$11-'Sell-Compute'!$B$42-'Sell-Compute'!$B$43-'Sell-Compute'!$B$44-IF(AND(MOD(O$26,'Sell-Compute'!$C$21)=0,O$26&lt;Rates!$D$71),'Sell-Compute'!$B$34,0),0)</f>
        <v/>
      </c>
      <c r="P29" s="68">
        <f>IF(P$26&lt;=Rates!$D$71,'Sell-Compute'!$B$40/Connectivity!$C$13*(1+'Sell-Compute'!$B$50)^MOD(P$26-1,'Sell-Compute'!$C$21)-$B$11-'Sell-Compute'!$B$42-'Sell-Compute'!$B$43-'Sell-Compute'!$B$44-IF(AND(MOD(P$26,'Sell-Compute'!$C$21)=0,P$26&lt;Rates!$D$71),'Sell-Compute'!$B$34,0),0)</f>
        <v/>
      </c>
      <c r="Q29" s="68">
        <f>IF(Q$26&lt;=Rates!$D$71,'Sell-Compute'!$B$40/Connectivity!$C$13*(1+'Sell-Compute'!$B$50)^MOD(Q$26-1,'Sell-Compute'!$C$21)-$B$11-'Sell-Compute'!$B$42-'Sell-Compute'!$B$43-'Sell-Compute'!$B$44-IF(AND(MOD(Q$26,'Sell-Compute'!$C$21)=0,Q$26&lt;Rates!$D$71),'Sell-Compute'!$B$34,0),0)</f>
        <v/>
      </c>
      <c r="R29" s="68">
        <f>IF(R$26&lt;=Rates!$D$71,'Sell-Compute'!$B$40/Connectivity!$C$13*(1+'Sell-Compute'!$B$50)^MOD(R$26-1,'Sell-Compute'!$C$21)-$B$11-'Sell-Compute'!$B$42-'Sell-Compute'!$B$43-'Sell-Compute'!$B$44-IF(AND(MOD(R$26,'Sell-Compute'!$C$21)=0,R$26&lt;Rates!$D$71),'Sell-Compute'!$B$34,0),0)</f>
        <v/>
      </c>
      <c r="S29" s="68">
        <f>IF(S$26&lt;=Rates!$D$71,'Sell-Compute'!$B$40/Connectivity!$C$13*(1+'Sell-Compute'!$B$50)^MOD(S$26-1,'Sell-Compute'!$C$21)-$B$11-'Sell-Compute'!$B$42-'Sell-Compute'!$B$43-'Sell-Compute'!$B$44-IF(AND(MOD(S$26,'Sell-Compute'!$C$21)=0,S$26&lt;Rates!$D$71),'Sell-Compute'!$B$34,0),0)</f>
        <v/>
      </c>
      <c r="T29" s="68">
        <f>IF(T$26&lt;=Rates!$D$71,'Sell-Compute'!$B$40/Connectivity!$C$13*(1+'Sell-Compute'!$B$50)^MOD(T$26-1,'Sell-Compute'!$C$21)-$B$11-'Sell-Compute'!$B$42-'Sell-Compute'!$B$43-'Sell-Compute'!$B$44-IF(AND(MOD(T$26,'Sell-Compute'!$C$21)=0,T$26&lt;Rates!$D$71),'Sell-Compute'!$B$34,0),0)</f>
        <v/>
      </c>
      <c r="U29" s="68">
        <f>IF(U$26&lt;=Rates!$D$71,'Sell-Compute'!$B$40/Connectivity!$C$13*(1+'Sell-Compute'!$B$50)^MOD(U$26-1,'Sell-Compute'!$C$21)-$B$11-'Sell-Compute'!$B$42-'Sell-Compute'!$B$43-'Sell-Compute'!$B$44-IF(AND(MOD(U$26,'Sell-Compute'!$C$21)=0,U$26&lt;Rates!$D$71),'Sell-Compute'!$B$34,0),0)</f>
        <v/>
      </c>
      <c r="V29" s="68">
        <f>IF(V$26&lt;=Rates!$D$71,'Sell-Compute'!$B$40/Connectivity!$C$13*(1+'Sell-Compute'!$B$50)^MOD(V$26-1,'Sell-Compute'!$C$21)-$B$11-'Sell-Compute'!$B$42-'Sell-Compute'!$B$43-'Sell-Compute'!$B$44-IF(AND(MOD(V$26,'Sell-Compute'!$C$21)=0,V$26&lt;Rates!$D$71),'Sell-Compute'!$B$34,0),0)</f>
        <v/>
      </c>
      <c r="W29" s="68">
        <f>IF(W$26&lt;=Rates!$D$71,'Sell-Compute'!$B$40/Connectivity!$C$13*(1+'Sell-Compute'!$B$50)^MOD(W$26-1,'Sell-Compute'!$C$21)-$B$11-'Sell-Compute'!$B$42-'Sell-Compute'!$B$43-'Sell-Compute'!$B$44-IF(AND(MOD(W$26,'Sell-Compute'!$C$21)=0,W$26&lt;Rates!$D$71),'Sell-Compute'!$B$34,0),0)</f>
        <v/>
      </c>
      <c r="X29" s="68">
        <f>IF(X$26&lt;=Rates!$D$71,'Sell-Compute'!$B$40/Connectivity!$C$13*(1+'Sell-Compute'!$B$50)^MOD(X$26-1,'Sell-Compute'!$C$21)-$B$11-'Sell-Compute'!$B$42-'Sell-Compute'!$B$43-'Sell-Compute'!$B$44-IF(AND(MOD(X$26,'Sell-Compute'!$C$21)=0,X$26&lt;Rates!$D$71),'Sell-Compute'!$B$34,0),0)</f>
        <v/>
      </c>
      <c r="Y29" s="68">
        <f>IF(Y$26&lt;=Rates!$D$71,'Sell-Compute'!$B$40/Connectivity!$C$13*(1+'Sell-Compute'!$B$50)^MOD(Y$26-1,'Sell-Compute'!$C$21)-$B$11-'Sell-Compute'!$B$42-'Sell-Compute'!$B$43-'Sell-Compute'!$B$44-IF(AND(MOD(Y$26,'Sell-Compute'!$C$21)=0,Y$26&lt;Rates!$D$71),'Sell-Compute'!$B$34,0),0)</f>
        <v/>
      </c>
      <c r="Z29" s="68">
        <f>IF(Z$26&lt;=Rates!$D$71,'Sell-Compute'!$B$40/Connectivity!$C$13*(1+'Sell-Compute'!$B$50)^MOD(Z$26-1,'Sell-Compute'!$C$21)-$B$11-'Sell-Compute'!$B$42-'Sell-Compute'!$B$43-'Sell-Compute'!$B$44-IF(AND(MOD(Z$26,'Sell-Compute'!$C$21)=0,Z$26&lt;Rates!$D$71),'Sell-Compute'!$B$34,0),0)</f>
        <v/>
      </c>
      <c r="AA29" s="68">
        <f>IF(AA$26&lt;=Rates!$D$71,'Sell-Compute'!$B$40/Connectivity!$C$13*(1+'Sell-Compute'!$B$50)^MOD(AA$26-1,'Sell-Compute'!$C$21)-$B$11-'Sell-Compute'!$B$42-'Sell-Compute'!$B$43-'Sell-Compute'!$B$44-IF(AND(MOD(AA$26,'Sell-Compute'!$C$21)=0,AA$26&lt;Rates!$D$71),'Sell-Compute'!$B$34,0),0)</f>
        <v/>
      </c>
      <c r="AB29" s="68">
        <f>IF(AB$26&lt;=Rates!$D$71,'Sell-Compute'!$B$40/Connectivity!$C$13*(1+'Sell-Compute'!$B$50)^MOD(AB$26-1,'Sell-Compute'!$C$21)-$B$11-'Sell-Compute'!$B$42-'Sell-Compute'!$B$43-'Sell-Compute'!$B$44-IF(AND(MOD(AB$26,'Sell-Compute'!$C$21)=0,AB$26&lt;Rates!$D$71),'Sell-Compute'!$B$34,0),0)</f>
        <v/>
      </c>
    </row>
    <row r="30"/>
    <row r="31">
      <c r="A31" s="136" t="inlineStr">
        <is>
          <t>COMPARISON, 25 yr</t>
        </is>
      </c>
      <c r="B31" s="137" t="n"/>
      <c r="C31" s="137" t="n"/>
      <c r="D31" s="137" t="n"/>
      <c r="E31" s="137" t="n"/>
      <c r="F31" s="137" t="n"/>
    </row>
    <row r="32">
      <c r="A32" s="89" t="inlineStr">
        <is>
          <t>Case</t>
        </is>
      </c>
      <c r="B32" s="89" t="inlineStr">
        <is>
          <t>Capital, A$</t>
        </is>
      </c>
      <c r="C32" s="89" t="inlineStr">
        <is>
          <t>IRR</t>
        </is>
      </c>
      <c r="D32" s="89" t="inlineStr">
        <is>
          <t>Net cash, A$</t>
        </is>
      </c>
      <c r="E32" s="89" t="inlineStr">
        <is>
          <t>AU geothermal equivalent IRR</t>
        </is>
      </c>
      <c r="F32" s="89" t="inlineStr">
        <is>
          <t>AU net cash, A$</t>
        </is>
      </c>
    </row>
    <row r="33">
      <c r="A33" s="68" t="inlineStr">
        <is>
          <t>Metro colo</t>
        </is>
      </c>
      <c r="B33" s="90">
        <f>-C27</f>
        <v/>
      </c>
      <c r="C33" s="91">
        <f>IF(SUM(C27:AB27)&lt;0,"never repays",IFERROR(IRR(C27:AB27),"no IRR"))</f>
        <v/>
      </c>
      <c r="D33" s="90">
        <f>SUM(C27:AB27)</f>
        <v/>
      </c>
      <c r="E33" s="91">
        <f>'Sell-Compute'!$I$51</f>
        <v/>
      </c>
      <c r="F33" s="90">
        <f>'Sell-Compute'!$I$52</f>
        <v/>
      </c>
    </row>
    <row r="34">
      <c r="A34" s="68" t="inlineStr">
        <is>
          <t>Metro compute, flat prices</t>
        </is>
      </c>
      <c r="B34" s="90">
        <f>-C28</f>
        <v/>
      </c>
      <c r="C34" s="91">
        <f>IF(SUM(C28:AB28)&lt;0,"never repays",IFERROR(IRR(C28:AB28),"no IRR"))</f>
        <v/>
      </c>
      <c r="D34" s="90">
        <f>SUM(C28:AB28)</f>
        <v/>
      </c>
      <c r="E34" s="91">
        <f>'Sell-Compute'!$C$51</f>
        <v/>
      </c>
      <c r="F34" s="90">
        <f>'Sell-Compute'!$C$52</f>
        <v/>
      </c>
    </row>
    <row r="35">
      <c r="A35" s="68" t="inlineStr">
        <is>
          <t>Metro compute, falling prices</t>
        </is>
      </c>
      <c r="B35" s="90">
        <f>-C29</f>
        <v/>
      </c>
      <c r="C35" s="91">
        <f>IF(SUM(C29:AB29)&lt;0,"never repays",IFERROR(IRR(C29:AB29),"no IRR"))</f>
        <v/>
      </c>
      <c r="D35" s="90">
        <f>SUM(C29:AB29)</f>
        <v/>
      </c>
      <c r="E35" s="91">
        <f>'Sell-Compute'!$B$51</f>
        <v/>
      </c>
      <c r="F35" s="90">
        <f>'Sell-Compute'!$B$52</f>
        <v/>
      </c>
    </row>
    <row r="36"/>
    <row r="37">
      <c r="A37" s="68" t="inlineStr">
        <is>
          <t>Reading: on these proxies a metro grid hall needs less capital and connects in ~15 months; the Cooper site must earn its place through cheaper long-run power, carbon-free supply or capacity a metro grid cannot offer, evidenced by tenant LOIs (G4).</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Archegon PoC model v3 (public)</dc:title>
  <dc:description xmlns:dc="http://purl.org/dc/elements/1.1/">Public copy, v3, 12 Oct 2026. Illustrative, not an offer.</dc:description>
  <dc:subject xmlns:dc="http://purl.org/dc/elements/1.1/"/>
  <dc:language xmlns:dc="http://purl.org/dc/elements/1.1/">en-US</dc:language>
  <dcterms:created xmlns:dcterms="http://purl.org/dc/terms/" xmlns:xsi="http://www.w3.org/2001/XMLSchema-instance" xsi:type="dcterms:W3CDTF">2026-10-12T00:00:00Z</dcterms:created>
  <dcterms:modified xmlns:dcterms="http://purl.org/dc/terms/" xmlns:xsi="http://www.w3.org/2001/XMLSchema-instance" xsi:type="dcterms:W3CDTF">2026-10-18T21:42:07Z</dcterms:modified>
  <cp:lastModifiedBy/>
  <cp:category/>
  <cp:revision>0</cp:revision>
  <cp:keywords/>
</cp:coreProperties>
</file>